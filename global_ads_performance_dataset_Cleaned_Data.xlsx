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15106\Desktop\Projects\Data\Excel Project\"/>
    </mc:Choice>
  </mc:AlternateContent>
  <xr:revisionPtr revIDLastSave="0" documentId="13_ncr:9_{29B3794B-811B-445D-BEA1-FCA81868006E}" xr6:coauthVersionLast="47" xr6:coauthVersionMax="47" xr10:uidLastSave="{00000000-0000-0000-0000-000000000000}"/>
  <bookViews>
    <workbookView xWindow="-120" yWindow="-120" windowWidth="29040" windowHeight="15720" activeTab="3" xr2:uid="{147EDDA9-684A-487F-BDAB-5072ED32BF45}"/>
  </bookViews>
  <sheets>
    <sheet name="global_ads_performance_dataset" sheetId="1" r:id="rId1"/>
    <sheet name="Working Sheet" sheetId="2" r:id="rId2"/>
    <sheet name="Pivot Tables" sheetId="3" r:id="rId3"/>
    <sheet name="Dashboards" sheetId="4" r:id="rId4"/>
  </sheets>
  <definedNames>
    <definedName name="_xlnm._FilterDatabase" localSheetId="1" hidden="1">'Working Sheet'!$A$1:$S$1</definedName>
    <definedName name="Slicer_country">#N/A</definedName>
    <definedName name="Slicer_industry">#N/A</definedName>
    <definedName name="Slicer_Month">#N/A</definedName>
    <definedName name="Slicer_platform">#N/A</definedName>
  </definedNames>
  <calcPr calcId="0"/>
  <pivotCaches>
    <pivotCache cacheId="82" r:id="rId5"/>
    <pivotCache cacheId="8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2" i="2"/>
</calcChain>
</file>

<file path=xl/sharedStrings.xml><?xml version="1.0" encoding="utf-8"?>
<sst xmlns="http://schemas.openxmlformats.org/spreadsheetml/2006/main" count="14541" uniqueCount="61">
  <si>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</si>
  <si>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</si>
  <si>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</si>
  <si>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</si>
  <si>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</si>
  <si>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</si>
  <si>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</si>
  <si>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</si>
  <si>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</si>
  <si>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</si>
  <si>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</si>
  <si>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</si>
  <si>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</si>
  <si>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</si>
  <si>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</si>
  <si>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</si>
  <si>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</si>
  <si>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</si>
  <si>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</si>
  <si>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</si>
  <si>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</si>
  <si>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</si>
  <si>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</si>
  <si>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</si>
  <si>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</si>
  <si>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</si>
  <si>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</si>
  <si>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</si>
  <si>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</si>
  <si>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</si>
  <si>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</si>
  <si>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</si>
  <si>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</si>
  <si>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Row Labels</t>
  </si>
  <si>
    <t>Grand Total</t>
  </si>
  <si>
    <t>Average of CTR</t>
  </si>
  <si>
    <t>Average of CPC</t>
  </si>
  <si>
    <t>Average of CPA</t>
  </si>
  <si>
    <t>Average of ROAS</t>
  </si>
  <si>
    <t>Sum of ad_spend</t>
  </si>
  <si>
    <t>Sum of revenue</t>
  </si>
  <si>
    <t>Sum of conversions</t>
  </si>
  <si>
    <t>Month</t>
  </si>
  <si>
    <t>Profit</t>
  </si>
  <si>
    <t>Profit Margin</t>
  </si>
  <si>
    <t>Performance Bucket</t>
  </si>
  <si>
    <t>Row_Status</t>
  </si>
  <si>
    <t>Sum of Profit</t>
  </si>
  <si>
    <t>2024-01</t>
  </si>
  <si>
    <t>2024-02</t>
  </si>
  <si>
    <t>2024-03</t>
  </si>
  <si>
    <t>2024-04</t>
  </si>
  <si>
    <t>2024-05</t>
  </si>
  <si>
    <t>2024-06</t>
  </si>
  <si>
    <t>2024-07</t>
  </si>
  <si>
    <t>2024-08</t>
  </si>
  <si>
    <t>2024-09</t>
  </si>
  <si>
    <t>2024-10</t>
  </si>
  <si>
    <t>2024-11</t>
  </si>
  <si>
    <t>2024-12</t>
  </si>
  <si>
    <t>Ads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</si>
</sst>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
    <numFmt numFmtId="167" formatCode="0.000"/>
    <numFmt numFmtId="169"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66" fontId="0" fillId="0" borderId="0" xfId="0" applyNumberFormat="1"/>
    <xf numFmtId="1" fontId="0" fillId="0" borderId="0" xfId="0" applyNumberFormat="1"/>
    <xf numFmtId="167"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Platform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Sum of ad_spend</c:v>
                </c:pt>
              </c:strCache>
            </c:strRef>
          </c:tx>
          <c:spPr>
            <a:solidFill>
              <a:schemeClr val="accent1"/>
            </a:solidFill>
            <a:ln>
              <a:noFill/>
            </a:ln>
            <a:effectLst/>
          </c:spPr>
          <c:invertIfNegative val="0"/>
          <c:cat>
            <c:strRef>
              <c:f>'Pivot Tables'!$G$2:$G$5</c:f>
              <c:strCache>
                <c:ptCount val="3"/>
                <c:pt idx="0">
                  <c:v>Google Ads</c:v>
                </c:pt>
                <c:pt idx="1">
                  <c:v>Meta Ads</c:v>
                </c:pt>
                <c:pt idx="2">
                  <c:v>TikTok Ads</c:v>
                </c:pt>
              </c:strCache>
            </c:strRef>
          </c:cat>
          <c:val>
            <c:numRef>
              <c:f>'Pivot Tables'!$H$2:$H$5</c:f>
              <c:numCache>
                <c:formatCode>"$"#,##0.00</c:formatCode>
                <c:ptCount val="3"/>
                <c:pt idx="0">
                  <c:v>6349268.910000002</c:v>
                </c:pt>
                <c:pt idx="1">
                  <c:v>2106061.6699999971</c:v>
                </c:pt>
                <c:pt idx="2">
                  <c:v>2653418.5099999993</c:v>
                </c:pt>
              </c:numCache>
            </c:numRef>
          </c:val>
          <c:extLst>
            <c:ext xmlns:c16="http://schemas.microsoft.com/office/drawing/2014/chart" uri="{C3380CC4-5D6E-409C-BE32-E72D297353CC}">
              <c16:uniqueId val="{00000000-5F99-4B4B-ABF0-A3AD392F71A4}"/>
            </c:ext>
          </c:extLst>
        </c:ser>
        <c:ser>
          <c:idx val="1"/>
          <c:order val="1"/>
          <c:tx>
            <c:strRef>
              <c:f>'Pivot Tables'!$I$1</c:f>
              <c:strCache>
                <c:ptCount val="1"/>
                <c:pt idx="0">
                  <c:v>Sum of revenue</c:v>
                </c:pt>
              </c:strCache>
            </c:strRef>
          </c:tx>
          <c:spPr>
            <a:solidFill>
              <a:schemeClr val="accent2"/>
            </a:solidFill>
            <a:ln>
              <a:noFill/>
            </a:ln>
            <a:effectLst/>
          </c:spPr>
          <c:invertIfNegative val="0"/>
          <c:cat>
            <c:strRef>
              <c:f>'Pivot Tables'!$G$2:$G$5</c:f>
              <c:strCache>
                <c:ptCount val="3"/>
                <c:pt idx="0">
                  <c:v>Google Ads</c:v>
                </c:pt>
                <c:pt idx="1">
                  <c:v>Meta Ads</c:v>
                </c:pt>
                <c:pt idx="2">
                  <c:v>TikTok Ads</c:v>
                </c:pt>
              </c:strCache>
            </c:strRef>
          </c:cat>
          <c:val>
            <c:numRef>
              <c:f>'Pivot Tables'!$I$2:$I$5</c:f>
              <c:numCache>
                <c:formatCode>"$"#,##0.00</c:formatCode>
                <c:ptCount val="3"/>
                <c:pt idx="0">
                  <c:v>22033744.950000033</c:v>
                </c:pt>
                <c:pt idx="1">
                  <c:v>11926045.789999984</c:v>
                </c:pt>
                <c:pt idx="2">
                  <c:v>20223540.07</c:v>
                </c:pt>
              </c:numCache>
            </c:numRef>
          </c:val>
          <c:extLst>
            <c:ext xmlns:c16="http://schemas.microsoft.com/office/drawing/2014/chart" uri="{C3380CC4-5D6E-409C-BE32-E72D297353CC}">
              <c16:uniqueId val="{00000001-5F99-4B4B-ABF0-A3AD392F71A4}"/>
            </c:ext>
          </c:extLst>
        </c:ser>
        <c:dLbls>
          <c:showLegendKey val="0"/>
          <c:showVal val="0"/>
          <c:showCatName val="0"/>
          <c:showSerName val="0"/>
          <c:showPercent val="0"/>
          <c:showBubbleSize val="0"/>
        </c:dLbls>
        <c:gapWidth val="219"/>
        <c:overlap val="-27"/>
        <c:axId val="1944078207"/>
        <c:axId val="1944091167"/>
      </c:barChart>
      <c:catAx>
        <c:axId val="194407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91167"/>
        <c:crosses val="autoZero"/>
        <c:auto val="1"/>
        <c:lblAlgn val="ctr"/>
        <c:lblOffset val="100"/>
        <c:noMultiLvlLbl val="0"/>
      </c:catAx>
      <c:valAx>
        <c:axId val="194409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Highest ROAS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Tables'!$G$8</c:f>
              <c:strCache>
                <c:ptCount val="1"/>
                <c:pt idx="0">
                  <c:v>Total</c:v>
                </c:pt>
              </c:strCache>
            </c:strRef>
          </c:tx>
          <c:spPr>
            <a:solidFill>
              <a:schemeClr val="accent1"/>
            </a:solidFill>
            <a:ln>
              <a:noFill/>
            </a:ln>
            <a:effectLst/>
          </c:spPr>
          <c:invertIfNegative val="0"/>
          <c:cat>
            <c:strRef>
              <c:f>'Pivot Tables'!$F$9:$F$14</c:f>
              <c:strCache>
                <c:ptCount val="5"/>
                <c:pt idx="0">
                  <c:v>EdTech</c:v>
                </c:pt>
                <c:pt idx="1">
                  <c:v>SaaS</c:v>
                </c:pt>
                <c:pt idx="2">
                  <c:v>Healthcare</c:v>
                </c:pt>
                <c:pt idx="3">
                  <c:v>E-commerce</c:v>
                </c:pt>
                <c:pt idx="4">
                  <c:v>Fintech</c:v>
                </c:pt>
              </c:strCache>
            </c:strRef>
          </c:cat>
          <c:val>
            <c:numRef>
              <c:f>'Pivot Tables'!$G$9:$G$14</c:f>
              <c:numCache>
                <c:formatCode>0.0</c:formatCode>
                <c:ptCount val="5"/>
                <c:pt idx="0">
                  <c:v>6.8289516129032277</c:v>
                </c:pt>
                <c:pt idx="1">
                  <c:v>6.6479729729729709</c:v>
                </c:pt>
                <c:pt idx="2">
                  <c:v>6.587988505747127</c:v>
                </c:pt>
                <c:pt idx="3">
                  <c:v>6.1335243553008576</c:v>
                </c:pt>
                <c:pt idx="4">
                  <c:v>6.0313573407202234</c:v>
                </c:pt>
              </c:numCache>
            </c:numRef>
          </c:val>
          <c:extLst>
            <c:ext xmlns:c16="http://schemas.microsoft.com/office/drawing/2014/chart" uri="{C3380CC4-5D6E-409C-BE32-E72D297353CC}">
              <c16:uniqueId val="{00000000-A365-4E9D-A290-99D8CEEFD213}"/>
            </c:ext>
          </c:extLst>
        </c:ser>
        <c:dLbls>
          <c:showLegendKey val="0"/>
          <c:showVal val="0"/>
          <c:showCatName val="0"/>
          <c:showSerName val="0"/>
          <c:showPercent val="0"/>
          <c:showBubbleSize val="0"/>
        </c:dLbls>
        <c:gapWidth val="182"/>
        <c:axId val="1936172175"/>
        <c:axId val="1936172655"/>
      </c:barChart>
      <c:catAx>
        <c:axId val="193617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72655"/>
        <c:crosses val="autoZero"/>
        <c:auto val="1"/>
        <c:lblAlgn val="ctr"/>
        <c:lblOffset val="100"/>
        <c:noMultiLvlLbl val="0"/>
      </c:catAx>
      <c:valAx>
        <c:axId val="1936172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Tables'!$G$17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Tables'!$F$18:$F$25</c:f>
              <c:strCache>
                <c:ptCount val="7"/>
                <c:pt idx="0">
                  <c:v>UAE</c:v>
                </c:pt>
                <c:pt idx="1">
                  <c:v>Australia</c:v>
                </c:pt>
                <c:pt idx="2">
                  <c:v>India</c:v>
                </c:pt>
                <c:pt idx="3">
                  <c:v>Canada</c:v>
                </c:pt>
                <c:pt idx="4">
                  <c:v>Germany</c:v>
                </c:pt>
                <c:pt idx="5">
                  <c:v>UK</c:v>
                </c:pt>
                <c:pt idx="6">
                  <c:v>USA</c:v>
                </c:pt>
              </c:strCache>
            </c:strRef>
          </c:cat>
          <c:val>
            <c:numRef>
              <c:f>'Pivot Tables'!$G$18:$G$25</c:f>
              <c:numCache>
                <c:formatCode>"$"#,##0.00</c:formatCode>
                <c:ptCount val="7"/>
                <c:pt idx="0">
                  <c:v>7939594.4099999974</c:v>
                </c:pt>
                <c:pt idx="1">
                  <c:v>7921847.8399999971</c:v>
                </c:pt>
                <c:pt idx="2">
                  <c:v>7909606.2600000007</c:v>
                </c:pt>
                <c:pt idx="3">
                  <c:v>7867323.1200000001</c:v>
                </c:pt>
                <c:pt idx="4">
                  <c:v>7694838.6100000031</c:v>
                </c:pt>
                <c:pt idx="5">
                  <c:v>7659544.2900000019</c:v>
                </c:pt>
                <c:pt idx="6">
                  <c:v>7190576.2799999984</c:v>
                </c:pt>
              </c:numCache>
            </c:numRef>
          </c:val>
          <c:extLst>
            <c:ext xmlns:c16="http://schemas.microsoft.com/office/drawing/2014/chart" uri="{C3380CC4-5D6E-409C-BE32-E72D297353CC}">
              <c16:uniqueId val="{00000000-6BFF-41FB-8FD1-02E5B75291F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Campaign Type Effiency: Avg CTR vs Avg CPA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Tables'!$H$28</c:f>
              <c:strCache>
                <c:ptCount val="1"/>
                <c:pt idx="0">
                  <c:v>Average of CTR</c:v>
                </c:pt>
              </c:strCache>
            </c:strRef>
          </c:tx>
          <c:spPr>
            <a:solidFill>
              <a:schemeClr val="accent1"/>
            </a:solidFill>
            <a:ln>
              <a:noFill/>
            </a:ln>
            <a:effectLst/>
          </c:spPr>
          <c:invertIfNegative val="0"/>
          <c:cat>
            <c:strRef>
              <c:f>'Pivot Tables'!$G$29:$G$33</c:f>
              <c:strCache>
                <c:ptCount val="4"/>
                <c:pt idx="0">
                  <c:v>Display</c:v>
                </c:pt>
                <c:pt idx="1">
                  <c:v>Search</c:v>
                </c:pt>
                <c:pt idx="2">
                  <c:v>Shopping</c:v>
                </c:pt>
                <c:pt idx="3">
                  <c:v>Video</c:v>
                </c:pt>
              </c:strCache>
            </c:strRef>
          </c:cat>
          <c:val>
            <c:numRef>
              <c:f>'Pivot Tables'!$H$29:$H$33</c:f>
              <c:numCache>
                <c:formatCode>0.000</c:formatCode>
                <c:ptCount val="4"/>
                <c:pt idx="0">
                  <c:v>3.8090952380952364E-2</c:v>
                </c:pt>
                <c:pt idx="1">
                  <c:v>3.9425786163522041E-2</c:v>
                </c:pt>
                <c:pt idx="2">
                  <c:v>3.8489038031319915E-2</c:v>
                </c:pt>
                <c:pt idx="3">
                  <c:v>3.7630482456140361E-2</c:v>
                </c:pt>
              </c:numCache>
            </c:numRef>
          </c:val>
          <c:extLst>
            <c:ext xmlns:c16="http://schemas.microsoft.com/office/drawing/2014/chart" uri="{C3380CC4-5D6E-409C-BE32-E72D297353CC}">
              <c16:uniqueId val="{00000000-8FC1-4EBD-BD25-4872299EF26F}"/>
            </c:ext>
          </c:extLst>
        </c:ser>
        <c:dLbls>
          <c:showLegendKey val="0"/>
          <c:showVal val="0"/>
          <c:showCatName val="0"/>
          <c:showSerName val="0"/>
          <c:showPercent val="0"/>
          <c:showBubbleSize val="0"/>
        </c:dLbls>
        <c:gapWidth val="219"/>
        <c:axId val="2035720671"/>
        <c:axId val="2035721151"/>
      </c:barChart>
      <c:lineChart>
        <c:grouping val="standard"/>
        <c:varyColors val="0"/>
        <c:ser>
          <c:idx val="1"/>
          <c:order val="1"/>
          <c:tx>
            <c:strRef>
              <c:f>'Pivot Tables'!$I$28</c:f>
              <c:strCache>
                <c:ptCount val="1"/>
                <c:pt idx="0">
                  <c:v>Average of CPA</c:v>
                </c:pt>
              </c:strCache>
            </c:strRef>
          </c:tx>
          <c:spPr>
            <a:ln w="28575" cap="rnd">
              <a:solidFill>
                <a:schemeClr val="accent2"/>
              </a:solidFill>
              <a:round/>
            </a:ln>
            <a:effectLst/>
          </c:spPr>
          <c:marker>
            <c:symbol val="none"/>
          </c:marker>
          <c:cat>
            <c:strRef>
              <c:f>'Pivot Tables'!$G$29:$G$33</c:f>
              <c:strCache>
                <c:ptCount val="4"/>
                <c:pt idx="0">
                  <c:v>Display</c:v>
                </c:pt>
                <c:pt idx="1">
                  <c:v>Search</c:v>
                </c:pt>
                <c:pt idx="2">
                  <c:v>Shopping</c:v>
                </c:pt>
                <c:pt idx="3">
                  <c:v>Video</c:v>
                </c:pt>
              </c:strCache>
            </c:strRef>
          </c:cat>
          <c:val>
            <c:numRef>
              <c:f>'Pivot Tables'!$I$29:$I$33</c:f>
              <c:numCache>
                <c:formatCode>0.00</c:formatCode>
                <c:ptCount val="4"/>
                <c:pt idx="0">
                  <c:v>45.849547619047605</c:v>
                </c:pt>
                <c:pt idx="1">
                  <c:v>44.299098532494781</c:v>
                </c:pt>
                <c:pt idx="2">
                  <c:v>47.999060402684577</c:v>
                </c:pt>
                <c:pt idx="3">
                  <c:v>48.361995614035095</c:v>
                </c:pt>
              </c:numCache>
            </c:numRef>
          </c:val>
          <c:smooth val="0"/>
          <c:extLst>
            <c:ext xmlns:c16="http://schemas.microsoft.com/office/drawing/2014/chart" uri="{C3380CC4-5D6E-409C-BE32-E72D297353CC}">
              <c16:uniqueId val="{00000001-8FC1-4EBD-BD25-4872299EF26F}"/>
            </c:ext>
          </c:extLst>
        </c:ser>
        <c:dLbls>
          <c:showLegendKey val="0"/>
          <c:showVal val="0"/>
          <c:showCatName val="0"/>
          <c:showSerName val="0"/>
          <c:showPercent val="0"/>
          <c:showBubbleSize val="0"/>
        </c:dLbls>
        <c:marker val="1"/>
        <c:smooth val="0"/>
        <c:axId val="2037516271"/>
        <c:axId val="2037515311"/>
      </c:lineChart>
      <c:catAx>
        <c:axId val="2035720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Campaign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1151"/>
        <c:crosses val="autoZero"/>
        <c:auto val="1"/>
        <c:lblAlgn val="ctr"/>
        <c:lblOffset val="100"/>
        <c:noMultiLvlLbl val="0"/>
      </c:catAx>
      <c:valAx>
        <c:axId val="203572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Avg CTR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0671"/>
        <c:crosses val="autoZero"/>
        <c:crossBetween val="between"/>
      </c:valAx>
      <c:valAx>
        <c:axId val="20375153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Avg CPA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16271"/>
        <c:crosses val="max"/>
        <c:crossBetween val="between"/>
      </c:valAx>
      <c:catAx>
        <c:axId val="2037516271"/>
        <c:scaling>
          <c:orientation val="minMax"/>
        </c:scaling>
        <c:delete val="1"/>
        <c:axPos val="b"/>
        <c:numFmt formatCode="General" sourceLinked="1"/>
        <c:majorTickMark val="out"/>
        <c:minorTickMark val="none"/>
        <c:tickLblPos val="nextTo"/>
        <c:crossAx val="20375153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 Spend vs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Tables'!$G$36</c:f>
              <c:strCache>
                <c:ptCount val="1"/>
                <c:pt idx="0">
                  <c:v>Sum of ad_spend</c:v>
                </c:pt>
              </c:strCache>
            </c:strRef>
          </c:tx>
          <c:spPr>
            <a:solidFill>
              <a:schemeClr val="accent1"/>
            </a:solidFill>
            <a:ln>
              <a:noFill/>
            </a:ln>
            <a:effectLst/>
          </c:spPr>
          <c:invertIfNegative val="0"/>
          <c:cat>
            <c:strRef>
              <c:f>'Pivot Tables'!$F$37:$F$49</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 Tables'!$G$37:$G$49</c:f>
              <c:numCache>
                <c:formatCode>"$"#,##0.00</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extLst>
            <c:ext xmlns:c16="http://schemas.microsoft.com/office/drawing/2014/chart" uri="{C3380CC4-5D6E-409C-BE32-E72D297353CC}">
              <c16:uniqueId val="{00000000-20E0-406A-8424-97516E32F9D6}"/>
            </c:ext>
          </c:extLst>
        </c:ser>
        <c:ser>
          <c:idx val="1"/>
          <c:order val="1"/>
          <c:tx>
            <c:strRef>
              <c:f>'Pivot Tables'!$H$36</c:f>
              <c:strCache>
                <c:ptCount val="1"/>
                <c:pt idx="0">
                  <c:v>Sum of revenue</c:v>
                </c:pt>
              </c:strCache>
            </c:strRef>
          </c:tx>
          <c:spPr>
            <a:solidFill>
              <a:schemeClr val="accent2"/>
            </a:solidFill>
            <a:ln>
              <a:noFill/>
            </a:ln>
            <a:effectLst/>
          </c:spPr>
          <c:invertIfNegative val="0"/>
          <c:cat>
            <c:strRef>
              <c:f>'Pivot Tables'!$F$37:$F$49</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 Tables'!$H$37:$H$49</c:f>
              <c:numCache>
                <c:formatCode>"$"#,##0.00</c:formatCode>
                <c:ptCount val="12"/>
                <c:pt idx="0">
                  <c:v>4691994.4700000016</c:v>
                </c:pt>
                <c:pt idx="1">
                  <c:v>4749203.459999999</c:v>
                </c:pt>
                <c:pt idx="2">
                  <c:v>4407519.3800000027</c:v>
                </c:pt>
                <c:pt idx="3">
                  <c:v>5143463.57</c:v>
                </c:pt>
                <c:pt idx="4">
                  <c:v>3768913.3599999994</c:v>
                </c:pt>
                <c:pt idx="5">
                  <c:v>4362176.3099999996</c:v>
                </c:pt>
                <c:pt idx="6">
                  <c:v>3695093.9700000021</c:v>
                </c:pt>
                <c:pt idx="7">
                  <c:v>4301659.2600000016</c:v>
                </c:pt>
                <c:pt idx="8">
                  <c:v>4749430.2700000005</c:v>
                </c:pt>
                <c:pt idx="9">
                  <c:v>4670520.6799999978</c:v>
                </c:pt>
                <c:pt idx="10">
                  <c:v>4484002.7500000028</c:v>
                </c:pt>
                <c:pt idx="11">
                  <c:v>5159353.3300000019</c:v>
                </c:pt>
              </c:numCache>
            </c:numRef>
          </c:val>
          <c:extLst>
            <c:ext xmlns:c16="http://schemas.microsoft.com/office/drawing/2014/chart" uri="{C3380CC4-5D6E-409C-BE32-E72D297353CC}">
              <c16:uniqueId val="{00000001-20E0-406A-8424-97516E32F9D6}"/>
            </c:ext>
          </c:extLst>
        </c:ser>
        <c:dLbls>
          <c:showLegendKey val="0"/>
          <c:showVal val="0"/>
          <c:showCatName val="0"/>
          <c:showSerName val="0"/>
          <c:showPercent val="0"/>
          <c:showBubbleSize val="0"/>
        </c:dLbls>
        <c:gapWidth val="219"/>
        <c:overlap val="-27"/>
        <c:axId val="2055169567"/>
        <c:axId val="2055174367"/>
      </c:barChart>
      <c:catAx>
        <c:axId val="205516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74367"/>
        <c:crosses val="autoZero"/>
        <c:auto val="1"/>
        <c:lblAlgn val="ctr"/>
        <c:lblOffset val="100"/>
        <c:noMultiLvlLbl val="0"/>
      </c:catAx>
      <c:valAx>
        <c:axId val="205517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6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Campaign Type Effiency: Avg CTR vs Avg CPA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Tables'!$H$28</c:f>
              <c:strCache>
                <c:ptCount val="1"/>
                <c:pt idx="0">
                  <c:v>Average of CTR</c:v>
                </c:pt>
              </c:strCache>
            </c:strRef>
          </c:tx>
          <c:spPr>
            <a:solidFill>
              <a:schemeClr val="accent1"/>
            </a:solidFill>
            <a:ln>
              <a:noFill/>
            </a:ln>
            <a:effectLst/>
          </c:spPr>
          <c:invertIfNegative val="0"/>
          <c:cat>
            <c:strRef>
              <c:f>'Pivot Tables'!$G$29:$G$33</c:f>
              <c:strCache>
                <c:ptCount val="4"/>
                <c:pt idx="0">
                  <c:v>Display</c:v>
                </c:pt>
                <c:pt idx="1">
                  <c:v>Search</c:v>
                </c:pt>
                <c:pt idx="2">
                  <c:v>Shopping</c:v>
                </c:pt>
                <c:pt idx="3">
                  <c:v>Video</c:v>
                </c:pt>
              </c:strCache>
            </c:strRef>
          </c:cat>
          <c:val>
            <c:numRef>
              <c:f>'Pivot Tables'!$H$29:$H$33</c:f>
              <c:numCache>
                <c:formatCode>0.000</c:formatCode>
                <c:ptCount val="4"/>
                <c:pt idx="0">
                  <c:v>3.8090952380952364E-2</c:v>
                </c:pt>
                <c:pt idx="1">
                  <c:v>3.9425786163522041E-2</c:v>
                </c:pt>
                <c:pt idx="2">
                  <c:v>3.8489038031319915E-2</c:v>
                </c:pt>
                <c:pt idx="3">
                  <c:v>3.7630482456140361E-2</c:v>
                </c:pt>
              </c:numCache>
            </c:numRef>
          </c:val>
          <c:extLst>
            <c:ext xmlns:c16="http://schemas.microsoft.com/office/drawing/2014/chart" uri="{C3380CC4-5D6E-409C-BE32-E72D297353CC}">
              <c16:uniqueId val="{00000000-E737-4D85-A046-9DE544B83C1B}"/>
            </c:ext>
          </c:extLst>
        </c:ser>
        <c:dLbls>
          <c:showLegendKey val="0"/>
          <c:showVal val="0"/>
          <c:showCatName val="0"/>
          <c:showSerName val="0"/>
          <c:showPercent val="0"/>
          <c:showBubbleSize val="0"/>
        </c:dLbls>
        <c:gapWidth val="219"/>
        <c:axId val="2035720671"/>
        <c:axId val="2035721151"/>
      </c:barChart>
      <c:lineChart>
        <c:grouping val="standard"/>
        <c:varyColors val="0"/>
        <c:ser>
          <c:idx val="1"/>
          <c:order val="1"/>
          <c:tx>
            <c:strRef>
              <c:f>'Pivot Tables'!$I$28</c:f>
              <c:strCache>
                <c:ptCount val="1"/>
                <c:pt idx="0">
                  <c:v>Average of CPA</c:v>
                </c:pt>
              </c:strCache>
            </c:strRef>
          </c:tx>
          <c:spPr>
            <a:ln w="28575" cap="rnd">
              <a:solidFill>
                <a:schemeClr val="accent2"/>
              </a:solidFill>
              <a:round/>
            </a:ln>
            <a:effectLst/>
          </c:spPr>
          <c:marker>
            <c:symbol val="none"/>
          </c:marker>
          <c:cat>
            <c:strRef>
              <c:f>'Pivot Tables'!$G$29:$G$33</c:f>
              <c:strCache>
                <c:ptCount val="4"/>
                <c:pt idx="0">
                  <c:v>Display</c:v>
                </c:pt>
                <c:pt idx="1">
                  <c:v>Search</c:v>
                </c:pt>
                <c:pt idx="2">
                  <c:v>Shopping</c:v>
                </c:pt>
                <c:pt idx="3">
                  <c:v>Video</c:v>
                </c:pt>
              </c:strCache>
            </c:strRef>
          </c:cat>
          <c:val>
            <c:numRef>
              <c:f>'Pivot Tables'!$I$29:$I$33</c:f>
              <c:numCache>
                <c:formatCode>0.00</c:formatCode>
                <c:ptCount val="4"/>
                <c:pt idx="0">
                  <c:v>45.849547619047605</c:v>
                </c:pt>
                <c:pt idx="1">
                  <c:v>44.299098532494781</c:v>
                </c:pt>
                <c:pt idx="2">
                  <c:v>47.999060402684577</c:v>
                </c:pt>
                <c:pt idx="3">
                  <c:v>48.361995614035095</c:v>
                </c:pt>
              </c:numCache>
            </c:numRef>
          </c:val>
          <c:smooth val="0"/>
          <c:extLst>
            <c:ext xmlns:c16="http://schemas.microsoft.com/office/drawing/2014/chart" uri="{C3380CC4-5D6E-409C-BE32-E72D297353CC}">
              <c16:uniqueId val="{00000001-E737-4D85-A046-9DE544B83C1B}"/>
            </c:ext>
          </c:extLst>
        </c:ser>
        <c:dLbls>
          <c:showLegendKey val="0"/>
          <c:showVal val="0"/>
          <c:showCatName val="0"/>
          <c:showSerName val="0"/>
          <c:showPercent val="0"/>
          <c:showBubbleSize val="0"/>
        </c:dLbls>
        <c:marker val="1"/>
        <c:smooth val="0"/>
        <c:axId val="2037516271"/>
        <c:axId val="2037515311"/>
      </c:lineChart>
      <c:catAx>
        <c:axId val="2035720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Campaign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1151"/>
        <c:crosses val="autoZero"/>
        <c:auto val="1"/>
        <c:lblAlgn val="ctr"/>
        <c:lblOffset val="100"/>
        <c:noMultiLvlLbl val="0"/>
      </c:catAx>
      <c:valAx>
        <c:axId val="203572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Avg CTR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0671"/>
        <c:crosses val="autoZero"/>
        <c:crossBetween val="between"/>
      </c:valAx>
      <c:valAx>
        <c:axId val="20375153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Avg CPA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16271"/>
        <c:crosses val="max"/>
        <c:crossBetween val="between"/>
      </c:valAx>
      <c:catAx>
        <c:axId val="2037516271"/>
        <c:scaling>
          <c:orientation val="minMax"/>
        </c:scaling>
        <c:delete val="1"/>
        <c:axPos val="b"/>
        <c:numFmt formatCode="General" sourceLinked="1"/>
        <c:majorTickMark val="out"/>
        <c:minorTickMark val="none"/>
        <c:tickLblPos val="nextTo"/>
        <c:crossAx val="2037515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Ad Spend vs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Tables'!$G$36</c:f>
              <c:strCache>
                <c:ptCount val="1"/>
                <c:pt idx="0">
                  <c:v>Sum of ad_spend</c:v>
                </c:pt>
              </c:strCache>
            </c:strRef>
          </c:tx>
          <c:spPr>
            <a:solidFill>
              <a:schemeClr val="accent1"/>
            </a:solidFill>
            <a:ln>
              <a:noFill/>
            </a:ln>
            <a:effectLst/>
          </c:spPr>
          <c:invertIfNegative val="0"/>
          <c:cat>
            <c:strRef>
              <c:f>'Pivot Tables'!$F$37:$F$49</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 Tables'!$G$37:$G$49</c:f>
              <c:numCache>
                <c:formatCode>"$"#,##0.00</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extLst>
            <c:ext xmlns:c16="http://schemas.microsoft.com/office/drawing/2014/chart" uri="{C3380CC4-5D6E-409C-BE32-E72D297353CC}">
              <c16:uniqueId val="{00000000-575F-4791-84E3-9E254562109E}"/>
            </c:ext>
          </c:extLst>
        </c:ser>
        <c:ser>
          <c:idx val="1"/>
          <c:order val="1"/>
          <c:tx>
            <c:strRef>
              <c:f>'Pivot Tables'!$H$36</c:f>
              <c:strCache>
                <c:ptCount val="1"/>
                <c:pt idx="0">
                  <c:v>Sum of revenue</c:v>
                </c:pt>
              </c:strCache>
            </c:strRef>
          </c:tx>
          <c:spPr>
            <a:solidFill>
              <a:schemeClr val="accent2"/>
            </a:solidFill>
            <a:ln>
              <a:noFill/>
            </a:ln>
            <a:effectLst/>
          </c:spPr>
          <c:invertIfNegative val="0"/>
          <c:cat>
            <c:strRef>
              <c:f>'Pivot Tables'!$F$37:$F$49</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 Tables'!$H$37:$H$49</c:f>
              <c:numCache>
                <c:formatCode>"$"#,##0.00</c:formatCode>
                <c:ptCount val="12"/>
                <c:pt idx="0">
                  <c:v>4691994.4700000016</c:v>
                </c:pt>
                <c:pt idx="1">
                  <c:v>4749203.459999999</c:v>
                </c:pt>
                <c:pt idx="2">
                  <c:v>4407519.3800000027</c:v>
                </c:pt>
                <c:pt idx="3">
                  <c:v>5143463.57</c:v>
                </c:pt>
                <c:pt idx="4">
                  <c:v>3768913.3599999994</c:v>
                </c:pt>
                <c:pt idx="5">
                  <c:v>4362176.3099999996</c:v>
                </c:pt>
                <c:pt idx="6">
                  <c:v>3695093.9700000021</c:v>
                </c:pt>
                <c:pt idx="7">
                  <c:v>4301659.2600000016</c:v>
                </c:pt>
                <c:pt idx="8">
                  <c:v>4749430.2700000005</c:v>
                </c:pt>
                <c:pt idx="9">
                  <c:v>4670520.6799999978</c:v>
                </c:pt>
                <c:pt idx="10">
                  <c:v>4484002.7500000028</c:v>
                </c:pt>
                <c:pt idx="11">
                  <c:v>5159353.3300000019</c:v>
                </c:pt>
              </c:numCache>
            </c:numRef>
          </c:val>
          <c:extLst>
            <c:ext xmlns:c16="http://schemas.microsoft.com/office/drawing/2014/chart" uri="{C3380CC4-5D6E-409C-BE32-E72D297353CC}">
              <c16:uniqueId val="{00000001-575F-4791-84E3-9E254562109E}"/>
            </c:ext>
          </c:extLst>
        </c:ser>
        <c:dLbls>
          <c:showLegendKey val="0"/>
          <c:showVal val="0"/>
          <c:showCatName val="0"/>
          <c:showSerName val="0"/>
          <c:showPercent val="0"/>
          <c:showBubbleSize val="0"/>
        </c:dLbls>
        <c:gapWidth val="219"/>
        <c:overlap val="-27"/>
        <c:axId val="2055169567"/>
        <c:axId val="2055174367"/>
      </c:barChart>
      <c:catAx>
        <c:axId val="205516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74367"/>
        <c:crosses val="autoZero"/>
        <c:auto val="1"/>
        <c:lblAlgn val="ctr"/>
        <c:lblOffset val="100"/>
        <c:noMultiLvlLbl val="0"/>
      </c:catAx>
      <c:valAx>
        <c:axId val="205517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6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Platform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Sum of ad_spend</c:v>
                </c:pt>
              </c:strCache>
            </c:strRef>
          </c:tx>
          <c:spPr>
            <a:solidFill>
              <a:schemeClr val="accent1"/>
            </a:solidFill>
            <a:ln>
              <a:noFill/>
            </a:ln>
            <a:effectLst/>
          </c:spPr>
          <c:invertIfNegative val="0"/>
          <c:cat>
            <c:strRef>
              <c:f>'Pivot Tables'!$G$2:$G$5</c:f>
              <c:strCache>
                <c:ptCount val="3"/>
                <c:pt idx="0">
                  <c:v>Google Ads</c:v>
                </c:pt>
                <c:pt idx="1">
                  <c:v>Meta Ads</c:v>
                </c:pt>
                <c:pt idx="2">
                  <c:v>TikTok Ads</c:v>
                </c:pt>
              </c:strCache>
            </c:strRef>
          </c:cat>
          <c:val>
            <c:numRef>
              <c:f>'Pivot Tables'!$H$2:$H$5</c:f>
              <c:numCache>
                <c:formatCode>"$"#,##0.00</c:formatCode>
                <c:ptCount val="3"/>
                <c:pt idx="0">
                  <c:v>6349268.910000002</c:v>
                </c:pt>
                <c:pt idx="1">
                  <c:v>2106061.6699999971</c:v>
                </c:pt>
                <c:pt idx="2">
                  <c:v>2653418.5099999993</c:v>
                </c:pt>
              </c:numCache>
            </c:numRef>
          </c:val>
          <c:extLst>
            <c:ext xmlns:c16="http://schemas.microsoft.com/office/drawing/2014/chart" uri="{C3380CC4-5D6E-409C-BE32-E72D297353CC}">
              <c16:uniqueId val="{00000000-652F-469D-9349-2E033F08E4A0}"/>
            </c:ext>
          </c:extLst>
        </c:ser>
        <c:ser>
          <c:idx val="1"/>
          <c:order val="1"/>
          <c:tx>
            <c:strRef>
              <c:f>'Pivot Tables'!$I$1</c:f>
              <c:strCache>
                <c:ptCount val="1"/>
                <c:pt idx="0">
                  <c:v>Sum of revenue</c:v>
                </c:pt>
              </c:strCache>
            </c:strRef>
          </c:tx>
          <c:spPr>
            <a:solidFill>
              <a:schemeClr val="accent2"/>
            </a:solidFill>
            <a:ln>
              <a:noFill/>
            </a:ln>
            <a:effectLst/>
          </c:spPr>
          <c:invertIfNegative val="0"/>
          <c:cat>
            <c:strRef>
              <c:f>'Pivot Tables'!$G$2:$G$5</c:f>
              <c:strCache>
                <c:ptCount val="3"/>
                <c:pt idx="0">
                  <c:v>Google Ads</c:v>
                </c:pt>
                <c:pt idx="1">
                  <c:v>Meta Ads</c:v>
                </c:pt>
                <c:pt idx="2">
                  <c:v>TikTok Ads</c:v>
                </c:pt>
              </c:strCache>
            </c:strRef>
          </c:cat>
          <c:val>
            <c:numRef>
              <c:f>'Pivot Tables'!$I$2:$I$5</c:f>
              <c:numCache>
                <c:formatCode>"$"#,##0.00</c:formatCode>
                <c:ptCount val="3"/>
                <c:pt idx="0">
                  <c:v>22033744.950000033</c:v>
                </c:pt>
                <c:pt idx="1">
                  <c:v>11926045.789999984</c:v>
                </c:pt>
                <c:pt idx="2">
                  <c:v>20223540.07</c:v>
                </c:pt>
              </c:numCache>
            </c:numRef>
          </c:val>
          <c:extLst>
            <c:ext xmlns:c16="http://schemas.microsoft.com/office/drawing/2014/chart" uri="{C3380CC4-5D6E-409C-BE32-E72D297353CC}">
              <c16:uniqueId val="{00000001-652F-469D-9349-2E033F08E4A0}"/>
            </c:ext>
          </c:extLst>
        </c:ser>
        <c:dLbls>
          <c:showLegendKey val="0"/>
          <c:showVal val="0"/>
          <c:showCatName val="0"/>
          <c:showSerName val="0"/>
          <c:showPercent val="0"/>
          <c:showBubbleSize val="0"/>
        </c:dLbls>
        <c:gapWidth val="219"/>
        <c:overlap val="-27"/>
        <c:axId val="1944078207"/>
        <c:axId val="1944091167"/>
      </c:barChart>
      <c:catAx>
        <c:axId val="194407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91167"/>
        <c:crosses val="autoZero"/>
        <c:auto val="1"/>
        <c:lblAlgn val="ctr"/>
        <c:lblOffset val="100"/>
        <c:noMultiLvlLbl val="0"/>
      </c:catAx>
      <c:valAx>
        <c:axId val="194409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Highest ROAS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Tables'!$G$8</c:f>
              <c:strCache>
                <c:ptCount val="1"/>
                <c:pt idx="0">
                  <c:v>Total</c:v>
                </c:pt>
              </c:strCache>
            </c:strRef>
          </c:tx>
          <c:spPr>
            <a:solidFill>
              <a:schemeClr val="accent1"/>
            </a:solidFill>
            <a:ln>
              <a:noFill/>
            </a:ln>
            <a:effectLst/>
          </c:spPr>
          <c:invertIfNegative val="0"/>
          <c:cat>
            <c:strRef>
              <c:f>'Pivot Tables'!$F$9:$F$14</c:f>
              <c:strCache>
                <c:ptCount val="5"/>
                <c:pt idx="0">
                  <c:v>EdTech</c:v>
                </c:pt>
                <c:pt idx="1">
                  <c:v>SaaS</c:v>
                </c:pt>
                <c:pt idx="2">
                  <c:v>Healthcare</c:v>
                </c:pt>
                <c:pt idx="3">
                  <c:v>E-commerce</c:v>
                </c:pt>
                <c:pt idx="4">
                  <c:v>Fintech</c:v>
                </c:pt>
              </c:strCache>
            </c:strRef>
          </c:cat>
          <c:val>
            <c:numRef>
              <c:f>'Pivot Tables'!$G$9:$G$14</c:f>
              <c:numCache>
                <c:formatCode>0.0</c:formatCode>
                <c:ptCount val="5"/>
                <c:pt idx="0">
                  <c:v>6.8289516129032277</c:v>
                </c:pt>
                <c:pt idx="1">
                  <c:v>6.6479729729729709</c:v>
                </c:pt>
                <c:pt idx="2">
                  <c:v>6.587988505747127</c:v>
                </c:pt>
                <c:pt idx="3">
                  <c:v>6.1335243553008576</c:v>
                </c:pt>
                <c:pt idx="4">
                  <c:v>6.0313573407202234</c:v>
                </c:pt>
              </c:numCache>
            </c:numRef>
          </c:val>
          <c:extLst>
            <c:ext xmlns:c16="http://schemas.microsoft.com/office/drawing/2014/chart" uri="{C3380CC4-5D6E-409C-BE32-E72D297353CC}">
              <c16:uniqueId val="{00000000-2BF1-4FFA-95FC-38CFA084D9B9}"/>
            </c:ext>
          </c:extLst>
        </c:ser>
        <c:dLbls>
          <c:showLegendKey val="0"/>
          <c:showVal val="0"/>
          <c:showCatName val="0"/>
          <c:showSerName val="0"/>
          <c:showPercent val="0"/>
          <c:showBubbleSize val="0"/>
        </c:dLbls>
        <c:gapWidth val="182"/>
        <c:axId val="1936172175"/>
        <c:axId val="1936172655"/>
      </c:barChart>
      <c:catAx>
        <c:axId val="193617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72655"/>
        <c:crosses val="autoZero"/>
        <c:auto val="1"/>
        <c:lblAlgn val="ctr"/>
        <c:lblOffset val="100"/>
        <c:noMultiLvlLbl val="0"/>
      </c:catAx>
      <c:valAx>
        <c:axId val="1936172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[global_ads_performance_dataset_Cleaned_Data.xlsx]Pivot Tables!PivotTable16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Tables'!$G$17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B-4BD7-9747-12A20C517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B-4BD7-9747-12A20C5170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2B-4BD7-9747-12A20C5170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2B-4BD7-9747-12A20C5170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2B-4BD7-9747-12A20C5170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2B-4BD7-9747-12A20C5170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2B-4BD7-9747-12A20C517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Tables'!$F$18:$F$25</c:f>
              <c:strCache>
                <c:ptCount val="7"/>
                <c:pt idx="0">
                  <c:v>UAE</c:v>
                </c:pt>
                <c:pt idx="1">
                  <c:v>Australia</c:v>
                </c:pt>
                <c:pt idx="2">
                  <c:v>India</c:v>
                </c:pt>
                <c:pt idx="3">
                  <c:v>Canada</c:v>
                </c:pt>
                <c:pt idx="4">
                  <c:v>Germany</c:v>
                </c:pt>
                <c:pt idx="5">
                  <c:v>UK</c:v>
                </c:pt>
                <c:pt idx="6">
                  <c:v>USA</c:v>
                </c:pt>
              </c:strCache>
            </c:strRef>
          </c:cat>
          <c:val>
            <c:numRef>
              <c:f>'Pivot Tables'!$G$18:$G$25</c:f>
              <c:numCache>
                <c:formatCode>"$"#,##0.00</c:formatCode>
                <c:ptCount val="7"/>
                <c:pt idx="0">
                  <c:v>7939594.4099999974</c:v>
                </c:pt>
                <c:pt idx="1">
                  <c:v>7921847.8399999971</c:v>
                </c:pt>
                <c:pt idx="2">
                  <c:v>7909606.2600000007</c:v>
                </c:pt>
                <c:pt idx="3">
                  <c:v>7867323.1200000001</c:v>
                </c:pt>
                <c:pt idx="4">
                  <c:v>7694838.6100000031</c:v>
                </c:pt>
                <c:pt idx="5">
                  <c:v>7659544.2900000019</c:v>
                </c:pt>
                <c:pt idx="6">
                  <c:v>7190576.2799999984</c:v>
                </c:pt>
              </c:numCache>
            </c:numRef>
          </c:val>
          <c:extLst>
            <c:ext xmlns:c16="http://schemas.microsoft.com/office/drawing/2014/chart" uri="{C3380CC4-5D6E-409C-BE32-E72D297353CC}">
              <c16:uniqueId val="{0000000E-652B-4BD7-9747-12A20C5170B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0</xdr:colOff>
      <xdr:row>0</xdr:row>
      <xdr:rowOff>0</xdr:rowOff>
    </xdr:from>
    <xdr:to>
      <xdr:col>12</xdr:col>
      <xdr:colOff>1057275</xdr:colOff>
      <xdr:row>14</xdr:row>
      <xdr:rowOff>76200</xdr:rowOff>
    </xdr:to>
    <xdr:graphicFrame macro="">
      <xdr:nvGraphicFramePr>
        <xdr:cNvPr id="15" name="Chart 14">
          <a:extLst>
            <a:ext uri="{FF2B5EF4-FFF2-40B4-BE49-F238E27FC236}">
              <a16:creationId xmlns:a16="http://schemas.microsoft.com/office/drawing/2014/main" id="{BED06E93-E12D-3668-E484-46B25F388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14</xdr:row>
      <xdr:rowOff>100012</xdr:rowOff>
    </xdr:from>
    <xdr:to>
      <xdr:col>12</xdr:col>
      <xdr:colOff>1076325</xdr:colOff>
      <xdr:row>28</xdr:row>
      <xdr:rowOff>176212</xdr:rowOff>
    </xdr:to>
    <xdr:graphicFrame macro="">
      <xdr:nvGraphicFramePr>
        <xdr:cNvPr id="16" name="Chart 15">
          <a:extLst>
            <a:ext uri="{FF2B5EF4-FFF2-40B4-BE49-F238E27FC236}">
              <a16:creationId xmlns:a16="http://schemas.microsoft.com/office/drawing/2014/main" id="{3C5DA351-07D5-3107-0A16-B6E37DFC0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28</xdr:row>
      <xdr:rowOff>176212</xdr:rowOff>
    </xdr:from>
    <xdr:to>
      <xdr:col>12</xdr:col>
      <xdr:colOff>1057275</xdr:colOff>
      <xdr:row>43</xdr:row>
      <xdr:rowOff>61912</xdr:rowOff>
    </xdr:to>
    <xdr:graphicFrame macro="">
      <xdr:nvGraphicFramePr>
        <xdr:cNvPr id="17" name="Chart 16">
          <a:extLst>
            <a:ext uri="{FF2B5EF4-FFF2-40B4-BE49-F238E27FC236}">
              <a16:creationId xmlns:a16="http://schemas.microsoft.com/office/drawing/2014/main" id="{8D268FD5-A05E-A8D0-5E53-0E09A4969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43</xdr:row>
      <xdr:rowOff>61912</xdr:rowOff>
    </xdr:from>
    <xdr:to>
      <xdr:col>13</xdr:col>
      <xdr:colOff>161925</xdr:colOff>
      <xdr:row>57</xdr:row>
      <xdr:rowOff>138112</xdr:rowOff>
    </xdr:to>
    <xdr:graphicFrame macro="">
      <xdr:nvGraphicFramePr>
        <xdr:cNvPr id="18" name="Chart 17">
          <a:extLst>
            <a:ext uri="{FF2B5EF4-FFF2-40B4-BE49-F238E27FC236}">
              <a16:creationId xmlns:a16="http://schemas.microsoft.com/office/drawing/2014/main" id="{6703E5C6-5B2C-5864-D767-86A9448ED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57</xdr:row>
      <xdr:rowOff>185737</xdr:rowOff>
    </xdr:from>
    <xdr:to>
      <xdr:col>13</xdr:col>
      <xdr:colOff>171450</xdr:colOff>
      <xdr:row>72</xdr:row>
      <xdr:rowOff>71437</xdr:rowOff>
    </xdr:to>
    <xdr:graphicFrame macro="">
      <xdr:nvGraphicFramePr>
        <xdr:cNvPr id="19" name="Chart 18">
          <a:extLst>
            <a:ext uri="{FF2B5EF4-FFF2-40B4-BE49-F238E27FC236}">
              <a16:creationId xmlns:a16="http://schemas.microsoft.com/office/drawing/2014/main" id="{3BFC6CFE-2955-7C6E-E661-5E1B356D0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180976</xdr:colOff>
      <xdr:row>21</xdr:row>
      <xdr:rowOff>76200</xdr:rowOff>
    </xdr:from>
    <xdr:to>
      <xdr:col>13</xdr:col>
      <xdr:colOff>361951</xdr:colOff>
      <xdr:row>35</xdr:row>
      <xdr:rowOff>114300</xdr:rowOff>
    </xdr:to>
    <xdr:graphicFrame macro="">
      <xdr:nvGraphicFramePr>
        <xdr:cNvPr id="15" name="Chart 14">
          <a:extLst>
            <a:ext uri="{FF2B5EF4-FFF2-40B4-BE49-F238E27FC236}">
              <a16:creationId xmlns:a16="http://schemas.microsoft.com/office/drawing/2014/main" id="{AF9FBB35-FF6D-4623-A4FA-A0F46E508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800100</xdr:colOff>
      <xdr:row>35</xdr:row>
      <xdr:rowOff>114300</xdr:rowOff>
    </xdr:from>
    <xdr:to>
      <xdr:col>13</xdr:col>
      <xdr:colOff>361950</xdr:colOff>
      <xdr:row>53</xdr:row>
      <xdr:rowOff>95250</xdr:rowOff>
    </xdr:to>
    <xdr:graphicFrame macro="">
      <xdr:nvGraphicFramePr>
        <xdr:cNvPr id="16" name="Chart 15">
          <a:extLst>
            <a:ext uri="{FF2B5EF4-FFF2-40B4-BE49-F238E27FC236}">
              <a16:creationId xmlns:a16="http://schemas.microsoft.com/office/drawing/2014/main" id="{8FC03D95-7FA4-4744-B13A-AB2258566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16</xdr:row>
      <xdr:rowOff>104775</xdr:rowOff>
    </xdr:from>
    <xdr:to>
      <xdr:col>2</xdr:col>
      <xdr:colOff>628650</xdr:colOff>
      <xdr:row>23</xdr:row>
      <xdr:rowOff>66675</xdr:rowOff>
    </xdr:to>
    <mc:AlternateContent xmlns:mc="http://schemas.openxmlformats.org/markup-compatibility/2006">
      <mc:Choice xmlns:a14="http://schemas.microsoft.com/office/drawing/2010/main" Requires="a14">
        <xdr:graphicFrame macro="">
          <xdr:nvGraphicFramePr>
            <xdr:cNvPr id="26" name="platform">
              <a:extLst>
                <a:ext uri="{FF2B5EF4-FFF2-40B4-BE49-F238E27FC236}">
                  <a16:creationId xmlns:a16="http://schemas.microsoft.com/office/drawing/2014/main" id="{9A7577DB-C8B9-B0DD-4859-10051C76EB3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0" y="3152775"/>
              <a:ext cx="184785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0</xdr:rowOff>
    </xdr:from>
    <xdr:to>
      <xdr:col>2</xdr:col>
      <xdr:colOff>609600</xdr:colOff>
      <xdr:row>16</xdr:row>
      <xdr:rowOff>114300</xdr:rowOff>
    </xdr:to>
    <mc:AlternateContent xmlns:mc="http://schemas.openxmlformats.org/markup-compatibility/2006">
      <mc:Choice xmlns:a14="http://schemas.microsoft.com/office/drawing/2010/main" Requires="a14">
        <xdr:graphicFrame macro="">
          <xdr:nvGraphicFramePr>
            <xdr:cNvPr id="27" name="industry">
              <a:extLst>
                <a:ext uri="{FF2B5EF4-FFF2-40B4-BE49-F238E27FC236}">
                  <a16:creationId xmlns:a16="http://schemas.microsoft.com/office/drawing/2014/main" id="{391C4977-B478-F498-AD96-8AA04BF212DF}"/>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0" y="13335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57150</xdr:rowOff>
    </xdr:from>
    <xdr:to>
      <xdr:col>2</xdr:col>
      <xdr:colOff>638175</xdr:colOff>
      <xdr:row>36</xdr:row>
      <xdr:rowOff>57150</xdr:rowOff>
    </xdr:to>
    <mc:AlternateContent xmlns:mc="http://schemas.openxmlformats.org/markup-compatibility/2006">
      <mc:Choice xmlns:a14="http://schemas.microsoft.com/office/drawing/2010/main" Requires="a14">
        <xdr:graphicFrame macro="">
          <xdr:nvGraphicFramePr>
            <xdr:cNvPr id="28" name="country">
              <a:extLst>
                <a:ext uri="{FF2B5EF4-FFF2-40B4-BE49-F238E27FC236}">
                  <a16:creationId xmlns:a16="http://schemas.microsoft.com/office/drawing/2014/main" id="{C337B3A4-C786-801F-414C-421AB6C83CA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4438650"/>
              <a:ext cx="1857375"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800099</xdr:colOff>
      <xdr:row>7</xdr:row>
      <xdr:rowOff>0</xdr:rowOff>
    </xdr:from>
    <xdr:to>
      <xdr:col>8</xdr:col>
      <xdr:colOff>190499</xdr:colOff>
      <xdr:row>21</xdr:row>
      <xdr:rowOff>76200</xdr:rowOff>
    </xdr:to>
    <xdr:graphicFrame macro="">
      <xdr:nvGraphicFramePr>
        <xdr:cNvPr id="29" name="Chart 28">
          <a:extLst>
            <a:ext uri="{FF2B5EF4-FFF2-40B4-BE49-F238E27FC236}">
              <a16:creationId xmlns:a16="http://schemas.microsoft.com/office/drawing/2014/main" id="{6E2D5010-7000-3EB2-9BE3-95613FB72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190499</xdr:colOff>
      <xdr:row>7</xdr:row>
      <xdr:rowOff>0</xdr:rowOff>
    </xdr:from>
    <xdr:to>
      <xdr:col>13</xdr:col>
      <xdr:colOff>361950</xdr:colOff>
      <xdr:row>21</xdr:row>
      <xdr:rowOff>76200</xdr:rowOff>
    </xdr:to>
    <xdr:graphicFrame macro="">
      <xdr:nvGraphicFramePr>
        <xdr:cNvPr id="30" name="Chart 29">
          <a:extLst>
            <a:ext uri="{FF2B5EF4-FFF2-40B4-BE49-F238E27FC236}">
              <a16:creationId xmlns:a16="http://schemas.microsoft.com/office/drawing/2014/main" id="{C71A6E78-5ADB-265D-F8ED-D37CACEFD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800099</xdr:colOff>
      <xdr:row>21</xdr:row>
      <xdr:rowOff>76200</xdr:rowOff>
    </xdr:from>
    <xdr:to>
      <xdr:col>8</xdr:col>
      <xdr:colOff>190499</xdr:colOff>
      <xdr:row>35</xdr:row>
      <xdr:rowOff>114300</xdr:rowOff>
    </xdr:to>
    <xdr:graphicFrame macro="">
      <xdr:nvGraphicFramePr>
        <xdr:cNvPr id="31" name="Chart 30">
          <a:extLst>
            <a:ext uri="{FF2B5EF4-FFF2-40B4-BE49-F238E27FC236}">
              <a16:creationId xmlns:a16="http://schemas.microsoft.com/office/drawing/2014/main" id="{1B2A8971-6C1F-99E3-CCCA-0C12750AD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36</xdr:row>
      <xdr:rowOff>57150</xdr:rowOff>
    </xdr:from>
    <xdr:to>
      <xdr:col>2</xdr:col>
      <xdr:colOff>628650</xdr:colOff>
      <xdr:row>50</xdr:row>
      <xdr:rowOff>57150</xdr:rowOff>
    </xdr:to>
    <mc:AlternateContent xmlns:mc="http://schemas.openxmlformats.org/markup-compatibility/2006">
      <mc:Choice xmlns:a14="http://schemas.microsoft.com/office/drawing/2010/main" Requires="a14">
        <xdr:graphicFrame macro="">
          <xdr:nvGraphicFramePr>
            <xdr:cNvPr id="32" name="Month">
              <a:extLst>
                <a:ext uri="{FF2B5EF4-FFF2-40B4-BE49-F238E27FC236}">
                  <a16:creationId xmlns:a16="http://schemas.microsoft.com/office/drawing/2014/main" id="{FC93E0BF-0B89-5928-F02D-A2713B92B1E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050" y="6915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ng Nguyen" refreshedDate="46048.534681018522" createdVersion="8" refreshedVersion="8" minRefreshableVersion="3" recordCount="1800" xr:uid="{6EC69BDD-0F47-4534-98EE-7A0158420F8C}">
  <cacheSource type="worksheet">
    <worksheetSource ref="A1:Q1801" sheet="Working Sheet"/>
  </cacheSource>
  <cacheFields count="17">
    <cacheField name="date" numFmtId="14">
      <sharedItems containsSemiMixedTypes="0" containsNonDate="0" containsDate="1" containsString="0" minDate="2024-01-01T00:00:00" maxDate="2024-12-31T00:00:00"/>
    </cacheField>
    <cacheField name="Month" numFmtId="14">
      <sharedItems count="12">
        <s v="2024-01"/>
        <s v="2024-06"/>
        <s v="2024-02"/>
        <s v="2024-10"/>
        <s v="2024-08"/>
        <s v="2024-04"/>
        <s v="2024-11"/>
        <s v="2024-09"/>
        <s v="2024-05"/>
        <s v="2024-12"/>
        <s v="2024-07"/>
        <s v="2024-03"/>
      </sharedItems>
    </cacheField>
    <cacheField name="platform" numFmtId="0">
      <sharedItems count="3">
        <s v="Google Ads"/>
        <s v="TikTok Ads"/>
        <s v="Meta Ads"/>
      </sharedItems>
    </cacheField>
    <cacheField name="campaign_type" numFmtId="0">
      <sharedItems/>
    </cacheField>
    <cacheField name="industry" numFmtId="0">
      <sharedItems count="5">
        <s v="Fintech"/>
        <s v="EdTech"/>
        <s v="Healthcare"/>
        <s v="SaaS"/>
        <s v="E-commerce"/>
      </sharedItems>
    </cacheField>
    <cacheField name="country" numFmtId="0">
      <sharedItems/>
    </cacheField>
    <cacheField name="impressions" numFmtId="1">
      <sharedItems containsSemiMixedTypes="0" containsString="0" containsNumber="1" containsInteger="1" minValue="5059" maxValue="199650"/>
    </cacheField>
    <cacheField name="clicks" numFmtId="1">
      <sharedItems containsSemiMixedTypes="0" containsString="0" containsNumber="1" containsInteger="1" minValue="91" maxValue="16660"/>
    </cacheField>
    <cacheField name="CTR" numFmtId="167">
      <sharedItems containsSemiMixedTypes="0" containsString="0" containsNumber="1" minValue="8.8999999999999999E-3" maxValue="9.5600000000000004E-2"/>
    </cacheField>
    <cacheField name="CPC" numFmtId="2">
      <sharedItems containsSemiMixedTypes="0" containsString="0" containsNumber="1" minValue="0.28000000000000003" maxValue="3.95"/>
    </cacheField>
    <cacheField name="ad_spend" numFmtId="169">
      <sharedItems containsSemiMixedTypes="0" containsString="0" containsNumber="1" minValue="58" maxValue="38453.32"/>
    </cacheField>
    <cacheField name="conversions" numFmtId="1">
      <sharedItems containsSemiMixedTypes="0" containsString="0" containsNumber="1" containsInteger="1" minValue="2" maxValue="1151"/>
    </cacheField>
    <cacheField name="CPA" numFmtId="2">
      <sharedItems containsSemiMixedTypes="0" containsString="0" containsNumber="1" minValue="4.8" maxValue="335.86"/>
    </cacheField>
    <cacheField name="revenue" numFmtId="169">
      <sharedItems containsSemiMixedTypes="0" containsString="0" containsNumber="1" minValue="142.69" maxValue="295028.26"/>
    </cacheField>
    <cacheField name="Profit" numFmtId="169">
      <sharedItems containsSemiMixedTypes="0" containsString="0" containsNumber="1" minValue="-30828.100000000002" maxValue="283171.06"/>
    </cacheField>
    <cacheField name="Profit Margin" numFmtId="169">
      <sharedItems containsSemiMixedTypes="0" containsString="0" containsNumber="1" minValue="-0.86761308100466028" maxValue="48.004156501310206"/>
    </cacheField>
    <cacheField name="ROAS" numFmtId="166">
      <sharedItems containsSemiMixedTypes="0" containsString="0" containsNumber="1" minValue="0.13" maxValue="49"/>
    </cacheField>
  </cacheFields>
  <extLst>
    <ext xmlns:x14="http://schemas.microsoft.com/office/spreadsheetml/2009/9/main" uri="{725AE2AE-9491-48be-B2B4-4EB974FC3084}">
      <x14:pivotCacheDefinition pivotCacheId="2458888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ng Nguyen" refreshedDate="46048.534681597223" createdVersion="8" refreshedVersion="8" minRefreshableVersion="3" recordCount="1800" xr:uid="{965BDD4F-B5EA-478C-AC1A-FE3689999226}">
  <cacheSource type="worksheet">
    <worksheetSource ref="A1:S1801" sheet="Working Sheet"/>
  </cacheSource>
  <cacheFields count="19">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cacheField>
    <cacheField name="Month" numFmtId="14">
      <sharedItems count="12">
        <s v="2024-01"/>
        <s v="2024-06"/>
        <s v="2024-02"/>
        <s v="2024-10"/>
        <s v="2024-08"/>
        <s v="2024-04"/>
        <s v="2024-11"/>
        <s v="2024-09"/>
        <s v="2024-05"/>
        <s v="2024-12"/>
        <s v="2024-07"/>
        <s v="2024-03"/>
      </sharedItems>
    </cacheField>
    <cacheField name="platform" numFmtId="0">
      <sharedItems/>
    </cacheField>
    <cacheField name="campaign_type" numFmtId="0">
      <sharedItems count="4">
        <s v="Search"/>
        <s v="Video"/>
        <s v="Shopping"/>
        <s v="Display"/>
      </sharedItems>
    </cacheField>
    <cacheField name="industry" numFmtId="0">
      <sharedItems/>
    </cacheField>
    <cacheField name="country" numFmtId="0">
      <sharedItems count="7">
        <s v="UAE"/>
        <s v="UK"/>
        <s v="USA"/>
        <s v="Germany"/>
        <s v="Canada"/>
        <s v="India"/>
        <s v="Australia"/>
      </sharedItems>
    </cacheField>
    <cacheField name="impressions" numFmtId="1">
      <sharedItems containsSemiMixedTypes="0" containsString="0" containsNumber="1" containsInteger="1" minValue="5059" maxValue="199650"/>
    </cacheField>
    <cacheField name="clicks" numFmtId="1">
      <sharedItems containsSemiMixedTypes="0" containsString="0" containsNumber="1" containsInteger="1" minValue="91" maxValue="16660"/>
    </cacheField>
    <cacheField name="CTR" numFmtId="167">
      <sharedItems containsSemiMixedTypes="0" containsString="0" containsNumber="1" minValue="8.8999999999999999E-3" maxValue="9.5600000000000004E-2"/>
    </cacheField>
    <cacheField name="CPC" numFmtId="2">
      <sharedItems containsSemiMixedTypes="0" containsString="0" containsNumber="1" minValue="0.28000000000000003" maxValue="3.95"/>
    </cacheField>
    <cacheField name="ad_spend" numFmtId="169">
      <sharedItems containsSemiMixedTypes="0" containsString="0" containsNumber="1" minValue="58" maxValue="38453.32"/>
    </cacheField>
    <cacheField name="conversions" numFmtId="1">
      <sharedItems containsSemiMixedTypes="0" containsString="0" containsNumber="1" containsInteger="1" minValue="2" maxValue="1151"/>
    </cacheField>
    <cacheField name="CPA" numFmtId="2">
      <sharedItems containsSemiMixedTypes="0" containsString="0" containsNumber="1" minValue="4.8" maxValue="335.86"/>
    </cacheField>
    <cacheField name="revenue" numFmtId="169">
      <sharedItems containsSemiMixedTypes="0" containsString="0" containsNumber="1" minValue="142.69" maxValue="295028.26"/>
    </cacheField>
    <cacheField name="Profit" numFmtId="169">
      <sharedItems containsSemiMixedTypes="0" containsString="0" containsNumber="1" minValue="-30828.100000000002" maxValue="283171.06"/>
    </cacheField>
    <cacheField name="Profit Margin" numFmtId="169">
      <sharedItems containsSemiMixedTypes="0" containsString="0" containsNumber="1" minValue="-0.86761308100466028" maxValue="48.004156501310206"/>
    </cacheField>
    <cacheField name="ROAS" numFmtId="166">
      <sharedItems containsSemiMixedTypes="0" containsString="0" containsNumber="1" minValue="0.13" maxValue="49"/>
    </cacheField>
    <cacheField name="Performance Bucket" numFmtId="0">
      <sharedItems/>
    </cacheField>
    <cacheField name="Row_Status" numFmtId="0">
      <sharedItems/>
    </cacheField>
  </cacheFields>
  <extLst>
    <ext xmlns:x14="http://schemas.microsoft.com/office/spreadsheetml/2009/9/main" uri="{725AE2AE-9491-48be-B2B4-4EB974FC3084}">
      <x14:pivotCacheDefinition pivotCacheId="1902779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d v="2024-01-21T00:00:00"/>
    <x v="0"/>
    <x v="0"/>
    <s v="Search"/>
    <x v="0"/>
    <s v="UAE"/>
    <n v="59886"/>
    <n v="2113"/>
    <n v="3.5299999999999998E-2"/>
    <n v="1.26"/>
    <n v="2662.38"/>
    <n v="159"/>
    <n v="16.739999999999998"/>
    <n v="4803.43"/>
    <n v="2141.0500000000002"/>
    <n v="0.80418647976622426"/>
    <n v="1.8"/>
  </r>
  <r>
    <d v="2024-01-22T00:00:00"/>
    <x v="0"/>
    <x v="1"/>
    <s v="Search"/>
    <x v="1"/>
    <s v="UK"/>
    <n v="135608"/>
    <n v="5220"/>
    <n v="3.85E-2"/>
    <n v="1.18"/>
    <n v="6159.6"/>
    <n v="411"/>
    <n v="14.99"/>
    <n v="64126.68"/>
    <n v="57967.08"/>
    <n v="9.4108513539840253"/>
    <n v="10.41"/>
  </r>
  <r>
    <d v="2024-06-15T00:00:00"/>
    <x v="1"/>
    <x v="1"/>
    <s v="Video"/>
    <x v="2"/>
    <s v="USA"/>
    <n v="92313"/>
    <n v="5991"/>
    <n v="6.4899999999999999E-2"/>
    <n v="0.85"/>
    <n v="5092.3500000000004"/>
    <n v="267"/>
    <n v="19.07"/>
    <n v="10489.07"/>
    <n v="5396.7199999999993"/>
    <n v="1.0597700472277041"/>
    <n v="2.06"/>
  </r>
  <r>
    <d v="2024-01-02T00:00:00"/>
    <x v="0"/>
    <x v="1"/>
    <s v="Shopping"/>
    <x v="3"/>
    <s v="Germany"/>
    <n v="83953"/>
    <n v="5935"/>
    <n v="7.0699999999999999E-2"/>
    <n v="1.32"/>
    <n v="7834.2"/>
    <n v="296"/>
    <n v="26.47"/>
    <n v="50505.07"/>
    <n v="42670.87"/>
    <n v="5.4467424880651505"/>
    <n v="6.45"/>
  </r>
  <r>
    <d v="2024-02-22T00:00:00"/>
    <x v="2"/>
    <x v="1"/>
    <s v="Search"/>
    <x v="2"/>
    <s v="UK"/>
    <n v="91807"/>
    <n v="4489"/>
    <n v="4.8899999999999999E-2"/>
    <n v="1.93"/>
    <n v="8663.77"/>
    <n v="107"/>
    <n v="80.97"/>
    <n v="3369.53"/>
    <n v="-5294.24"/>
    <n v="-0.61107808725300872"/>
    <n v="0.39"/>
  </r>
  <r>
    <d v="2024-10-15T00:00:00"/>
    <x v="3"/>
    <x v="1"/>
    <s v="Search"/>
    <x v="0"/>
    <s v="Canada"/>
    <n v="17666"/>
    <n v="724"/>
    <n v="4.1000000000000002E-2"/>
    <n v="0.37"/>
    <n v="267.88"/>
    <n v="23"/>
    <n v="11.65"/>
    <n v="5220.8500000000004"/>
    <n v="4952.97"/>
    <n v="18.489510228460507"/>
    <n v="19.489999999999998"/>
  </r>
  <r>
    <d v="2024-08-14T00:00:00"/>
    <x v="4"/>
    <x v="2"/>
    <s v="Video"/>
    <x v="0"/>
    <s v="USA"/>
    <n v="118252"/>
    <n v="3748"/>
    <n v="3.1699999999999999E-2"/>
    <n v="0.42"/>
    <n v="1574.16"/>
    <n v="152"/>
    <n v="10.36"/>
    <n v="12838.56"/>
    <n v="11264.4"/>
    <n v="7.1558164354322296"/>
    <n v="8.16"/>
  </r>
  <r>
    <d v="2024-04-05T00:00:00"/>
    <x v="5"/>
    <x v="1"/>
    <s v="Search"/>
    <x v="1"/>
    <s v="UAE"/>
    <n v="92939"/>
    <n v="5176"/>
    <n v="5.57E-2"/>
    <n v="0.66"/>
    <n v="3416.16"/>
    <n v="388"/>
    <n v="8.8000000000000007"/>
    <n v="96298.69"/>
    <n v="92882.53"/>
    <n v="27.189162685588499"/>
    <n v="28.19"/>
  </r>
  <r>
    <d v="2024-04-17T00:00:00"/>
    <x v="5"/>
    <x v="2"/>
    <s v="Display"/>
    <x v="1"/>
    <s v="Germany"/>
    <n v="30939"/>
    <n v="937"/>
    <n v="3.0300000000000001E-2"/>
    <n v="0.59"/>
    <n v="552.83000000000004"/>
    <n v="63"/>
    <n v="8.7799999999999994"/>
    <n v="16531.03"/>
    <n v="15978.199999999999"/>
    <n v="28.902555939438884"/>
    <n v="29.9"/>
  </r>
  <r>
    <d v="2024-11-13T00:00:00"/>
    <x v="6"/>
    <x v="0"/>
    <s v="Shopping"/>
    <x v="0"/>
    <s v="USA"/>
    <n v="8748"/>
    <n v="362"/>
    <n v="4.1399999999999999E-2"/>
    <n v="1.21"/>
    <n v="438.02"/>
    <n v="10"/>
    <n v="43.8"/>
    <n v="966.57"/>
    <n v="528.55000000000007"/>
    <n v="1.2066800602712207"/>
    <n v="2.21"/>
  </r>
  <r>
    <d v="2024-04-22T00:00:00"/>
    <x v="5"/>
    <x v="2"/>
    <s v="Video"/>
    <x v="4"/>
    <s v="UAE"/>
    <n v="98264"/>
    <n v="3144"/>
    <n v="3.2000000000000001E-2"/>
    <n v="1.56"/>
    <n v="4904.6400000000003"/>
    <n v="129"/>
    <n v="38.020000000000003"/>
    <n v="23127.27"/>
    <n v="18222.63"/>
    <n v="3.7153858387159913"/>
    <n v="4.72"/>
  </r>
  <r>
    <d v="2024-09-11T00:00:00"/>
    <x v="7"/>
    <x v="2"/>
    <s v="Video"/>
    <x v="0"/>
    <s v="Canada"/>
    <n v="173229"/>
    <n v="5092"/>
    <n v="2.9399999999999999E-2"/>
    <n v="1.72"/>
    <n v="8758.24"/>
    <n v="65"/>
    <n v="134.74"/>
    <n v="12320.17"/>
    <n v="3561.9300000000003"/>
    <n v="0.40669472405414792"/>
    <n v="1.41"/>
  </r>
  <r>
    <d v="2024-05-26T00:00:00"/>
    <x v="8"/>
    <x v="2"/>
    <s v="Video"/>
    <x v="3"/>
    <s v="Canada"/>
    <n v="147483"/>
    <n v="2138"/>
    <n v="1.4500000000000001E-2"/>
    <n v="0.56999999999999995"/>
    <n v="1218.6600000000001"/>
    <n v="159"/>
    <n v="7.66"/>
    <n v="42434.18"/>
    <n v="41215.519999999997"/>
    <n v="33.820360067615248"/>
    <n v="34.82"/>
  </r>
  <r>
    <d v="2024-02-29T00:00:00"/>
    <x v="2"/>
    <x v="0"/>
    <s v="Shopping"/>
    <x v="3"/>
    <s v="USA"/>
    <n v="116472"/>
    <n v="4006"/>
    <n v="3.44E-2"/>
    <n v="2.68"/>
    <n v="10736.08"/>
    <n v="291"/>
    <n v="36.89"/>
    <n v="78428.38"/>
    <n v="67692.3"/>
    <n v="6.3051225400704913"/>
    <n v="7.31"/>
  </r>
  <r>
    <d v="2024-04-22T00:00:00"/>
    <x v="5"/>
    <x v="1"/>
    <s v="Shopping"/>
    <x v="1"/>
    <s v="Canada"/>
    <n v="37711"/>
    <n v="2111"/>
    <n v="5.6000000000000001E-2"/>
    <n v="0.68"/>
    <n v="1435.48"/>
    <n v="92"/>
    <n v="15.6"/>
    <n v="13898.86"/>
    <n v="12463.380000000001"/>
    <n v="8.6823780198957845"/>
    <n v="9.68"/>
  </r>
  <r>
    <d v="2024-10-15T00:00:00"/>
    <x v="3"/>
    <x v="1"/>
    <s v="Shopping"/>
    <x v="4"/>
    <s v="Germany"/>
    <n v="96412"/>
    <n v="7047"/>
    <n v="7.3099999999999998E-2"/>
    <n v="1.1100000000000001"/>
    <n v="7822.17"/>
    <n v="194"/>
    <n v="40.32"/>
    <n v="36717.43"/>
    <n v="28895.260000000002"/>
    <n v="3.6940209686058987"/>
    <n v="4.6900000000000004"/>
  </r>
  <r>
    <d v="2024-08-13T00:00:00"/>
    <x v="4"/>
    <x v="1"/>
    <s v="Video"/>
    <x v="0"/>
    <s v="Canada"/>
    <n v="184476"/>
    <n v="8854"/>
    <n v="4.8000000000000001E-2"/>
    <n v="0.35"/>
    <n v="3098.9"/>
    <n v="198"/>
    <n v="15.65"/>
    <n v="56216.92"/>
    <n v="53118.02"/>
    <n v="17.140927425860788"/>
    <n v="18.14"/>
  </r>
  <r>
    <d v="2024-08-20T00:00:00"/>
    <x v="4"/>
    <x v="1"/>
    <s v="Search"/>
    <x v="0"/>
    <s v="Germany"/>
    <n v="38828"/>
    <n v="3607"/>
    <n v="9.2899999999999996E-2"/>
    <n v="0.97"/>
    <n v="3498.79"/>
    <n v="116"/>
    <n v="30.16"/>
    <n v="8788.51"/>
    <n v="5289.72"/>
    <n v="1.5118712469167914"/>
    <n v="2.5099999999999998"/>
  </r>
  <r>
    <d v="2024-12-25T00:00:00"/>
    <x v="9"/>
    <x v="2"/>
    <s v="Video"/>
    <x v="3"/>
    <s v="Canada"/>
    <n v="187957"/>
    <n v="4586"/>
    <n v="2.4400000000000002E-2"/>
    <n v="2.1"/>
    <n v="9630.6"/>
    <n v="271"/>
    <n v="35.54"/>
    <n v="34433.97"/>
    <n v="24803.370000000003"/>
    <n v="2.5754750482835962"/>
    <n v="3.58"/>
  </r>
  <r>
    <d v="2024-11-01T00:00:00"/>
    <x v="6"/>
    <x v="0"/>
    <s v="Video"/>
    <x v="3"/>
    <s v="Canada"/>
    <n v="34592"/>
    <n v="1615"/>
    <n v="4.6699999999999998E-2"/>
    <n v="1.1499999999999999"/>
    <n v="1857.25"/>
    <n v="116"/>
    <n v="16.010000000000002"/>
    <n v="4344.96"/>
    <n v="2487.71"/>
    <n v="1.3394588773724594"/>
    <n v="2.34"/>
  </r>
  <r>
    <d v="2024-07-04T00:00:00"/>
    <x v="10"/>
    <x v="2"/>
    <s v="Shopping"/>
    <x v="0"/>
    <s v="USA"/>
    <n v="185798"/>
    <n v="5889"/>
    <n v="3.1699999999999999E-2"/>
    <n v="0.9"/>
    <n v="5300.1"/>
    <n v="400"/>
    <n v="13.25"/>
    <n v="41326.629999999997"/>
    <n v="36026.53"/>
    <n v="6.7973302390520924"/>
    <n v="7.8"/>
  </r>
  <r>
    <d v="2024-12-30T00:00:00"/>
    <x v="9"/>
    <x v="1"/>
    <s v="Video"/>
    <x v="1"/>
    <s v="India"/>
    <n v="194407"/>
    <n v="13122"/>
    <n v="6.7500000000000004E-2"/>
    <n v="0.85"/>
    <n v="11153.7"/>
    <n v="379"/>
    <n v="29.43"/>
    <n v="56289.95"/>
    <n v="45136.25"/>
    <n v="4.0467513022584427"/>
    <n v="5.05"/>
  </r>
  <r>
    <d v="2024-11-13T00:00:00"/>
    <x v="6"/>
    <x v="0"/>
    <s v="Search"/>
    <x v="3"/>
    <s v="UAE"/>
    <n v="188062"/>
    <n v="8143"/>
    <n v="4.3299999999999998E-2"/>
    <n v="1.8"/>
    <n v="14657.4"/>
    <n v="614"/>
    <n v="23.87"/>
    <n v="124232.5"/>
    <n v="109575.1"/>
    <n v="7.4757528620355593"/>
    <n v="8.48"/>
  </r>
  <r>
    <d v="2024-12-14T00:00:00"/>
    <x v="9"/>
    <x v="2"/>
    <s v="Shopping"/>
    <x v="2"/>
    <s v="India"/>
    <n v="195710"/>
    <n v="4481"/>
    <n v="2.29E-2"/>
    <n v="0.53"/>
    <n v="2374.9299999999998"/>
    <n v="352"/>
    <n v="6.75"/>
    <n v="27223.39"/>
    <n v="24848.46"/>
    <n v="10.462817851473517"/>
    <n v="11.46"/>
  </r>
  <r>
    <d v="2024-04-09T00:00:00"/>
    <x v="5"/>
    <x v="0"/>
    <s v="Display"/>
    <x v="2"/>
    <s v="Australia"/>
    <n v="198824"/>
    <n v="9046"/>
    <n v="4.5499999999999999E-2"/>
    <n v="3.61"/>
    <n v="32656.06"/>
    <n v="407"/>
    <n v="80.239999999999995"/>
    <n v="71482.19"/>
    <n v="38826.130000000005"/>
    <n v="1.1889410418770667"/>
    <n v="2.19"/>
  </r>
  <r>
    <d v="2024-06-08T00:00:00"/>
    <x v="1"/>
    <x v="2"/>
    <s v="Shopping"/>
    <x v="3"/>
    <s v="USA"/>
    <n v="196962"/>
    <n v="5081"/>
    <n v="2.58E-2"/>
    <n v="2.06"/>
    <n v="10466.86"/>
    <n v="282"/>
    <n v="37.119999999999997"/>
    <n v="24196.95"/>
    <n v="13730.09"/>
    <n v="1.3117678081105508"/>
    <n v="2.31"/>
  </r>
  <r>
    <d v="2024-08-29T00:00:00"/>
    <x v="4"/>
    <x v="0"/>
    <s v="Shopping"/>
    <x v="3"/>
    <s v="UAE"/>
    <n v="105386"/>
    <n v="3783"/>
    <n v="3.5900000000000001E-2"/>
    <n v="1.82"/>
    <n v="6885.06"/>
    <n v="130"/>
    <n v="52.96"/>
    <n v="36776.35"/>
    <n v="29891.289999999997"/>
    <n v="4.3414712435330989"/>
    <n v="5.34"/>
  </r>
  <r>
    <d v="2024-09-05T00:00:00"/>
    <x v="7"/>
    <x v="0"/>
    <s v="Search"/>
    <x v="2"/>
    <s v="UAE"/>
    <n v="49425"/>
    <n v="1996"/>
    <n v="4.0399999999999998E-2"/>
    <n v="1.27"/>
    <n v="2534.92"/>
    <n v="98"/>
    <n v="25.87"/>
    <n v="9253.27"/>
    <n v="6718.35"/>
    <n v="2.6503203256907515"/>
    <n v="3.65"/>
  </r>
  <r>
    <d v="2024-12-26T00:00:00"/>
    <x v="9"/>
    <x v="2"/>
    <s v="Video"/>
    <x v="4"/>
    <s v="Canada"/>
    <n v="191141"/>
    <n v="4453"/>
    <n v="2.3300000000000001E-2"/>
    <n v="1.23"/>
    <n v="5477.19"/>
    <n v="72"/>
    <n v="76.069999999999993"/>
    <n v="8367.4599999999991"/>
    <n v="2890.2699999999995"/>
    <n v="0.52769211949923223"/>
    <n v="1.53"/>
  </r>
  <r>
    <d v="2024-05-23T00:00:00"/>
    <x v="8"/>
    <x v="1"/>
    <s v="Shopping"/>
    <x v="1"/>
    <s v="Canada"/>
    <n v="91900"/>
    <n v="4696"/>
    <n v="5.11E-2"/>
    <n v="0.53"/>
    <n v="2488.88"/>
    <n v="367"/>
    <n v="6.78"/>
    <n v="109696.83"/>
    <n v="107207.95"/>
    <n v="43.074776606345019"/>
    <n v="44.07"/>
  </r>
  <r>
    <d v="2024-11-26T00:00:00"/>
    <x v="6"/>
    <x v="0"/>
    <s v="Video"/>
    <x v="2"/>
    <s v="Canada"/>
    <n v="11801"/>
    <n v="795"/>
    <n v="6.7400000000000002E-2"/>
    <n v="2.97"/>
    <n v="2361.15"/>
    <n v="57"/>
    <n v="41.42"/>
    <n v="3966.25"/>
    <n v="1605.1"/>
    <n v="0.67979586218579924"/>
    <n v="1.68"/>
  </r>
  <r>
    <d v="2024-11-16T00:00:00"/>
    <x v="6"/>
    <x v="2"/>
    <s v="Display"/>
    <x v="0"/>
    <s v="UAE"/>
    <n v="193926"/>
    <n v="5837"/>
    <n v="3.0099999999999998E-2"/>
    <n v="1"/>
    <n v="5837"/>
    <n v="193"/>
    <n v="30.24"/>
    <n v="28429.29"/>
    <n v="22592.29"/>
    <n v="3.870531094740449"/>
    <n v="4.87"/>
  </r>
  <r>
    <d v="2024-02-27T00:00:00"/>
    <x v="2"/>
    <x v="0"/>
    <s v="Display"/>
    <x v="1"/>
    <s v="India"/>
    <n v="35355"/>
    <n v="961"/>
    <n v="2.7199999999999998E-2"/>
    <n v="2.2200000000000002"/>
    <n v="2133.42"/>
    <n v="68"/>
    <n v="31.37"/>
    <n v="6145.22"/>
    <n v="4011.8"/>
    <n v="1.8804548565214538"/>
    <n v="2.88"/>
  </r>
  <r>
    <d v="2024-11-12T00:00:00"/>
    <x v="6"/>
    <x v="1"/>
    <s v="Shopping"/>
    <x v="2"/>
    <s v="UAE"/>
    <n v="133148"/>
    <n v="9120"/>
    <n v="6.8500000000000005E-2"/>
    <n v="0.5"/>
    <n v="4560"/>
    <n v="279"/>
    <n v="16.34"/>
    <n v="83385.98"/>
    <n v="78825.98"/>
    <n v="17.286399122807016"/>
    <n v="18.29"/>
  </r>
  <r>
    <d v="2024-01-12T00:00:00"/>
    <x v="0"/>
    <x v="2"/>
    <s v="Video"/>
    <x v="4"/>
    <s v="Canada"/>
    <n v="104657"/>
    <n v="4029"/>
    <n v="3.85E-2"/>
    <n v="0.71"/>
    <n v="2860.59"/>
    <n v="204"/>
    <n v="14.02"/>
    <n v="10401.620000000001"/>
    <n v="7541.0300000000007"/>
    <n v="2.6361799488916624"/>
    <n v="3.64"/>
  </r>
  <r>
    <d v="2024-05-24T00:00:00"/>
    <x v="8"/>
    <x v="1"/>
    <s v="Shopping"/>
    <x v="0"/>
    <s v="India"/>
    <n v="174160"/>
    <n v="9683"/>
    <n v="5.5599999999999997E-2"/>
    <n v="1.84"/>
    <n v="17816.72"/>
    <n v="512"/>
    <n v="34.799999999999997"/>
    <n v="73177.919999999998"/>
    <n v="55361.2"/>
    <n v="3.1072610446816245"/>
    <n v="4.1100000000000003"/>
  </r>
  <r>
    <d v="2024-01-05T00:00:00"/>
    <x v="0"/>
    <x v="1"/>
    <s v="Display"/>
    <x v="0"/>
    <s v="UAE"/>
    <n v="6015"/>
    <n v="410"/>
    <n v="6.83E-2"/>
    <n v="1.93"/>
    <n v="791.3"/>
    <n v="28"/>
    <n v="28.26"/>
    <n v="4383.32"/>
    <n v="3592.0199999999995"/>
    <n v="4.5393908757740427"/>
    <n v="5.54"/>
  </r>
  <r>
    <d v="2024-01-06T00:00:00"/>
    <x v="0"/>
    <x v="2"/>
    <s v="Search"/>
    <x v="2"/>
    <s v="Australia"/>
    <n v="17763"/>
    <n v="726"/>
    <n v="4.0899999999999999E-2"/>
    <n v="1.94"/>
    <n v="1408.44"/>
    <n v="30"/>
    <n v="46.95"/>
    <n v="1946.19"/>
    <n v="537.75"/>
    <n v="0.38180540172105304"/>
    <n v="1.38"/>
  </r>
  <r>
    <d v="2024-10-14T00:00:00"/>
    <x v="3"/>
    <x v="1"/>
    <s v="Search"/>
    <x v="1"/>
    <s v="India"/>
    <n v="97193"/>
    <n v="6230"/>
    <n v="6.4100000000000004E-2"/>
    <n v="1.6"/>
    <n v="9968"/>
    <n v="306"/>
    <n v="32.58"/>
    <n v="81609.119999999995"/>
    <n v="71641.119999999995"/>
    <n v="7.1871107544141246"/>
    <n v="8.19"/>
  </r>
  <r>
    <d v="2024-03-06T00:00:00"/>
    <x v="11"/>
    <x v="2"/>
    <s v="Shopping"/>
    <x v="2"/>
    <s v="UAE"/>
    <n v="58682"/>
    <n v="1748"/>
    <n v="2.98E-2"/>
    <n v="1.49"/>
    <n v="2604.52"/>
    <n v="84"/>
    <n v="31.01"/>
    <n v="12746.65"/>
    <n v="10142.129999999999"/>
    <n v="3.8940495753536157"/>
    <n v="4.8899999999999997"/>
  </r>
  <r>
    <d v="2024-03-21T00:00:00"/>
    <x v="11"/>
    <x v="1"/>
    <s v="Display"/>
    <x v="3"/>
    <s v="Canada"/>
    <n v="108196"/>
    <n v="5334"/>
    <n v="4.9299999999999997E-2"/>
    <n v="0.99"/>
    <n v="5280.66"/>
    <n v="289"/>
    <n v="18.27"/>
    <n v="27408.560000000001"/>
    <n v="22127.9"/>
    <n v="4.1903663557206867"/>
    <n v="5.19"/>
  </r>
  <r>
    <d v="2024-01-08T00:00:00"/>
    <x v="0"/>
    <x v="0"/>
    <s v="Search"/>
    <x v="0"/>
    <s v="India"/>
    <n v="63243"/>
    <n v="1707"/>
    <n v="2.7E-2"/>
    <n v="2.2400000000000002"/>
    <n v="3823.68"/>
    <n v="37"/>
    <n v="103.34"/>
    <n v="3893.12"/>
    <n v="69.440000000000055"/>
    <n v="1.8160515524311673E-2"/>
    <n v="1.02"/>
  </r>
  <r>
    <d v="2024-08-20T00:00:00"/>
    <x v="4"/>
    <x v="0"/>
    <s v="Search"/>
    <x v="4"/>
    <s v="UAE"/>
    <n v="152979"/>
    <n v="4650"/>
    <n v="3.04E-2"/>
    <n v="0.79"/>
    <n v="3673.5"/>
    <n v="330"/>
    <n v="11.13"/>
    <n v="91949.73"/>
    <n v="88276.23"/>
    <n v="24.030551245406286"/>
    <n v="25.03"/>
  </r>
  <r>
    <d v="2024-01-08T00:00:00"/>
    <x v="0"/>
    <x v="0"/>
    <s v="Display"/>
    <x v="1"/>
    <s v="USA"/>
    <n v="132600"/>
    <n v="6802"/>
    <n v="5.1299999999999998E-2"/>
    <n v="1.53"/>
    <n v="10407.06"/>
    <n v="97"/>
    <n v="107.29"/>
    <n v="6779.29"/>
    <n v="-3627.7699999999995"/>
    <n v="-0.3485874012449241"/>
    <n v="0.65"/>
  </r>
  <r>
    <d v="2024-09-30T00:00:00"/>
    <x v="7"/>
    <x v="0"/>
    <s v="Video"/>
    <x v="0"/>
    <s v="Australia"/>
    <n v="110977"/>
    <n v="4150"/>
    <n v="3.7400000000000003E-2"/>
    <n v="1.1299999999999999"/>
    <n v="4689.5"/>
    <n v="197"/>
    <n v="23.8"/>
    <n v="18314.78"/>
    <n v="13625.279999999999"/>
    <n v="2.9054867256637165"/>
    <n v="3.91"/>
  </r>
  <r>
    <d v="2024-03-07T00:00:00"/>
    <x v="11"/>
    <x v="0"/>
    <s v="Search"/>
    <x v="1"/>
    <s v="UK"/>
    <n v="87152"/>
    <n v="3599"/>
    <n v="4.1300000000000003E-2"/>
    <n v="2.63"/>
    <n v="9465.3700000000008"/>
    <n v="127"/>
    <n v="74.53"/>
    <n v="25958.5"/>
    <n v="16493.129999999997"/>
    <n v="1.7424707116573357"/>
    <n v="2.74"/>
  </r>
  <r>
    <d v="2024-08-16T00:00:00"/>
    <x v="4"/>
    <x v="2"/>
    <s v="Shopping"/>
    <x v="0"/>
    <s v="UAE"/>
    <n v="164096"/>
    <n v="1919"/>
    <n v="1.17E-2"/>
    <n v="0.66"/>
    <n v="1266.54"/>
    <n v="139"/>
    <n v="9.11"/>
    <n v="7181.17"/>
    <n v="5914.63"/>
    <n v="4.6699117280149069"/>
    <n v="5.67"/>
  </r>
  <r>
    <d v="2024-08-10T00:00:00"/>
    <x v="4"/>
    <x v="2"/>
    <s v="Shopping"/>
    <x v="2"/>
    <s v="Germany"/>
    <n v="21389"/>
    <n v="941"/>
    <n v="4.3999999999999997E-2"/>
    <n v="0.8"/>
    <n v="752.8"/>
    <n v="46"/>
    <n v="16.37"/>
    <n v="8479.43"/>
    <n v="7726.63"/>
    <n v="10.263854941551541"/>
    <n v="11.26"/>
  </r>
  <r>
    <d v="2024-04-27T00:00:00"/>
    <x v="5"/>
    <x v="0"/>
    <s v="Shopping"/>
    <x v="2"/>
    <s v="India"/>
    <n v="69323"/>
    <n v="2169"/>
    <n v="3.1300000000000001E-2"/>
    <n v="2.19"/>
    <n v="4750.1099999999997"/>
    <n v="94"/>
    <n v="50.53"/>
    <n v="16337.12"/>
    <n v="11587.010000000002"/>
    <n v="2.4393140369380926"/>
    <n v="3.44"/>
  </r>
  <r>
    <d v="2024-05-17T00:00:00"/>
    <x v="8"/>
    <x v="0"/>
    <s v="Display"/>
    <x v="3"/>
    <s v="UAE"/>
    <n v="138291"/>
    <n v="3318"/>
    <n v="2.4E-2"/>
    <n v="0.83"/>
    <n v="2753.94"/>
    <n v="217"/>
    <n v="12.69"/>
    <n v="12761.51"/>
    <n v="10007.57"/>
    <n v="3.6339099617275612"/>
    <n v="4.63"/>
  </r>
  <r>
    <d v="2024-11-29T00:00:00"/>
    <x v="6"/>
    <x v="1"/>
    <s v="Shopping"/>
    <x v="1"/>
    <s v="UK"/>
    <n v="72444"/>
    <n v="2339"/>
    <n v="3.2300000000000002E-2"/>
    <n v="1.39"/>
    <n v="3251.21"/>
    <n v="153"/>
    <n v="21.25"/>
    <n v="12919.22"/>
    <n v="9668.0099999999984"/>
    <n v="2.9736651892679951"/>
    <n v="3.97"/>
  </r>
  <r>
    <d v="2024-12-04T00:00:00"/>
    <x v="9"/>
    <x v="0"/>
    <s v="Search"/>
    <x v="2"/>
    <s v="UAE"/>
    <n v="160002"/>
    <n v="7520"/>
    <n v="4.7E-2"/>
    <n v="2.96"/>
    <n v="22259.200000000001"/>
    <n v="403"/>
    <n v="55.23"/>
    <n v="70823.58"/>
    <n v="48564.380000000005"/>
    <n v="2.1817666403105234"/>
    <n v="3.18"/>
  </r>
  <r>
    <d v="2024-08-12T00:00:00"/>
    <x v="4"/>
    <x v="2"/>
    <s v="Search"/>
    <x v="4"/>
    <s v="USA"/>
    <n v="16246"/>
    <n v="448"/>
    <n v="2.76E-2"/>
    <n v="1.99"/>
    <n v="891.52"/>
    <n v="8"/>
    <n v="111.44"/>
    <n v="1955.09"/>
    <n v="1063.57"/>
    <n v="1.1929850143575018"/>
    <n v="2.19"/>
  </r>
  <r>
    <d v="2024-06-05T00:00:00"/>
    <x v="1"/>
    <x v="2"/>
    <s v="Shopping"/>
    <x v="0"/>
    <s v="Germany"/>
    <n v="15789"/>
    <n v="423"/>
    <n v="2.6800000000000001E-2"/>
    <n v="1.81"/>
    <n v="765.63"/>
    <n v="7"/>
    <n v="109.38"/>
    <n v="1223.95"/>
    <n v="458.32000000000005"/>
    <n v="0.59861813147342713"/>
    <n v="1.6"/>
  </r>
  <r>
    <d v="2024-06-05T00:00:00"/>
    <x v="1"/>
    <x v="0"/>
    <s v="Search"/>
    <x v="1"/>
    <s v="Australia"/>
    <n v="25103"/>
    <n v="710"/>
    <n v="2.8299999999999999E-2"/>
    <n v="2.34"/>
    <n v="1661.4"/>
    <n v="24"/>
    <n v="69.23"/>
    <n v="1896.75"/>
    <n v="235.34999999999991"/>
    <n v="0.1416576381365113"/>
    <n v="1.1399999999999999"/>
  </r>
  <r>
    <d v="2024-12-28T00:00:00"/>
    <x v="9"/>
    <x v="1"/>
    <s v="Display"/>
    <x v="3"/>
    <s v="India"/>
    <n v="138515"/>
    <n v="4377"/>
    <n v="3.1600000000000003E-2"/>
    <n v="0.51"/>
    <n v="2232.27"/>
    <n v="285"/>
    <n v="7.83"/>
    <n v="10321.59"/>
    <n v="8089.32"/>
    <n v="3.6238089478423308"/>
    <n v="4.62"/>
  </r>
  <r>
    <d v="2024-02-20T00:00:00"/>
    <x v="2"/>
    <x v="2"/>
    <s v="Search"/>
    <x v="1"/>
    <s v="Australia"/>
    <n v="180399"/>
    <n v="6025"/>
    <n v="3.3399999999999999E-2"/>
    <n v="0.7"/>
    <n v="4217.5"/>
    <n v="191"/>
    <n v="22.08"/>
    <n v="17456.79"/>
    <n v="13239.29"/>
    <n v="3.1391321873147602"/>
    <n v="4.1399999999999997"/>
  </r>
  <r>
    <d v="2024-05-16T00:00:00"/>
    <x v="8"/>
    <x v="2"/>
    <s v="Video"/>
    <x v="4"/>
    <s v="UAE"/>
    <n v="62545"/>
    <n v="606"/>
    <n v="9.7000000000000003E-3"/>
    <n v="1.96"/>
    <n v="1187.76"/>
    <n v="37"/>
    <n v="32.1"/>
    <n v="5627.66"/>
    <n v="4439.8999999999996"/>
    <n v="3.7380447228396307"/>
    <n v="4.74"/>
  </r>
  <r>
    <d v="2024-06-30T00:00:00"/>
    <x v="1"/>
    <x v="0"/>
    <s v="Shopping"/>
    <x v="0"/>
    <s v="Canada"/>
    <n v="72526"/>
    <n v="2146"/>
    <n v="2.9600000000000001E-2"/>
    <n v="1.56"/>
    <n v="3347.76"/>
    <n v="168"/>
    <n v="19.93"/>
    <n v="25859.74"/>
    <n v="22511.980000000003"/>
    <n v="6.7244904055248886"/>
    <n v="7.72"/>
  </r>
  <r>
    <d v="2024-07-07T00:00:00"/>
    <x v="10"/>
    <x v="2"/>
    <s v="Display"/>
    <x v="1"/>
    <s v="Australia"/>
    <n v="67823"/>
    <n v="2075"/>
    <n v="3.0599999999999999E-2"/>
    <n v="1.83"/>
    <n v="3797.25"/>
    <n v="26"/>
    <n v="146.05000000000001"/>
    <n v="4093.91"/>
    <n v="296.65999999999985"/>
    <n v="7.8124958851800611E-2"/>
    <n v="1.08"/>
  </r>
  <r>
    <d v="2024-06-23T00:00:00"/>
    <x v="1"/>
    <x v="2"/>
    <s v="Display"/>
    <x v="4"/>
    <s v="India"/>
    <n v="164937"/>
    <n v="4453"/>
    <n v="2.7E-2"/>
    <n v="1.08"/>
    <n v="4809.24"/>
    <n v="129"/>
    <n v="37.28"/>
    <n v="35127.5"/>
    <n v="30318.260000000002"/>
    <n v="6.3041686420307581"/>
    <n v="7.3"/>
  </r>
  <r>
    <d v="2024-12-14T00:00:00"/>
    <x v="9"/>
    <x v="2"/>
    <s v="Search"/>
    <x v="1"/>
    <s v="UK"/>
    <n v="114575"/>
    <n v="2039"/>
    <n v="1.78E-2"/>
    <n v="0.53"/>
    <n v="1080.67"/>
    <n v="113"/>
    <n v="9.56"/>
    <n v="10656.96"/>
    <n v="9576.2899999999991"/>
    <n v="8.8614378117279085"/>
    <n v="9.86"/>
  </r>
  <r>
    <d v="2024-06-13T00:00:00"/>
    <x v="1"/>
    <x v="0"/>
    <s v="Shopping"/>
    <x v="0"/>
    <s v="Germany"/>
    <n v="132157"/>
    <n v="2999"/>
    <n v="2.2700000000000001E-2"/>
    <n v="0.93"/>
    <n v="2789.07"/>
    <n v="152"/>
    <n v="18.350000000000001"/>
    <n v="21855.26"/>
    <n v="19066.189999999999"/>
    <n v="6.8360385361428708"/>
    <n v="7.84"/>
  </r>
  <r>
    <d v="2024-01-11T00:00:00"/>
    <x v="0"/>
    <x v="1"/>
    <s v="Video"/>
    <x v="2"/>
    <s v="Germany"/>
    <n v="108145"/>
    <n v="3882"/>
    <n v="3.5900000000000001E-2"/>
    <n v="0.94"/>
    <n v="3649.08"/>
    <n v="98"/>
    <n v="37.24"/>
    <n v="28726.52"/>
    <n v="25077.440000000002"/>
    <n v="6.8722636938625632"/>
    <n v="7.87"/>
  </r>
  <r>
    <d v="2024-04-29T00:00:00"/>
    <x v="5"/>
    <x v="1"/>
    <s v="Search"/>
    <x v="3"/>
    <s v="India"/>
    <n v="72642"/>
    <n v="3014"/>
    <n v="4.1500000000000002E-2"/>
    <n v="1.1599999999999999"/>
    <n v="3496.24"/>
    <n v="59"/>
    <n v="59.26"/>
    <n v="15070.44"/>
    <n v="11574.2"/>
    <n v="3.3104706770702244"/>
    <n v="4.3099999999999996"/>
  </r>
  <r>
    <d v="2024-04-07T00:00:00"/>
    <x v="5"/>
    <x v="1"/>
    <s v="Display"/>
    <x v="2"/>
    <s v="UAE"/>
    <n v="131678"/>
    <n v="8374"/>
    <n v="6.3600000000000004E-2"/>
    <n v="0.91"/>
    <n v="7620.34"/>
    <n v="505"/>
    <n v="15.09"/>
    <n v="29682.01"/>
    <n v="22061.67"/>
    <n v="2.8951031056357062"/>
    <n v="3.9"/>
  </r>
  <r>
    <d v="2024-05-13T00:00:00"/>
    <x v="8"/>
    <x v="0"/>
    <s v="Video"/>
    <x v="4"/>
    <s v="Australia"/>
    <n v="34402"/>
    <n v="1314"/>
    <n v="3.8199999999999998E-2"/>
    <n v="3.29"/>
    <n v="4323.0600000000004"/>
    <n v="17"/>
    <n v="254.3"/>
    <n v="1273.24"/>
    <n v="-3049.8200000000006"/>
    <n v="-0.70547713887847963"/>
    <n v="0.28999999999999998"/>
  </r>
  <r>
    <d v="2024-10-08T00:00:00"/>
    <x v="3"/>
    <x v="2"/>
    <s v="Video"/>
    <x v="2"/>
    <s v="Germany"/>
    <n v="58276"/>
    <n v="1183"/>
    <n v="2.0299999999999999E-2"/>
    <n v="1.49"/>
    <n v="1762.67"/>
    <n v="89"/>
    <n v="19.809999999999999"/>
    <n v="20273.71"/>
    <n v="18511.04"/>
    <n v="10.501704800104386"/>
    <n v="11.5"/>
  </r>
  <r>
    <d v="2024-08-14T00:00:00"/>
    <x v="4"/>
    <x v="0"/>
    <s v="Shopping"/>
    <x v="1"/>
    <s v="Canada"/>
    <n v="168059"/>
    <n v="3462"/>
    <n v="2.06E-2"/>
    <n v="3.08"/>
    <n v="10662.96"/>
    <n v="154"/>
    <n v="69.239999999999995"/>
    <n v="33243.769999999997"/>
    <n v="22580.809999999998"/>
    <n v="2.1176868336747021"/>
    <n v="3.12"/>
  </r>
  <r>
    <d v="2024-08-16T00:00:00"/>
    <x v="4"/>
    <x v="2"/>
    <s v="Video"/>
    <x v="0"/>
    <s v="Canada"/>
    <n v="91123"/>
    <n v="1567"/>
    <n v="1.72E-2"/>
    <n v="2.33"/>
    <n v="3651.11"/>
    <n v="64"/>
    <n v="57.05"/>
    <n v="5119.1000000000004"/>
    <n v="1467.9900000000002"/>
    <n v="0.40206676873608305"/>
    <n v="1.4"/>
  </r>
  <r>
    <d v="2024-05-28T00:00:00"/>
    <x v="8"/>
    <x v="2"/>
    <s v="Shopping"/>
    <x v="0"/>
    <s v="Australia"/>
    <n v="16344"/>
    <n v="452"/>
    <n v="2.7699999999999999E-2"/>
    <n v="0.9"/>
    <n v="406.8"/>
    <n v="5"/>
    <n v="81.36"/>
    <n v="1102.53"/>
    <n v="695.73"/>
    <n v="1.7102507374631268"/>
    <n v="2.71"/>
  </r>
  <r>
    <d v="2024-03-26T00:00:00"/>
    <x v="11"/>
    <x v="1"/>
    <s v="Video"/>
    <x v="3"/>
    <s v="UAE"/>
    <n v="99457"/>
    <n v="5808"/>
    <n v="5.8400000000000001E-2"/>
    <n v="1.6"/>
    <n v="9292.7999999999993"/>
    <n v="80"/>
    <n v="116.16"/>
    <n v="12231.1"/>
    <n v="2938.3000000000011"/>
    <n v="0.31619102961432521"/>
    <n v="1.32"/>
  </r>
  <r>
    <d v="2024-06-07T00:00:00"/>
    <x v="1"/>
    <x v="2"/>
    <s v="Video"/>
    <x v="4"/>
    <s v="India"/>
    <n v="57375"/>
    <n v="843"/>
    <n v="1.47E-2"/>
    <n v="1.61"/>
    <n v="1357.23"/>
    <n v="40"/>
    <n v="33.93"/>
    <n v="9739.81"/>
    <n v="8382.58"/>
    <n v="6.1762413150313504"/>
    <n v="7.18"/>
  </r>
  <r>
    <d v="2024-04-17T00:00:00"/>
    <x v="5"/>
    <x v="0"/>
    <s v="Display"/>
    <x v="4"/>
    <s v="UAE"/>
    <n v="115017"/>
    <n v="2771"/>
    <n v="2.41E-2"/>
    <n v="2.56"/>
    <n v="7093.76"/>
    <n v="95"/>
    <n v="74.67"/>
    <n v="22528.38"/>
    <n v="15434.62"/>
    <n v="2.175802395344641"/>
    <n v="3.18"/>
  </r>
  <r>
    <d v="2024-09-28T00:00:00"/>
    <x v="7"/>
    <x v="2"/>
    <s v="Search"/>
    <x v="1"/>
    <s v="USA"/>
    <n v="90431"/>
    <n v="1853"/>
    <n v="2.0500000000000001E-2"/>
    <n v="1.7"/>
    <n v="3150.1"/>
    <n v="57"/>
    <n v="55.26"/>
    <n v="14834.93"/>
    <n v="11684.83"/>
    <n v="3.7093520840608236"/>
    <n v="4.71"/>
  </r>
  <r>
    <d v="2024-03-13T00:00:00"/>
    <x v="11"/>
    <x v="2"/>
    <s v="Search"/>
    <x v="4"/>
    <s v="USA"/>
    <n v="140566"/>
    <n v="5046"/>
    <n v="3.5900000000000001E-2"/>
    <n v="0.62"/>
    <n v="3128.52"/>
    <n v="384"/>
    <n v="8.15"/>
    <n v="59980.19"/>
    <n v="56851.670000000006"/>
    <n v="18.172065385549718"/>
    <n v="19.170000000000002"/>
  </r>
  <r>
    <d v="2024-02-28T00:00:00"/>
    <x v="2"/>
    <x v="2"/>
    <s v="Search"/>
    <x v="1"/>
    <s v="Germany"/>
    <n v="133583"/>
    <n v="3954"/>
    <n v="2.9600000000000001E-2"/>
    <n v="0.65"/>
    <n v="2570.1"/>
    <n v="255"/>
    <n v="10.08"/>
    <n v="31756.12"/>
    <n v="29186.02"/>
    <n v="11.355986148398896"/>
    <n v="12.36"/>
  </r>
  <r>
    <d v="2024-04-08T00:00:00"/>
    <x v="5"/>
    <x v="0"/>
    <s v="Video"/>
    <x v="4"/>
    <s v="USA"/>
    <n v="198555"/>
    <n v="13104"/>
    <n v="6.6000000000000003E-2"/>
    <n v="2.46"/>
    <n v="32235.84"/>
    <n v="336"/>
    <n v="95.94"/>
    <n v="58794.32"/>
    <n v="26558.48"/>
    <n v="0.82388050070976904"/>
    <n v="1.82"/>
  </r>
  <r>
    <d v="2024-09-23T00:00:00"/>
    <x v="7"/>
    <x v="2"/>
    <s v="Display"/>
    <x v="2"/>
    <s v="UK"/>
    <n v="88560"/>
    <n v="1319"/>
    <n v="1.49E-2"/>
    <n v="0.52"/>
    <n v="685.88"/>
    <n v="81"/>
    <n v="8.4700000000000006"/>
    <n v="8584.02"/>
    <n v="7898.14"/>
    <n v="11.515337959993003"/>
    <n v="12.52"/>
  </r>
  <r>
    <d v="2024-06-24T00:00:00"/>
    <x v="1"/>
    <x v="0"/>
    <s v="Display"/>
    <x v="0"/>
    <s v="UAE"/>
    <n v="117217"/>
    <n v="5602"/>
    <n v="4.7800000000000002E-2"/>
    <n v="3.49"/>
    <n v="19550.98"/>
    <n v="411"/>
    <n v="47.57"/>
    <n v="75729.259999999995"/>
    <n v="56178.28"/>
    <n v="2.8734252707536911"/>
    <n v="3.87"/>
  </r>
  <r>
    <d v="2024-08-24T00:00:00"/>
    <x v="4"/>
    <x v="2"/>
    <s v="Shopping"/>
    <x v="0"/>
    <s v="UAE"/>
    <n v="104616"/>
    <n v="4048"/>
    <n v="3.8699999999999998E-2"/>
    <n v="1.77"/>
    <n v="7164.96"/>
    <n v="233"/>
    <n v="30.75"/>
    <n v="45906.84"/>
    <n v="38741.879999999997"/>
    <n v="5.4071313726803778"/>
    <n v="6.41"/>
  </r>
  <r>
    <d v="2024-02-14T00:00:00"/>
    <x v="2"/>
    <x v="1"/>
    <s v="Video"/>
    <x v="2"/>
    <s v="Canada"/>
    <n v="79553"/>
    <n v="2712"/>
    <n v="3.4099999999999998E-2"/>
    <n v="0.31"/>
    <n v="840.72"/>
    <n v="170"/>
    <n v="4.95"/>
    <n v="16973.79"/>
    <n v="16133.070000000002"/>
    <n v="19.189587496431631"/>
    <n v="20.190000000000001"/>
  </r>
  <r>
    <d v="2024-08-20T00:00:00"/>
    <x v="4"/>
    <x v="0"/>
    <s v="Search"/>
    <x v="0"/>
    <s v="USA"/>
    <n v="170904"/>
    <n v="4751"/>
    <n v="2.7799999999999998E-2"/>
    <n v="1.1200000000000001"/>
    <n v="5321.12"/>
    <n v="326"/>
    <n v="16.32"/>
    <n v="44297.15"/>
    <n v="38976.03"/>
    <n v="7.3247793697567429"/>
    <n v="8.32"/>
  </r>
  <r>
    <d v="2024-07-14T00:00:00"/>
    <x v="10"/>
    <x v="0"/>
    <s v="Search"/>
    <x v="2"/>
    <s v="India"/>
    <n v="88807"/>
    <n v="4999"/>
    <n v="5.6300000000000003E-2"/>
    <n v="2.37"/>
    <n v="11847.63"/>
    <n v="348"/>
    <n v="34.04"/>
    <n v="103474.34"/>
    <n v="91626.709999999992"/>
    <n v="7.733758566059203"/>
    <n v="8.73"/>
  </r>
  <r>
    <d v="2024-08-14T00:00:00"/>
    <x v="4"/>
    <x v="2"/>
    <s v="Shopping"/>
    <x v="1"/>
    <s v="Canada"/>
    <n v="157499"/>
    <n v="1574"/>
    <n v="0.01"/>
    <n v="1.76"/>
    <n v="2770.24"/>
    <n v="45"/>
    <n v="61.56"/>
    <n v="13465.06"/>
    <n v="10694.82"/>
    <n v="3.8606113549728547"/>
    <n v="4.8600000000000003"/>
  </r>
  <r>
    <d v="2024-09-27T00:00:00"/>
    <x v="7"/>
    <x v="2"/>
    <s v="Search"/>
    <x v="4"/>
    <s v="Australia"/>
    <n v="46846"/>
    <n v="983"/>
    <n v="2.1000000000000001E-2"/>
    <n v="0.72"/>
    <n v="707.76"/>
    <n v="11"/>
    <n v="64.34"/>
    <n v="2501.87"/>
    <n v="1794.11"/>
    <n v="2.5349129648468405"/>
    <n v="3.53"/>
  </r>
  <r>
    <d v="2024-09-18T00:00:00"/>
    <x v="7"/>
    <x v="1"/>
    <s v="Search"/>
    <x v="0"/>
    <s v="Germany"/>
    <n v="104986"/>
    <n v="6131"/>
    <n v="5.8400000000000001E-2"/>
    <n v="0.36"/>
    <n v="2207.16"/>
    <n v="219"/>
    <n v="10.08"/>
    <n v="57679.5"/>
    <n v="55472.34"/>
    <n v="25.132903822106236"/>
    <n v="26.13"/>
  </r>
  <r>
    <d v="2024-05-24T00:00:00"/>
    <x v="8"/>
    <x v="2"/>
    <s v="Shopping"/>
    <x v="1"/>
    <s v="India"/>
    <n v="172516"/>
    <n v="6314"/>
    <n v="3.6600000000000001E-2"/>
    <n v="0.72"/>
    <n v="4546.08"/>
    <n v="335"/>
    <n v="13.57"/>
    <n v="82096.800000000003"/>
    <n v="77550.720000000001"/>
    <n v="17.058811107591595"/>
    <n v="18.059999999999999"/>
  </r>
  <r>
    <d v="2024-08-23T00:00:00"/>
    <x v="4"/>
    <x v="2"/>
    <s v="Display"/>
    <x v="4"/>
    <s v="India"/>
    <n v="187099"/>
    <n v="2469"/>
    <n v="1.32E-2"/>
    <n v="0.83"/>
    <n v="2049.27"/>
    <n v="103"/>
    <n v="19.899999999999999"/>
    <n v="3413.17"/>
    <n v="1363.9"/>
    <n v="0.66555407535366262"/>
    <n v="1.67"/>
  </r>
  <r>
    <d v="2024-04-04T00:00:00"/>
    <x v="5"/>
    <x v="0"/>
    <s v="Shopping"/>
    <x v="3"/>
    <s v="India"/>
    <n v="111661"/>
    <n v="3930"/>
    <n v="3.5200000000000002E-2"/>
    <n v="0.84"/>
    <n v="3301.2"/>
    <n v="310"/>
    <n v="10.65"/>
    <n v="21226.880000000001"/>
    <n v="17925.68"/>
    <n v="5.4300496789046413"/>
    <n v="6.43"/>
  </r>
  <r>
    <d v="2024-06-09T00:00:00"/>
    <x v="1"/>
    <x v="2"/>
    <s v="Display"/>
    <x v="1"/>
    <s v="Germany"/>
    <n v="79441"/>
    <n v="3082"/>
    <n v="3.8800000000000001E-2"/>
    <n v="0.53"/>
    <n v="1633.46"/>
    <n v="100"/>
    <n v="16.329999999999998"/>
    <n v="29391.59"/>
    <n v="27758.13"/>
    <n v="16.993455609564972"/>
    <n v="17.989999999999998"/>
  </r>
  <r>
    <d v="2024-04-15T00:00:00"/>
    <x v="5"/>
    <x v="0"/>
    <s v="Display"/>
    <x v="3"/>
    <s v="Australia"/>
    <n v="14078"/>
    <n v="763"/>
    <n v="5.4199999999999998E-2"/>
    <n v="2.2599999999999998"/>
    <n v="1724.38"/>
    <n v="57"/>
    <n v="30.25"/>
    <n v="16289.72"/>
    <n v="14565.34"/>
    <n v="8.446711281736043"/>
    <n v="9.4499999999999993"/>
  </r>
  <r>
    <d v="2024-01-07T00:00:00"/>
    <x v="0"/>
    <x v="2"/>
    <s v="Shopping"/>
    <x v="0"/>
    <s v="Australia"/>
    <n v="182235"/>
    <n v="5047"/>
    <n v="2.7699999999999999E-2"/>
    <n v="0.74"/>
    <n v="3734.78"/>
    <n v="260"/>
    <n v="14.36"/>
    <n v="53450.65"/>
    <n v="49715.87"/>
    <n v="13.311592650704995"/>
    <n v="14.31"/>
  </r>
  <r>
    <d v="2024-02-24T00:00:00"/>
    <x v="2"/>
    <x v="2"/>
    <s v="Video"/>
    <x v="3"/>
    <s v="Canada"/>
    <n v="128629"/>
    <n v="2109"/>
    <n v="1.6400000000000001E-2"/>
    <n v="1.29"/>
    <n v="2720.61"/>
    <n v="168"/>
    <n v="16.190000000000001"/>
    <n v="49256.62"/>
    <n v="46536.01"/>
    <n v="17.104991160070718"/>
    <n v="18.100000000000001"/>
  </r>
  <r>
    <d v="2024-04-02T00:00:00"/>
    <x v="5"/>
    <x v="2"/>
    <s v="Display"/>
    <x v="0"/>
    <s v="Canada"/>
    <n v="21309"/>
    <n v="432"/>
    <n v="2.0299999999999999E-2"/>
    <n v="1.66"/>
    <n v="717.12"/>
    <n v="15"/>
    <n v="47.81"/>
    <n v="4449.9799999999996"/>
    <n v="3732.8599999999997"/>
    <n v="5.2053491744756801"/>
    <n v="6.21"/>
  </r>
  <r>
    <d v="2024-09-06T00:00:00"/>
    <x v="7"/>
    <x v="0"/>
    <s v="Search"/>
    <x v="0"/>
    <s v="USA"/>
    <n v="167932"/>
    <n v="6717"/>
    <n v="0.04"/>
    <n v="2.46"/>
    <n v="16523.82"/>
    <n v="247"/>
    <n v="66.900000000000006"/>
    <n v="38475.06"/>
    <n v="21951.239999999998"/>
    <n v="1.3284603681231095"/>
    <n v="2.33"/>
  </r>
  <r>
    <d v="2024-01-08T00:00:00"/>
    <x v="0"/>
    <x v="1"/>
    <s v="Search"/>
    <x v="0"/>
    <s v="UK"/>
    <n v="162795"/>
    <n v="8107"/>
    <n v="4.9799999999999997E-2"/>
    <n v="0.96"/>
    <n v="7782.72"/>
    <n v="575"/>
    <n v="13.54"/>
    <n v="86383.64"/>
    <n v="78600.92"/>
    <n v="10.099415114510094"/>
    <n v="11.1"/>
  </r>
  <r>
    <d v="2024-08-18T00:00:00"/>
    <x v="4"/>
    <x v="2"/>
    <s v="Search"/>
    <x v="1"/>
    <s v="UK"/>
    <n v="50893"/>
    <n v="1124"/>
    <n v="2.2100000000000002E-2"/>
    <n v="1.41"/>
    <n v="1584.84"/>
    <n v="29"/>
    <n v="54.65"/>
    <n v="2707.5"/>
    <n v="1122.6600000000001"/>
    <n v="0.70837434693723034"/>
    <n v="1.71"/>
  </r>
  <r>
    <d v="2024-09-22T00:00:00"/>
    <x v="7"/>
    <x v="1"/>
    <s v="Display"/>
    <x v="3"/>
    <s v="UAE"/>
    <n v="81619"/>
    <n v="3623"/>
    <n v="4.4400000000000002E-2"/>
    <n v="0.47"/>
    <n v="1702.81"/>
    <n v="222"/>
    <n v="7.67"/>
    <n v="46448.44"/>
    <n v="44745.630000000005"/>
    <n v="26.277523622717748"/>
    <n v="27.28"/>
  </r>
  <r>
    <d v="2024-07-25T00:00:00"/>
    <x v="10"/>
    <x v="2"/>
    <s v="Search"/>
    <x v="1"/>
    <s v="Germany"/>
    <n v="154381"/>
    <n v="1698"/>
    <n v="1.0999999999999999E-2"/>
    <n v="1.85"/>
    <n v="3141.3"/>
    <n v="70"/>
    <n v="44.88"/>
    <n v="19750.240000000002"/>
    <n v="16608.940000000002"/>
    <n v="5.2872823353388725"/>
    <n v="6.29"/>
  </r>
  <r>
    <d v="2024-01-12T00:00:00"/>
    <x v="0"/>
    <x v="0"/>
    <s v="Search"/>
    <x v="0"/>
    <s v="India"/>
    <n v="124273"/>
    <n v="3603"/>
    <n v="2.9000000000000001E-2"/>
    <n v="1.55"/>
    <n v="5584.65"/>
    <n v="167"/>
    <n v="33.44"/>
    <n v="20460.25"/>
    <n v="14875.6"/>
    <n v="2.6636584208500089"/>
    <n v="3.66"/>
  </r>
  <r>
    <d v="2024-12-01T00:00:00"/>
    <x v="9"/>
    <x v="2"/>
    <s v="Video"/>
    <x v="2"/>
    <s v="Germany"/>
    <n v="6969"/>
    <n v="176"/>
    <n v="2.53E-2"/>
    <n v="1.08"/>
    <n v="190.08"/>
    <n v="10"/>
    <n v="19.010000000000002"/>
    <n v="2562.91"/>
    <n v="2372.83"/>
    <n v="12.48332281144781"/>
    <n v="13.48"/>
  </r>
  <r>
    <d v="2024-05-24T00:00:00"/>
    <x v="8"/>
    <x v="1"/>
    <s v="Display"/>
    <x v="3"/>
    <s v="UK"/>
    <n v="29089"/>
    <n v="1076"/>
    <n v="3.6999999999999998E-2"/>
    <n v="0.65"/>
    <n v="699.4"/>
    <n v="40"/>
    <n v="17.48"/>
    <n v="8233.32"/>
    <n v="7533.92"/>
    <n v="10.771975979410923"/>
    <n v="11.77"/>
  </r>
  <r>
    <d v="2024-07-10T00:00:00"/>
    <x v="10"/>
    <x v="0"/>
    <s v="Shopping"/>
    <x v="3"/>
    <s v="UK"/>
    <n v="10704"/>
    <n v="489"/>
    <n v="4.5699999999999998E-2"/>
    <n v="1.71"/>
    <n v="836.19"/>
    <n v="36"/>
    <n v="23.23"/>
    <n v="5339.04"/>
    <n v="4502.8500000000004"/>
    <n v="5.3849603558999748"/>
    <n v="6.38"/>
  </r>
  <r>
    <d v="2024-12-04T00:00:00"/>
    <x v="9"/>
    <x v="1"/>
    <s v="Search"/>
    <x v="4"/>
    <s v="Australia"/>
    <n v="22772"/>
    <n v="1045"/>
    <n v="4.5900000000000003E-2"/>
    <n v="0.95"/>
    <n v="992.75"/>
    <n v="38"/>
    <n v="26.12"/>
    <n v="5743.6"/>
    <n v="4750.8500000000004"/>
    <n v="4.7855452027197183"/>
    <n v="5.79"/>
  </r>
  <r>
    <d v="2024-04-11T00:00:00"/>
    <x v="5"/>
    <x v="0"/>
    <s v="Search"/>
    <x v="0"/>
    <s v="Germany"/>
    <n v="68449"/>
    <n v="3285"/>
    <n v="4.8000000000000001E-2"/>
    <n v="2.38"/>
    <n v="7818.3"/>
    <n v="243"/>
    <n v="32.17"/>
    <n v="60681.21"/>
    <n v="52862.909999999996"/>
    <n v="6.7614327922949995"/>
    <n v="7.76"/>
  </r>
  <r>
    <d v="2024-10-26T00:00:00"/>
    <x v="3"/>
    <x v="0"/>
    <s v="Search"/>
    <x v="3"/>
    <s v="UAE"/>
    <n v="51819"/>
    <n v="2497"/>
    <n v="4.82E-2"/>
    <n v="2.88"/>
    <n v="7191.36"/>
    <n v="138"/>
    <n v="52.11"/>
    <n v="37600.620000000003"/>
    <n v="30409.260000000002"/>
    <n v="4.2285826324923246"/>
    <n v="5.23"/>
  </r>
  <r>
    <d v="2024-11-19T00:00:00"/>
    <x v="6"/>
    <x v="0"/>
    <s v="Video"/>
    <x v="0"/>
    <s v="Australia"/>
    <n v="173722"/>
    <n v="3821"/>
    <n v="2.1999999999999999E-2"/>
    <n v="1.54"/>
    <n v="5884.34"/>
    <n v="201"/>
    <n v="29.28"/>
    <n v="44895.5"/>
    <n v="39011.160000000003"/>
    <n v="6.62965770162839"/>
    <n v="7.63"/>
  </r>
  <r>
    <d v="2024-12-15T00:00:00"/>
    <x v="9"/>
    <x v="0"/>
    <s v="Shopping"/>
    <x v="3"/>
    <s v="USA"/>
    <n v="119014"/>
    <n v="5938"/>
    <n v="4.99E-2"/>
    <n v="2.88"/>
    <n v="17101.439999999999"/>
    <n v="95"/>
    <n v="180.02"/>
    <n v="23773.95"/>
    <n v="6672.510000000002"/>
    <n v="0.39017240653418672"/>
    <n v="1.39"/>
  </r>
  <r>
    <d v="2024-05-20T00:00:00"/>
    <x v="8"/>
    <x v="0"/>
    <s v="Search"/>
    <x v="3"/>
    <s v="Australia"/>
    <n v="159741"/>
    <n v="6868"/>
    <n v="4.2999999999999997E-2"/>
    <n v="1.37"/>
    <n v="9409.16"/>
    <n v="336"/>
    <n v="28"/>
    <n v="33272.11"/>
    <n v="23862.95"/>
    <n v="2.5361403143319916"/>
    <n v="3.54"/>
  </r>
  <r>
    <d v="2024-02-29T00:00:00"/>
    <x v="2"/>
    <x v="0"/>
    <s v="Shopping"/>
    <x v="0"/>
    <s v="Germany"/>
    <n v="167982"/>
    <n v="7693"/>
    <n v="4.58E-2"/>
    <n v="2.64"/>
    <n v="20309.52"/>
    <n v="193"/>
    <n v="105.23"/>
    <n v="10777.69"/>
    <n v="-9531.83"/>
    <n v="-0.46932817713072489"/>
    <n v="0.53"/>
  </r>
  <r>
    <d v="2024-06-08T00:00:00"/>
    <x v="1"/>
    <x v="0"/>
    <s v="Video"/>
    <x v="0"/>
    <s v="Germany"/>
    <n v="96658"/>
    <n v="2822"/>
    <n v="2.92E-2"/>
    <n v="3.37"/>
    <n v="9510.14"/>
    <n v="112"/>
    <n v="84.91"/>
    <n v="25060.16"/>
    <n v="15550.02"/>
    <n v="1.6350989575337482"/>
    <n v="2.64"/>
  </r>
  <r>
    <d v="2024-01-19T00:00:00"/>
    <x v="0"/>
    <x v="2"/>
    <s v="Video"/>
    <x v="1"/>
    <s v="India"/>
    <n v="43467"/>
    <n v="991"/>
    <n v="2.2800000000000001E-2"/>
    <n v="1.9"/>
    <n v="1882.9"/>
    <n v="25"/>
    <n v="75.319999999999993"/>
    <n v="3146.23"/>
    <n v="1263.33"/>
    <n v="0.6709490679271336"/>
    <n v="1.67"/>
  </r>
  <r>
    <d v="2024-01-05T00:00:00"/>
    <x v="0"/>
    <x v="0"/>
    <s v="Search"/>
    <x v="1"/>
    <s v="UK"/>
    <n v="41378"/>
    <n v="2023"/>
    <n v="4.8899999999999999E-2"/>
    <n v="1.23"/>
    <n v="2488.29"/>
    <n v="73"/>
    <n v="34.090000000000003"/>
    <n v="9343.6299999999992"/>
    <n v="6855.3399999999992"/>
    <n v="2.7550406102182619"/>
    <n v="3.76"/>
  </r>
  <r>
    <d v="2024-10-26T00:00:00"/>
    <x v="3"/>
    <x v="1"/>
    <s v="Video"/>
    <x v="1"/>
    <s v="India"/>
    <n v="100673"/>
    <n v="5718"/>
    <n v="5.6800000000000003E-2"/>
    <n v="1.05"/>
    <n v="6003.9"/>
    <n v="196"/>
    <n v="30.63"/>
    <n v="41067.129999999997"/>
    <n v="35063.229999999996"/>
    <n v="5.8400756175152813"/>
    <n v="6.84"/>
  </r>
  <r>
    <d v="2024-12-13T00:00:00"/>
    <x v="9"/>
    <x v="1"/>
    <s v="Shopping"/>
    <x v="2"/>
    <s v="Australia"/>
    <n v="191994"/>
    <n v="14898"/>
    <n v="7.7600000000000002E-2"/>
    <n v="1.08"/>
    <n v="16089.84"/>
    <n v="936"/>
    <n v="17.190000000000001"/>
    <n v="60355.75"/>
    <n v="44265.91"/>
    <n v="2.7511715467649154"/>
    <n v="3.75"/>
  </r>
  <r>
    <d v="2024-05-21T00:00:00"/>
    <x v="8"/>
    <x v="1"/>
    <s v="Display"/>
    <x v="1"/>
    <s v="UK"/>
    <n v="152235"/>
    <n v="6104"/>
    <n v="4.0099999999999997E-2"/>
    <n v="0.73"/>
    <n v="4455.92"/>
    <n v="252"/>
    <n v="17.68"/>
    <n v="48424.44"/>
    <n v="43968.520000000004"/>
    <n v="9.8674392718002117"/>
    <n v="10.87"/>
  </r>
  <r>
    <d v="2024-12-07T00:00:00"/>
    <x v="9"/>
    <x v="2"/>
    <s v="Video"/>
    <x v="0"/>
    <s v="Australia"/>
    <n v="66929"/>
    <n v="1539"/>
    <n v="2.3E-2"/>
    <n v="1.21"/>
    <n v="1862.19"/>
    <n v="38"/>
    <n v="49.01"/>
    <n v="9540.2199999999993"/>
    <n v="7678.0299999999988"/>
    <n v="4.1231184787803601"/>
    <n v="5.12"/>
  </r>
  <r>
    <d v="2024-05-09T00:00:00"/>
    <x v="8"/>
    <x v="0"/>
    <s v="Video"/>
    <x v="3"/>
    <s v="Canada"/>
    <n v="188202"/>
    <n v="7189"/>
    <n v="3.8199999999999998E-2"/>
    <n v="1.1499999999999999"/>
    <n v="8267.35"/>
    <n v="376"/>
    <n v="21.99"/>
    <n v="88923.49"/>
    <n v="80656.14"/>
    <n v="9.7559846867496827"/>
    <n v="10.76"/>
  </r>
  <r>
    <d v="2024-01-25T00:00:00"/>
    <x v="0"/>
    <x v="0"/>
    <s v="Video"/>
    <x v="0"/>
    <s v="USA"/>
    <n v="184316"/>
    <n v="4091"/>
    <n v="2.2200000000000001E-2"/>
    <n v="1.04"/>
    <n v="4254.6400000000003"/>
    <n v="309"/>
    <n v="13.77"/>
    <n v="82363.460000000006"/>
    <n v="78108.820000000007"/>
    <n v="18.358502717033637"/>
    <n v="19.36"/>
  </r>
  <r>
    <d v="2024-09-10T00:00:00"/>
    <x v="7"/>
    <x v="0"/>
    <s v="Video"/>
    <x v="2"/>
    <s v="Canada"/>
    <n v="65545"/>
    <n v="3355"/>
    <n v="5.1200000000000002E-2"/>
    <n v="1.77"/>
    <n v="5938.35"/>
    <n v="196"/>
    <n v="30.3"/>
    <n v="57936.29"/>
    <n v="51997.94"/>
    <n v="8.7562942568221818"/>
    <n v="9.76"/>
  </r>
  <r>
    <d v="2024-06-04T00:00:00"/>
    <x v="1"/>
    <x v="0"/>
    <s v="Video"/>
    <x v="2"/>
    <s v="USA"/>
    <n v="33141"/>
    <n v="798"/>
    <n v="2.41E-2"/>
    <n v="3.29"/>
    <n v="2625.42"/>
    <n v="42"/>
    <n v="62.51"/>
    <n v="7236.65"/>
    <n v="4611.2299999999996"/>
    <n v="1.7563780271347058"/>
    <n v="2.76"/>
  </r>
  <r>
    <d v="2024-07-09T00:00:00"/>
    <x v="10"/>
    <x v="2"/>
    <s v="Video"/>
    <x v="2"/>
    <s v="Germany"/>
    <n v="76229"/>
    <n v="1562"/>
    <n v="2.0500000000000001E-2"/>
    <n v="1.01"/>
    <n v="1577.62"/>
    <n v="30"/>
    <n v="52.59"/>
    <n v="4290.5"/>
    <n v="2712.88"/>
    <n v="1.7196029462101141"/>
    <n v="2.72"/>
  </r>
  <r>
    <d v="2024-11-09T00:00:00"/>
    <x v="6"/>
    <x v="1"/>
    <s v="Search"/>
    <x v="3"/>
    <s v="Australia"/>
    <n v="141614"/>
    <n v="10677"/>
    <n v="7.5399999999999995E-2"/>
    <n v="0.35"/>
    <n v="3736.95"/>
    <n v="305"/>
    <n v="12.25"/>
    <n v="62355.519999999997"/>
    <n v="58618.57"/>
    <n v="15.686206665863873"/>
    <n v="16.690000000000001"/>
  </r>
  <r>
    <d v="2024-07-14T00:00:00"/>
    <x v="10"/>
    <x v="2"/>
    <s v="Shopping"/>
    <x v="2"/>
    <s v="UK"/>
    <n v="161193"/>
    <n v="4916"/>
    <n v="3.0499999999999999E-2"/>
    <n v="1.37"/>
    <n v="6734.92"/>
    <n v="377"/>
    <n v="17.86"/>
    <n v="91408.9"/>
    <n v="84673.98"/>
    <n v="12.572380963693703"/>
    <n v="13.57"/>
  </r>
  <r>
    <d v="2024-02-17T00:00:00"/>
    <x v="2"/>
    <x v="0"/>
    <s v="Search"/>
    <x v="3"/>
    <s v="Germany"/>
    <n v="142244"/>
    <n v="4935"/>
    <n v="3.4700000000000002E-2"/>
    <n v="2.98"/>
    <n v="14706.3"/>
    <n v="127"/>
    <n v="115.8"/>
    <n v="34307.21"/>
    <n v="19600.91"/>
    <n v="1.3328240277976107"/>
    <n v="2.33"/>
  </r>
  <r>
    <d v="2024-03-27T00:00:00"/>
    <x v="11"/>
    <x v="2"/>
    <s v="Search"/>
    <x v="0"/>
    <s v="UAE"/>
    <n v="178063"/>
    <n v="1851"/>
    <n v="1.04E-2"/>
    <n v="0.45"/>
    <n v="832.95"/>
    <n v="64"/>
    <n v="13.01"/>
    <n v="7044.13"/>
    <n v="6211.18"/>
    <n v="7.4568461492286451"/>
    <n v="8.4600000000000009"/>
  </r>
  <r>
    <d v="2024-01-28T00:00:00"/>
    <x v="0"/>
    <x v="0"/>
    <s v="Video"/>
    <x v="0"/>
    <s v="Australia"/>
    <n v="193978"/>
    <n v="5780"/>
    <n v="2.98E-2"/>
    <n v="1.73"/>
    <n v="9999.4"/>
    <n v="177"/>
    <n v="56.49"/>
    <n v="42071.17"/>
    <n v="32071.769999999997"/>
    <n v="3.20736944216653"/>
    <n v="4.21"/>
  </r>
  <r>
    <d v="2024-02-18T00:00:00"/>
    <x v="2"/>
    <x v="2"/>
    <s v="Display"/>
    <x v="3"/>
    <s v="Canada"/>
    <n v="187051"/>
    <n v="6284"/>
    <n v="3.3599999999999998E-2"/>
    <n v="2.0099999999999998"/>
    <n v="12630.84"/>
    <n v="493"/>
    <n v="25.62"/>
    <n v="94906.46"/>
    <n v="82275.62000000001"/>
    <n v="6.513867644590543"/>
    <n v="7.51"/>
  </r>
  <r>
    <d v="2024-01-11T00:00:00"/>
    <x v="0"/>
    <x v="2"/>
    <s v="Video"/>
    <x v="1"/>
    <s v="UK"/>
    <n v="152977"/>
    <n v="5491"/>
    <n v="3.5900000000000001E-2"/>
    <n v="1.35"/>
    <n v="7412.85"/>
    <n v="147"/>
    <n v="50.43"/>
    <n v="9232.39"/>
    <n v="1819.5399999999991"/>
    <n v="0.24545755006508954"/>
    <n v="1.25"/>
  </r>
  <r>
    <d v="2024-05-01T00:00:00"/>
    <x v="8"/>
    <x v="0"/>
    <s v="Display"/>
    <x v="4"/>
    <s v="UAE"/>
    <n v="129447"/>
    <n v="4310"/>
    <n v="3.3300000000000003E-2"/>
    <n v="2.7"/>
    <n v="11637"/>
    <n v="211"/>
    <n v="55.15"/>
    <n v="16618.47"/>
    <n v="4981.4700000000012"/>
    <n v="0.42807166795565876"/>
    <n v="1.43"/>
  </r>
  <r>
    <d v="2024-01-22T00:00:00"/>
    <x v="0"/>
    <x v="0"/>
    <s v="Shopping"/>
    <x v="0"/>
    <s v="USA"/>
    <n v="28387"/>
    <n v="672"/>
    <n v="2.3699999999999999E-2"/>
    <n v="3.32"/>
    <n v="2231.04"/>
    <n v="41"/>
    <n v="54.42"/>
    <n v="7232.57"/>
    <n v="5001.53"/>
    <n v="2.2417930651176134"/>
    <n v="3.24"/>
  </r>
  <r>
    <d v="2024-04-27T00:00:00"/>
    <x v="5"/>
    <x v="2"/>
    <s v="Shopping"/>
    <x v="0"/>
    <s v="Australia"/>
    <n v="88986"/>
    <n v="1308"/>
    <n v="1.47E-2"/>
    <n v="0.75"/>
    <n v="981"/>
    <n v="80"/>
    <n v="12.26"/>
    <n v="21439.34"/>
    <n v="20458.34"/>
    <n v="20.854576962283385"/>
    <n v="21.85"/>
  </r>
  <r>
    <d v="2024-01-10T00:00:00"/>
    <x v="0"/>
    <x v="0"/>
    <s v="Video"/>
    <x v="3"/>
    <s v="UK"/>
    <n v="170268"/>
    <n v="7917"/>
    <n v="4.65E-2"/>
    <n v="3.14"/>
    <n v="24859.38"/>
    <n v="98"/>
    <n v="253.67"/>
    <n v="22672.12"/>
    <n v="-2187.260000000002"/>
    <n v="-8.7985299713830428E-2"/>
    <n v="0.91"/>
  </r>
  <r>
    <d v="2024-01-20T00:00:00"/>
    <x v="0"/>
    <x v="0"/>
    <s v="Display"/>
    <x v="2"/>
    <s v="USA"/>
    <n v="122322"/>
    <n v="6152"/>
    <n v="5.0299999999999997E-2"/>
    <n v="1.23"/>
    <n v="7566.96"/>
    <n v="155"/>
    <n v="48.82"/>
    <n v="10417.89"/>
    <n v="2850.9299999999994"/>
    <n v="0.37676028418281576"/>
    <n v="1.38"/>
  </r>
  <r>
    <d v="2024-02-07T00:00:00"/>
    <x v="2"/>
    <x v="2"/>
    <s v="Display"/>
    <x v="2"/>
    <s v="UK"/>
    <n v="69429"/>
    <n v="2430"/>
    <n v="3.5000000000000003E-2"/>
    <n v="1.59"/>
    <n v="3863.7"/>
    <n v="119"/>
    <n v="32.47"/>
    <n v="21584.01"/>
    <n v="17720.309999999998"/>
    <n v="4.5863576364624583"/>
    <n v="5.59"/>
  </r>
  <r>
    <d v="2024-06-07T00:00:00"/>
    <x v="1"/>
    <x v="2"/>
    <s v="Display"/>
    <x v="3"/>
    <s v="Canada"/>
    <n v="196675"/>
    <n v="4031"/>
    <n v="2.0500000000000001E-2"/>
    <n v="1.97"/>
    <n v="7941.07"/>
    <n v="186"/>
    <n v="42.69"/>
    <n v="27686.79"/>
    <n v="19745.72"/>
    <n v="2.4865314120137465"/>
    <n v="3.49"/>
  </r>
  <r>
    <d v="2024-05-25T00:00:00"/>
    <x v="8"/>
    <x v="0"/>
    <s v="Video"/>
    <x v="4"/>
    <s v="Australia"/>
    <n v="104134"/>
    <n v="3603"/>
    <n v="3.4599999999999999E-2"/>
    <n v="3.46"/>
    <n v="12466.38"/>
    <n v="234"/>
    <n v="53.28"/>
    <n v="14496.48"/>
    <n v="2030.1000000000004"/>
    <n v="0.16284599057625393"/>
    <n v="1.1599999999999999"/>
  </r>
  <r>
    <d v="2024-12-24T00:00:00"/>
    <x v="9"/>
    <x v="2"/>
    <s v="Display"/>
    <x v="1"/>
    <s v="Canada"/>
    <n v="150544"/>
    <n v="2890"/>
    <n v="1.9199999999999998E-2"/>
    <n v="1.7"/>
    <n v="4913"/>
    <n v="170"/>
    <n v="28.9"/>
    <n v="47769.42"/>
    <n v="42856.42"/>
    <n v="8.7230653368613886"/>
    <n v="9.7200000000000006"/>
  </r>
  <r>
    <d v="2024-10-28T00:00:00"/>
    <x v="3"/>
    <x v="1"/>
    <s v="Video"/>
    <x v="3"/>
    <s v="Canada"/>
    <n v="75553"/>
    <n v="3331"/>
    <n v="4.41E-2"/>
    <n v="0.44"/>
    <n v="1465.64"/>
    <n v="203"/>
    <n v="7.22"/>
    <n v="33301.040000000001"/>
    <n v="31835.4"/>
    <n v="21.721159357004449"/>
    <n v="22.72"/>
  </r>
  <r>
    <d v="2024-10-23T00:00:00"/>
    <x v="3"/>
    <x v="2"/>
    <s v="Search"/>
    <x v="1"/>
    <s v="India"/>
    <n v="149565"/>
    <n v="2437"/>
    <n v="1.6299999999999999E-2"/>
    <n v="0.37"/>
    <n v="901.69"/>
    <n v="30"/>
    <n v="30.06"/>
    <n v="3133.33"/>
    <n v="2231.64"/>
    <n v="2.4749525890272706"/>
    <n v="3.47"/>
  </r>
  <r>
    <d v="2024-04-15T00:00:00"/>
    <x v="5"/>
    <x v="0"/>
    <s v="Display"/>
    <x v="3"/>
    <s v="India"/>
    <n v="12896"/>
    <n v="535"/>
    <n v="4.1500000000000002E-2"/>
    <n v="0.98"/>
    <n v="524.29999999999995"/>
    <n v="20"/>
    <n v="26.21"/>
    <n v="2475.65"/>
    <n v="1951.3500000000001"/>
    <n v="3.7218195689490754"/>
    <n v="4.72"/>
  </r>
  <r>
    <d v="2024-05-22T00:00:00"/>
    <x v="8"/>
    <x v="1"/>
    <s v="Display"/>
    <x v="0"/>
    <s v="Germany"/>
    <n v="70428"/>
    <n v="3310"/>
    <n v="4.7E-2"/>
    <n v="1.17"/>
    <n v="3872.7"/>
    <n v="164"/>
    <n v="23.61"/>
    <n v="25462.93"/>
    <n v="21590.23"/>
    <n v="5.5749812792108866"/>
    <n v="6.57"/>
  </r>
  <r>
    <d v="2024-06-09T00:00:00"/>
    <x v="1"/>
    <x v="1"/>
    <s v="Shopping"/>
    <x v="1"/>
    <s v="USA"/>
    <n v="12345"/>
    <n v="456"/>
    <n v="3.6999999999999998E-2"/>
    <n v="0.62"/>
    <n v="282.72000000000003"/>
    <n v="21"/>
    <n v="13.46"/>
    <n v="5118.9399999999996"/>
    <n v="4836.2199999999993"/>
    <n v="17.106041312959814"/>
    <n v="18.11"/>
  </r>
  <r>
    <d v="2024-11-25T00:00:00"/>
    <x v="6"/>
    <x v="2"/>
    <s v="Display"/>
    <x v="3"/>
    <s v="USA"/>
    <n v="18140"/>
    <n v="455"/>
    <n v="2.5100000000000001E-2"/>
    <n v="1.1499999999999999"/>
    <n v="523.25"/>
    <n v="29"/>
    <n v="18.04"/>
    <n v="1746.46"/>
    <n v="1223.21"/>
    <n v="2.3377161968466318"/>
    <n v="3.34"/>
  </r>
  <r>
    <d v="2024-02-18T00:00:00"/>
    <x v="2"/>
    <x v="0"/>
    <s v="Video"/>
    <x v="0"/>
    <s v="Australia"/>
    <n v="42823"/>
    <n v="1588"/>
    <n v="3.7100000000000001E-2"/>
    <n v="2.97"/>
    <n v="4716.3599999999997"/>
    <n v="33"/>
    <n v="142.91999999999999"/>
    <n v="3266.45"/>
    <n v="-1449.9099999999999"/>
    <n v="-0.30742140125011663"/>
    <n v="0.69"/>
  </r>
  <r>
    <d v="2024-01-26T00:00:00"/>
    <x v="0"/>
    <x v="1"/>
    <s v="Shopping"/>
    <x v="3"/>
    <s v="Germany"/>
    <n v="34118"/>
    <n v="1470"/>
    <n v="4.3099999999999999E-2"/>
    <n v="0.85"/>
    <n v="1249.5"/>
    <n v="55"/>
    <n v="22.72"/>
    <n v="3037.11"/>
    <n v="1787.6100000000001"/>
    <n v="1.4306602641056423"/>
    <n v="2.4300000000000002"/>
  </r>
  <r>
    <d v="2024-01-08T00:00:00"/>
    <x v="0"/>
    <x v="2"/>
    <s v="Video"/>
    <x v="1"/>
    <s v="UK"/>
    <n v="127775"/>
    <n v="3871"/>
    <n v="3.0300000000000001E-2"/>
    <n v="0.76"/>
    <n v="2941.96"/>
    <n v="159"/>
    <n v="18.5"/>
    <n v="28717.22"/>
    <n v="25775.260000000002"/>
    <n v="8.7612544018273546"/>
    <n v="9.76"/>
  </r>
  <r>
    <d v="2024-09-15T00:00:00"/>
    <x v="7"/>
    <x v="0"/>
    <s v="Shopping"/>
    <x v="0"/>
    <s v="UAE"/>
    <n v="136354"/>
    <n v="3736"/>
    <n v="2.7400000000000001E-2"/>
    <n v="1.1599999999999999"/>
    <n v="4333.76"/>
    <n v="152"/>
    <n v="28.51"/>
    <n v="29811.83"/>
    <n v="25478.07"/>
    <n v="5.8789757623864727"/>
    <n v="6.88"/>
  </r>
  <r>
    <d v="2024-10-28T00:00:00"/>
    <x v="3"/>
    <x v="0"/>
    <s v="Shopping"/>
    <x v="4"/>
    <s v="Germany"/>
    <n v="115454"/>
    <n v="7227"/>
    <n v="6.2600000000000003E-2"/>
    <n v="2.46"/>
    <n v="17778.419999999998"/>
    <n v="154"/>
    <n v="115.44"/>
    <n v="5144.22"/>
    <n v="-12634.199999999997"/>
    <n v="-0.71064807783818795"/>
    <n v="0.28999999999999998"/>
  </r>
  <r>
    <d v="2024-06-02T00:00:00"/>
    <x v="1"/>
    <x v="2"/>
    <s v="Search"/>
    <x v="1"/>
    <s v="USA"/>
    <n v="37994"/>
    <n v="1379"/>
    <n v="3.6299999999999999E-2"/>
    <n v="1.06"/>
    <n v="1461.74"/>
    <n v="58"/>
    <n v="25.2"/>
    <n v="7343.12"/>
    <n v="5881.38"/>
    <n v="4.023547279269911"/>
    <n v="5.0199999999999996"/>
  </r>
  <r>
    <d v="2024-10-12T00:00:00"/>
    <x v="3"/>
    <x v="2"/>
    <s v="Video"/>
    <x v="1"/>
    <s v="Germany"/>
    <n v="74615"/>
    <n v="2327"/>
    <n v="3.1199999999999999E-2"/>
    <n v="1.1000000000000001"/>
    <n v="2559.6999999999998"/>
    <n v="129"/>
    <n v="19.84"/>
    <n v="25496.94"/>
    <n v="22937.239999999998"/>
    <n v="8.960909481579872"/>
    <n v="9.9600000000000009"/>
  </r>
  <r>
    <d v="2024-12-15T00:00:00"/>
    <x v="9"/>
    <x v="0"/>
    <s v="Search"/>
    <x v="1"/>
    <s v="Canada"/>
    <n v="176790"/>
    <n v="4490"/>
    <n v="2.5399999999999999E-2"/>
    <n v="1.49"/>
    <n v="6690.1"/>
    <n v="250"/>
    <n v="26.76"/>
    <n v="74442.63"/>
    <n v="67752.53"/>
    <n v="10.127282103406525"/>
    <n v="11.13"/>
  </r>
  <r>
    <d v="2024-10-29T00:00:00"/>
    <x v="3"/>
    <x v="0"/>
    <s v="Shopping"/>
    <x v="0"/>
    <s v="Germany"/>
    <n v="60077"/>
    <n v="1994"/>
    <n v="3.32E-2"/>
    <n v="3.11"/>
    <n v="6201.34"/>
    <n v="28"/>
    <n v="221.48"/>
    <n v="7635.29"/>
    <n v="1433.9499999999998"/>
    <n v="0.23123228205516869"/>
    <n v="1.23"/>
  </r>
  <r>
    <d v="2024-03-31T00:00:00"/>
    <x v="11"/>
    <x v="2"/>
    <s v="Display"/>
    <x v="0"/>
    <s v="Canada"/>
    <n v="151295"/>
    <n v="2163"/>
    <n v="1.43E-2"/>
    <n v="1.58"/>
    <n v="3417.54"/>
    <n v="85"/>
    <n v="40.21"/>
    <n v="3173.67"/>
    <n v="-243.86999999999989"/>
    <n v="-7.1358345476570842E-2"/>
    <n v="0.93"/>
  </r>
  <r>
    <d v="2024-04-19T00:00:00"/>
    <x v="5"/>
    <x v="1"/>
    <s v="Display"/>
    <x v="4"/>
    <s v="Canada"/>
    <n v="20282"/>
    <n v="1740"/>
    <n v="8.5800000000000001E-2"/>
    <n v="1.25"/>
    <n v="2175"/>
    <n v="94"/>
    <n v="23.14"/>
    <n v="14237"/>
    <n v="12062"/>
    <n v="5.5457471264367815"/>
    <n v="6.55"/>
  </r>
  <r>
    <d v="2024-10-12T00:00:00"/>
    <x v="3"/>
    <x v="0"/>
    <s v="Search"/>
    <x v="2"/>
    <s v="Germany"/>
    <n v="185488"/>
    <n v="3950"/>
    <n v="2.1299999999999999E-2"/>
    <n v="1.39"/>
    <n v="5490.5"/>
    <n v="289"/>
    <n v="19"/>
    <n v="75172.149999999994"/>
    <n v="69681.649999999994"/>
    <n v="12.691312266642381"/>
    <n v="13.69"/>
  </r>
  <r>
    <d v="2024-09-11T00:00:00"/>
    <x v="7"/>
    <x v="2"/>
    <s v="Display"/>
    <x v="4"/>
    <s v="Australia"/>
    <n v="28567"/>
    <n v="999"/>
    <n v="3.5000000000000003E-2"/>
    <n v="1.69"/>
    <n v="1688.31"/>
    <n v="68"/>
    <n v="24.83"/>
    <n v="13037.25"/>
    <n v="11348.94"/>
    <n v="6.7220711836096454"/>
    <n v="7.72"/>
  </r>
  <r>
    <d v="2024-11-19T00:00:00"/>
    <x v="6"/>
    <x v="0"/>
    <s v="Search"/>
    <x v="4"/>
    <s v="UAE"/>
    <n v="96170"/>
    <n v="5145"/>
    <n v="5.3499999999999999E-2"/>
    <n v="2.12"/>
    <n v="10907.4"/>
    <n v="268"/>
    <n v="40.700000000000003"/>
    <n v="72622.990000000005"/>
    <n v="61715.590000000004"/>
    <n v="5.6581394282780506"/>
    <n v="6.66"/>
  </r>
  <r>
    <d v="2024-02-07T00:00:00"/>
    <x v="2"/>
    <x v="2"/>
    <s v="Shopping"/>
    <x v="2"/>
    <s v="Canada"/>
    <n v="101019"/>
    <n v="2515"/>
    <n v="2.4899999999999999E-2"/>
    <n v="1.69"/>
    <n v="4250.3500000000004"/>
    <n v="72"/>
    <n v="59.03"/>
    <n v="11353.12"/>
    <n v="7102.77"/>
    <n v="1.6711023798040161"/>
    <n v="2.67"/>
  </r>
  <r>
    <d v="2024-03-01T00:00:00"/>
    <x v="11"/>
    <x v="1"/>
    <s v="Shopping"/>
    <x v="4"/>
    <s v="UK"/>
    <n v="91795"/>
    <n v="3800"/>
    <n v="4.1399999999999999E-2"/>
    <n v="1.22"/>
    <n v="4636"/>
    <n v="157"/>
    <n v="29.53"/>
    <n v="24815.09"/>
    <n v="20179.09"/>
    <n v="4.3526941328731663"/>
    <n v="5.35"/>
  </r>
  <r>
    <d v="2024-07-08T00:00:00"/>
    <x v="10"/>
    <x v="2"/>
    <s v="Search"/>
    <x v="4"/>
    <s v="India"/>
    <n v="22543"/>
    <n v="333"/>
    <n v="1.4800000000000001E-2"/>
    <n v="1.49"/>
    <n v="496.17"/>
    <n v="12"/>
    <n v="41.35"/>
    <n v="642.17999999999995"/>
    <n v="146.00999999999993"/>
    <n v="0.29427413991172369"/>
    <n v="1.29"/>
  </r>
  <r>
    <d v="2024-02-28T00:00:00"/>
    <x v="2"/>
    <x v="2"/>
    <s v="Shopping"/>
    <x v="2"/>
    <s v="Canada"/>
    <n v="119598"/>
    <n v="1064"/>
    <n v="8.8999999999999999E-3"/>
    <n v="2"/>
    <n v="2128"/>
    <n v="64"/>
    <n v="33.25"/>
    <n v="17165.43"/>
    <n v="15037.43"/>
    <n v="7.0664614661654133"/>
    <n v="8.07"/>
  </r>
  <r>
    <d v="2024-08-27T00:00:00"/>
    <x v="4"/>
    <x v="2"/>
    <s v="Search"/>
    <x v="1"/>
    <s v="UAE"/>
    <n v="158504"/>
    <n v="4897"/>
    <n v="3.09E-2"/>
    <n v="0.43"/>
    <n v="2105.71"/>
    <n v="255"/>
    <n v="8.26"/>
    <n v="54921.72"/>
    <n v="52816.01"/>
    <n v="25.082281035850141"/>
    <n v="26.08"/>
  </r>
  <r>
    <d v="2024-03-22T00:00:00"/>
    <x v="11"/>
    <x v="0"/>
    <s v="Display"/>
    <x v="4"/>
    <s v="Australia"/>
    <n v="39542"/>
    <n v="1209"/>
    <n v="3.0599999999999999E-2"/>
    <n v="1.85"/>
    <n v="2236.65"/>
    <n v="42"/>
    <n v="53.25"/>
    <n v="7992.11"/>
    <n v="5755.4599999999991"/>
    <n v="2.5732501732501727"/>
    <n v="3.57"/>
  </r>
  <r>
    <d v="2024-07-19T00:00:00"/>
    <x v="10"/>
    <x v="0"/>
    <s v="Display"/>
    <x v="0"/>
    <s v="India"/>
    <n v="110848"/>
    <n v="3181"/>
    <n v="2.87E-2"/>
    <n v="2.4500000000000002"/>
    <n v="7793.45"/>
    <n v="186"/>
    <n v="41.9"/>
    <n v="32321.78"/>
    <n v="24528.329999999998"/>
    <n v="3.1473006178265082"/>
    <n v="4.1500000000000004"/>
  </r>
  <r>
    <d v="2024-12-22T00:00:00"/>
    <x v="9"/>
    <x v="2"/>
    <s v="Video"/>
    <x v="2"/>
    <s v="Australia"/>
    <n v="79964"/>
    <n v="1487"/>
    <n v="1.8599999999999998E-2"/>
    <n v="1.07"/>
    <n v="1591.09"/>
    <n v="22"/>
    <n v="72.319999999999993"/>
    <n v="3882.65"/>
    <n v="2291.5600000000004"/>
    <n v="1.4402453663840515"/>
    <n v="2.44"/>
  </r>
  <r>
    <d v="2024-12-19T00:00:00"/>
    <x v="9"/>
    <x v="1"/>
    <s v="Display"/>
    <x v="1"/>
    <s v="Germany"/>
    <n v="105127"/>
    <n v="7747"/>
    <n v="7.3700000000000002E-2"/>
    <n v="0.88"/>
    <n v="6817.36"/>
    <n v="460"/>
    <n v="14.82"/>
    <n v="99299.9"/>
    <n v="92482.54"/>
    <n v="13.565740990647406"/>
    <n v="14.57"/>
  </r>
  <r>
    <d v="2024-01-07T00:00:00"/>
    <x v="0"/>
    <x v="0"/>
    <s v="Shopping"/>
    <x v="1"/>
    <s v="UAE"/>
    <n v="73803"/>
    <n v="1505"/>
    <n v="2.0400000000000001E-2"/>
    <n v="2.12"/>
    <n v="3190.6"/>
    <n v="98"/>
    <n v="32.56"/>
    <n v="18709.86"/>
    <n v="15519.26"/>
    <n v="4.864056917194258"/>
    <n v="5.86"/>
  </r>
  <r>
    <d v="2024-06-24T00:00:00"/>
    <x v="1"/>
    <x v="0"/>
    <s v="Shopping"/>
    <x v="2"/>
    <s v="UK"/>
    <n v="96575"/>
    <n v="4925"/>
    <n v="5.0999999999999997E-2"/>
    <n v="2.4"/>
    <n v="11820"/>
    <n v="181"/>
    <n v="65.3"/>
    <n v="7335.74"/>
    <n v="-4484.26"/>
    <n v="-0.37937901861252116"/>
    <n v="0.62"/>
  </r>
  <r>
    <d v="2024-02-20T00:00:00"/>
    <x v="2"/>
    <x v="0"/>
    <s v="Shopping"/>
    <x v="0"/>
    <s v="UK"/>
    <n v="162489"/>
    <n v="4500"/>
    <n v="2.7699999999999999E-2"/>
    <n v="3.03"/>
    <n v="13635"/>
    <n v="184"/>
    <n v="74.099999999999994"/>
    <n v="54944.54"/>
    <n v="41309.54"/>
    <n v="3.0296692335900257"/>
    <n v="4.03"/>
  </r>
  <r>
    <d v="2024-05-05T00:00:00"/>
    <x v="8"/>
    <x v="2"/>
    <s v="Search"/>
    <x v="2"/>
    <s v="Canada"/>
    <n v="76155"/>
    <n v="3548"/>
    <n v="4.6600000000000003E-2"/>
    <n v="1.25"/>
    <n v="4435"/>
    <n v="243"/>
    <n v="18.25"/>
    <n v="30659.34"/>
    <n v="26224.34"/>
    <n v="5.9130417136414879"/>
    <n v="6.91"/>
  </r>
  <r>
    <d v="2024-12-06T00:00:00"/>
    <x v="9"/>
    <x v="1"/>
    <s v="Search"/>
    <x v="0"/>
    <s v="UK"/>
    <n v="180021"/>
    <n v="13105"/>
    <n v="7.2800000000000004E-2"/>
    <n v="1.61"/>
    <n v="21099.05"/>
    <n v="880"/>
    <n v="23.98"/>
    <n v="75656.62"/>
    <n v="54557.569999999992"/>
    <n v="2.5857832461651116"/>
    <n v="3.59"/>
  </r>
  <r>
    <d v="2024-04-13T00:00:00"/>
    <x v="5"/>
    <x v="1"/>
    <s v="Video"/>
    <x v="1"/>
    <s v="UK"/>
    <n v="79965"/>
    <n v="3070"/>
    <n v="3.8399999999999997E-2"/>
    <n v="1.02"/>
    <n v="3131.4"/>
    <n v="237"/>
    <n v="13.21"/>
    <n v="65306"/>
    <n v="62174.6"/>
    <n v="19.855208532924568"/>
    <n v="20.86"/>
  </r>
  <r>
    <d v="2024-05-28T00:00:00"/>
    <x v="8"/>
    <x v="2"/>
    <s v="Search"/>
    <x v="1"/>
    <s v="India"/>
    <n v="49789"/>
    <n v="622"/>
    <n v="1.2500000000000001E-2"/>
    <n v="2.08"/>
    <n v="1293.76"/>
    <n v="48"/>
    <n v="26.95"/>
    <n v="7704.96"/>
    <n v="6411.2"/>
    <n v="4.9554786049962898"/>
    <n v="5.96"/>
  </r>
  <r>
    <d v="2024-04-11T00:00:00"/>
    <x v="5"/>
    <x v="1"/>
    <s v="Video"/>
    <x v="3"/>
    <s v="Germany"/>
    <n v="195026"/>
    <n v="9653"/>
    <n v="4.9500000000000002E-2"/>
    <n v="1.83"/>
    <n v="17664.990000000002"/>
    <n v="371"/>
    <n v="47.61"/>
    <n v="94022.57"/>
    <n v="76357.58"/>
    <n v="4.3225374030780657"/>
    <n v="5.32"/>
  </r>
  <r>
    <d v="2024-02-17T00:00:00"/>
    <x v="2"/>
    <x v="1"/>
    <s v="Shopping"/>
    <x v="2"/>
    <s v="Canada"/>
    <n v="130438"/>
    <n v="7721"/>
    <n v="5.9200000000000003E-2"/>
    <n v="1.6"/>
    <n v="12353.6"/>
    <n v="353"/>
    <n v="35"/>
    <n v="70310.53"/>
    <n v="57956.93"/>
    <n v="4.6915012627897941"/>
    <n v="5.69"/>
  </r>
  <r>
    <d v="2024-12-14T00:00:00"/>
    <x v="9"/>
    <x v="1"/>
    <s v="Shopping"/>
    <x v="3"/>
    <s v="India"/>
    <n v="141917"/>
    <n v="4796"/>
    <n v="3.3799999999999997E-2"/>
    <n v="0.66"/>
    <n v="3165.36"/>
    <n v="369"/>
    <n v="8.58"/>
    <n v="11953.05"/>
    <n v="8787.6899999999987"/>
    <n v="2.7762055500796112"/>
    <n v="3.78"/>
  </r>
  <r>
    <d v="2024-11-22T00:00:00"/>
    <x v="6"/>
    <x v="1"/>
    <s v="Shopping"/>
    <x v="3"/>
    <s v="USA"/>
    <n v="146958"/>
    <n v="7494"/>
    <n v="5.0999999999999997E-2"/>
    <n v="1.68"/>
    <n v="12589.92"/>
    <n v="538"/>
    <n v="23.4"/>
    <n v="117826.98"/>
    <n v="105237.06"/>
    <n v="8.3588346867970564"/>
    <n v="9.36"/>
  </r>
  <r>
    <d v="2024-09-16T00:00:00"/>
    <x v="7"/>
    <x v="0"/>
    <s v="Video"/>
    <x v="4"/>
    <s v="UK"/>
    <n v="13605"/>
    <n v="300"/>
    <n v="2.2100000000000002E-2"/>
    <n v="2.08"/>
    <n v="624"/>
    <n v="21"/>
    <n v="29.71"/>
    <n v="4495.51"/>
    <n v="3871.51"/>
    <n v="6.2043429487179491"/>
    <n v="7.2"/>
  </r>
  <r>
    <d v="2024-05-23T00:00:00"/>
    <x v="8"/>
    <x v="0"/>
    <s v="Display"/>
    <x v="3"/>
    <s v="Germany"/>
    <n v="116041"/>
    <n v="6428"/>
    <n v="5.5399999999999998E-2"/>
    <n v="1.75"/>
    <n v="11249"/>
    <n v="74"/>
    <n v="152.01"/>
    <n v="13873.48"/>
    <n v="2624.4799999999996"/>
    <n v="0.2333078495866299"/>
    <n v="1.23"/>
  </r>
  <r>
    <d v="2024-09-25T00:00:00"/>
    <x v="7"/>
    <x v="1"/>
    <s v="Search"/>
    <x v="4"/>
    <s v="India"/>
    <n v="170396"/>
    <n v="10138"/>
    <n v="5.9499999999999997E-2"/>
    <n v="1.08"/>
    <n v="10949.04"/>
    <n v="494"/>
    <n v="22.16"/>
    <n v="99795.18"/>
    <n v="88846.139999999985"/>
    <n v="8.1145141491856805"/>
    <n v="9.11"/>
  </r>
  <r>
    <d v="2024-02-22T00:00:00"/>
    <x v="2"/>
    <x v="2"/>
    <s v="Display"/>
    <x v="1"/>
    <s v="India"/>
    <n v="19743"/>
    <n v="619"/>
    <n v="3.1399999999999997E-2"/>
    <n v="1.25"/>
    <n v="773.75"/>
    <n v="41"/>
    <n v="18.87"/>
    <n v="9219.4599999999991"/>
    <n v="8445.7099999999991"/>
    <n v="10.915295638126009"/>
    <n v="11.92"/>
  </r>
  <r>
    <d v="2024-08-28T00:00:00"/>
    <x v="4"/>
    <x v="0"/>
    <s v="Search"/>
    <x v="4"/>
    <s v="Australia"/>
    <n v="94081"/>
    <n v="5588"/>
    <n v="5.9400000000000001E-2"/>
    <n v="2.69"/>
    <n v="15031.72"/>
    <n v="88"/>
    <n v="170.81"/>
    <n v="24757.88"/>
    <n v="9726.1600000000017"/>
    <n v="0.64704238769748257"/>
    <n v="1.65"/>
  </r>
  <r>
    <d v="2024-06-10T00:00:00"/>
    <x v="1"/>
    <x v="1"/>
    <s v="Video"/>
    <x v="0"/>
    <s v="USA"/>
    <n v="141643"/>
    <n v="8526"/>
    <n v="6.0199999999999997E-2"/>
    <n v="0.46"/>
    <n v="3921.96"/>
    <n v="379"/>
    <n v="10.35"/>
    <n v="51038.1"/>
    <n v="47116.14"/>
    <n v="12.013416761007251"/>
    <n v="13.01"/>
  </r>
  <r>
    <d v="2024-01-23T00:00:00"/>
    <x v="0"/>
    <x v="2"/>
    <s v="Shopping"/>
    <x v="3"/>
    <s v="Australia"/>
    <n v="90716"/>
    <n v="3002"/>
    <n v="3.3099999999999997E-2"/>
    <n v="1.47"/>
    <n v="4412.9399999999996"/>
    <n v="194"/>
    <n v="22.75"/>
    <n v="39560.54"/>
    <n v="35147.599999999999"/>
    <n v="7.9646675458991059"/>
    <n v="8.9600000000000009"/>
  </r>
  <r>
    <d v="2024-12-20T00:00:00"/>
    <x v="9"/>
    <x v="0"/>
    <s v="Search"/>
    <x v="1"/>
    <s v="USA"/>
    <n v="72055"/>
    <n v="1678"/>
    <n v="2.3300000000000001E-2"/>
    <n v="3.17"/>
    <n v="5319.26"/>
    <n v="41"/>
    <n v="129.74"/>
    <n v="8506.9"/>
    <n v="3187.6399999999994"/>
    <n v="0.59926380737170193"/>
    <n v="1.6"/>
  </r>
  <r>
    <d v="2024-04-18T00:00:00"/>
    <x v="5"/>
    <x v="2"/>
    <s v="Shopping"/>
    <x v="4"/>
    <s v="Germany"/>
    <n v="112692"/>
    <n v="2096"/>
    <n v="1.8599999999999998E-2"/>
    <n v="2.27"/>
    <n v="4757.92"/>
    <n v="89"/>
    <n v="53.46"/>
    <n v="16587.580000000002"/>
    <n v="11829.660000000002"/>
    <n v="2.4863091434912739"/>
    <n v="3.49"/>
  </r>
  <r>
    <d v="2024-11-08T00:00:00"/>
    <x v="6"/>
    <x v="0"/>
    <s v="Video"/>
    <x v="0"/>
    <s v="UAE"/>
    <n v="31672"/>
    <n v="877"/>
    <n v="2.7699999999999999E-2"/>
    <n v="0.72"/>
    <n v="631.44000000000005"/>
    <n v="16"/>
    <n v="39.47"/>
    <n v="2266.94"/>
    <n v="1635.5"/>
    <n v="2.5901114911947292"/>
    <n v="3.59"/>
  </r>
  <r>
    <d v="2024-06-30T00:00:00"/>
    <x v="1"/>
    <x v="2"/>
    <s v="Video"/>
    <x v="4"/>
    <s v="Germany"/>
    <n v="59131"/>
    <n v="1425"/>
    <n v="2.41E-2"/>
    <n v="1.04"/>
    <n v="1482"/>
    <n v="66"/>
    <n v="22.45"/>
    <n v="19372.57"/>
    <n v="17890.57"/>
    <n v="12.071909581646423"/>
    <n v="13.07"/>
  </r>
  <r>
    <d v="2024-06-23T00:00:00"/>
    <x v="1"/>
    <x v="0"/>
    <s v="Search"/>
    <x v="3"/>
    <s v="Canada"/>
    <n v="119397"/>
    <n v="3868"/>
    <n v="3.2399999999999998E-2"/>
    <n v="1.8"/>
    <n v="6962.4"/>
    <n v="193"/>
    <n v="36.07"/>
    <n v="35393.300000000003"/>
    <n v="28430.9"/>
    <n v="4.0834913248305185"/>
    <n v="5.08"/>
  </r>
  <r>
    <d v="2024-11-02T00:00:00"/>
    <x v="6"/>
    <x v="2"/>
    <s v="Search"/>
    <x v="1"/>
    <s v="Australia"/>
    <n v="157008"/>
    <n v="5024"/>
    <n v="3.2000000000000001E-2"/>
    <n v="0.72"/>
    <n v="3617.28"/>
    <n v="379"/>
    <n v="9.5399999999999991"/>
    <n v="73104.850000000006"/>
    <n v="69487.570000000007"/>
    <n v="19.209895280431706"/>
    <n v="20.21"/>
  </r>
  <r>
    <d v="2024-01-04T00:00:00"/>
    <x v="0"/>
    <x v="2"/>
    <s v="Shopping"/>
    <x v="1"/>
    <s v="UK"/>
    <n v="117217"/>
    <n v="2133"/>
    <n v="1.8200000000000001E-2"/>
    <n v="1.29"/>
    <n v="2751.57"/>
    <n v="129"/>
    <n v="21.33"/>
    <n v="25455.360000000001"/>
    <n v="22703.79"/>
    <n v="8.2512129438829458"/>
    <n v="9.25"/>
  </r>
  <r>
    <d v="2024-10-27T00:00:00"/>
    <x v="3"/>
    <x v="1"/>
    <s v="Search"/>
    <x v="3"/>
    <s v="Canada"/>
    <n v="111956"/>
    <n v="5911"/>
    <n v="5.28E-2"/>
    <n v="1.57"/>
    <n v="9280.27"/>
    <n v="253"/>
    <n v="36.68"/>
    <n v="68395.539999999994"/>
    <n v="59115.26999999999"/>
    <n v="6.3699946230012694"/>
    <n v="7.37"/>
  </r>
  <r>
    <d v="2024-01-05T00:00:00"/>
    <x v="0"/>
    <x v="2"/>
    <s v="Display"/>
    <x v="3"/>
    <s v="USA"/>
    <n v="10939"/>
    <n v="113"/>
    <n v="1.04E-2"/>
    <n v="1.18"/>
    <n v="133.34"/>
    <n v="6"/>
    <n v="22.22"/>
    <n v="1684.43"/>
    <n v="1551.0900000000001"/>
    <n v="11.632593370331485"/>
    <n v="12.63"/>
  </r>
  <r>
    <d v="2024-08-10T00:00:00"/>
    <x v="4"/>
    <x v="1"/>
    <s v="Display"/>
    <x v="3"/>
    <s v="India"/>
    <n v="72293"/>
    <n v="4532"/>
    <n v="6.2700000000000006E-2"/>
    <n v="1.81"/>
    <n v="8202.92"/>
    <n v="169"/>
    <n v="48.54"/>
    <n v="35145.360000000001"/>
    <n v="26942.440000000002"/>
    <n v="3.2844938143978002"/>
    <n v="4.28"/>
  </r>
  <r>
    <d v="2024-02-17T00:00:00"/>
    <x v="2"/>
    <x v="0"/>
    <s v="Shopping"/>
    <x v="0"/>
    <s v="Germany"/>
    <n v="78402"/>
    <n v="4531"/>
    <n v="5.7799999999999997E-2"/>
    <n v="2.75"/>
    <n v="12460.25"/>
    <n v="105"/>
    <n v="118.67"/>
    <n v="25620.07"/>
    <n v="13159.82"/>
    <n v="1.0561441383599848"/>
    <n v="2.06"/>
  </r>
  <r>
    <d v="2024-10-25T00:00:00"/>
    <x v="3"/>
    <x v="1"/>
    <s v="Display"/>
    <x v="4"/>
    <s v="Canada"/>
    <n v="160892"/>
    <n v="9122"/>
    <n v="5.67E-2"/>
    <n v="0.64"/>
    <n v="5838.08"/>
    <n v="590"/>
    <n v="9.9"/>
    <n v="170654.73"/>
    <n v="164816.65000000002"/>
    <n v="28.231310636373607"/>
    <n v="29.23"/>
  </r>
  <r>
    <d v="2024-03-14T00:00:00"/>
    <x v="11"/>
    <x v="1"/>
    <s v="Search"/>
    <x v="1"/>
    <s v="USA"/>
    <n v="154092"/>
    <n v="8860"/>
    <n v="5.7500000000000002E-2"/>
    <n v="1.17"/>
    <n v="10366.200000000001"/>
    <n v="246"/>
    <n v="42.14"/>
    <n v="23706.53"/>
    <n v="13340.329999999998"/>
    <n v="1.2869064845362812"/>
    <n v="2.29"/>
  </r>
  <r>
    <d v="2024-01-10T00:00:00"/>
    <x v="0"/>
    <x v="2"/>
    <s v="Shopping"/>
    <x v="2"/>
    <s v="UAE"/>
    <n v="73323"/>
    <n v="1928"/>
    <n v="2.63E-2"/>
    <n v="1.71"/>
    <n v="3296.88"/>
    <n v="121"/>
    <n v="27.25"/>
    <n v="33634.99"/>
    <n v="30338.109999999997"/>
    <n v="9.2020668025527161"/>
    <n v="10.199999999999999"/>
  </r>
  <r>
    <d v="2024-01-17T00:00:00"/>
    <x v="0"/>
    <x v="1"/>
    <s v="Video"/>
    <x v="3"/>
    <s v="India"/>
    <n v="58521"/>
    <n v="3318"/>
    <n v="5.67E-2"/>
    <n v="1.85"/>
    <n v="6138.3"/>
    <n v="39"/>
    <n v="157.38999999999999"/>
    <n v="10013.26"/>
    <n v="3874.96"/>
    <n v="0.63127576038968447"/>
    <n v="1.63"/>
  </r>
  <r>
    <d v="2024-10-04T00:00:00"/>
    <x v="3"/>
    <x v="1"/>
    <s v="Search"/>
    <x v="3"/>
    <s v="USA"/>
    <n v="48361"/>
    <n v="2713"/>
    <n v="5.6099999999999997E-2"/>
    <n v="0.87"/>
    <n v="2360.31"/>
    <n v="54"/>
    <n v="43.71"/>
    <n v="7890.9"/>
    <n v="5530.59"/>
    <n v="2.3431625506819023"/>
    <n v="3.34"/>
  </r>
  <r>
    <d v="2024-05-11T00:00:00"/>
    <x v="8"/>
    <x v="1"/>
    <s v="Display"/>
    <x v="2"/>
    <s v="UAE"/>
    <n v="179870"/>
    <n v="7500"/>
    <n v="4.1700000000000001E-2"/>
    <n v="1.44"/>
    <n v="10800"/>
    <n v="112"/>
    <n v="96.43"/>
    <n v="5446.79"/>
    <n v="-5353.21"/>
    <n v="-0.49566759259259258"/>
    <n v="0.5"/>
  </r>
  <r>
    <d v="2024-10-06T00:00:00"/>
    <x v="3"/>
    <x v="1"/>
    <s v="Search"/>
    <x v="4"/>
    <s v="Canada"/>
    <n v="114850"/>
    <n v="8234"/>
    <n v="7.17E-2"/>
    <n v="1.63"/>
    <n v="13421.42"/>
    <n v="245"/>
    <n v="54.78"/>
    <n v="35478.839999999997"/>
    <n v="22057.42"/>
    <n v="1.643449053825899"/>
    <n v="2.64"/>
  </r>
  <r>
    <d v="2024-06-17T00:00:00"/>
    <x v="1"/>
    <x v="0"/>
    <s v="Display"/>
    <x v="2"/>
    <s v="India"/>
    <n v="54976"/>
    <n v="2611"/>
    <n v="4.7500000000000001E-2"/>
    <n v="1.32"/>
    <n v="3446.52"/>
    <n v="187"/>
    <n v="18.43"/>
    <n v="8230.48"/>
    <n v="4783.9599999999991"/>
    <n v="1.388055197706672"/>
    <n v="2.39"/>
  </r>
  <r>
    <d v="2024-08-26T00:00:00"/>
    <x v="4"/>
    <x v="0"/>
    <s v="Shopping"/>
    <x v="0"/>
    <s v="Australia"/>
    <n v="162636"/>
    <n v="9237"/>
    <n v="5.6800000000000003E-2"/>
    <n v="1.41"/>
    <n v="13024.17"/>
    <n v="738"/>
    <n v="17.649999999999999"/>
    <n v="102989.98"/>
    <n v="89965.81"/>
    <n v="6.9076040930055429"/>
    <n v="7.91"/>
  </r>
  <r>
    <d v="2024-05-28T00:00:00"/>
    <x v="8"/>
    <x v="0"/>
    <s v="Display"/>
    <x v="2"/>
    <s v="India"/>
    <n v="23375"/>
    <n v="1175"/>
    <n v="5.0299999999999997E-2"/>
    <n v="1.42"/>
    <n v="1668.5"/>
    <n v="15"/>
    <n v="111.23"/>
    <n v="1524.57"/>
    <n v="-143.93000000000006"/>
    <n v="-8.6263110578363833E-2"/>
    <n v="0.91"/>
  </r>
  <r>
    <d v="2024-12-22T00:00:00"/>
    <x v="9"/>
    <x v="2"/>
    <s v="Shopping"/>
    <x v="4"/>
    <s v="Canada"/>
    <n v="167917"/>
    <n v="6246"/>
    <n v="3.7199999999999997E-2"/>
    <n v="0.6"/>
    <n v="3747.6"/>
    <n v="413"/>
    <n v="9.07"/>
    <n v="25997.62"/>
    <n v="22250.02"/>
    <n v="5.9371384352652363"/>
    <n v="6.94"/>
  </r>
  <r>
    <d v="2024-09-07T00:00:00"/>
    <x v="7"/>
    <x v="0"/>
    <s v="Search"/>
    <x v="4"/>
    <s v="USA"/>
    <n v="71216"/>
    <n v="2357"/>
    <n v="3.3099999999999997E-2"/>
    <n v="3.17"/>
    <n v="7471.69"/>
    <n v="179"/>
    <n v="41.74"/>
    <n v="29354.19"/>
    <n v="21882.5"/>
    <n v="2.9287216145209451"/>
    <n v="3.93"/>
  </r>
  <r>
    <d v="2024-12-04T00:00:00"/>
    <x v="9"/>
    <x v="0"/>
    <s v="Video"/>
    <x v="1"/>
    <s v="Germany"/>
    <n v="29618"/>
    <n v="1883"/>
    <n v="6.3600000000000004E-2"/>
    <n v="2.17"/>
    <n v="4086.11"/>
    <n v="90"/>
    <n v="45.4"/>
    <n v="26198.959999999999"/>
    <n v="22112.85"/>
    <n v="5.4117118726612841"/>
    <n v="6.41"/>
  </r>
  <r>
    <d v="2024-12-01T00:00:00"/>
    <x v="9"/>
    <x v="0"/>
    <s v="Search"/>
    <x v="2"/>
    <s v="Canada"/>
    <n v="136461"/>
    <n v="3984"/>
    <n v="2.92E-2"/>
    <n v="1.49"/>
    <n v="5936.16"/>
    <n v="214"/>
    <n v="27.74"/>
    <n v="24710.240000000002"/>
    <n v="18774.080000000002"/>
    <n v="3.1626640791353338"/>
    <n v="4.16"/>
  </r>
  <r>
    <d v="2024-07-24T00:00:00"/>
    <x v="10"/>
    <x v="1"/>
    <s v="Search"/>
    <x v="2"/>
    <s v="Australia"/>
    <n v="132426"/>
    <n v="7309"/>
    <n v="5.5199999999999999E-2"/>
    <n v="0.32"/>
    <n v="2338.88"/>
    <n v="171"/>
    <n v="13.68"/>
    <n v="24136.13"/>
    <n v="21797.25"/>
    <n v="9.3195247297851953"/>
    <n v="10.32"/>
  </r>
  <r>
    <d v="2024-11-29T00:00:00"/>
    <x v="6"/>
    <x v="1"/>
    <s v="Search"/>
    <x v="4"/>
    <s v="Germany"/>
    <n v="159692"/>
    <n v="6882"/>
    <n v="4.3099999999999999E-2"/>
    <n v="0.37"/>
    <n v="2546.34"/>
    <n v="523"/>
    <n v="4.87"/>
    <n v="106309.31"/>
    <n v="103762.97"/>
    <n v="40.749848802595096"/>
    <n v="41.75"/>
  </r>
  <r>
    <d v="2024-09-04T00:00:00"/>
    <x v="7"/>
    <x v="2"/>
    <s v="Video"/>
    <x v="0"/>
    <s v="India"/>
    <n v="27931"/>
    <n v="608"/>
    <n v="2.18E-2"/>
    <n v="1.52"/>
    <n v="924.16"/>
    <n v="10"/>
    <n v="92.42"/>
    <n v="1389.72"/>
    <n v="465.56000000000006"/>
    <n v="0.50376558171745156"/>
    <n v="1.5"/>
  </r>
  <r>
    <d v="2024-08-06T00:00:00"/>
    <x v="4"/>
    <x v="2"/>
    <s v="Display"/>
    <x v="1"/>
    <s v="USA"/>
    <n v="131155"/>
    <n v="4052"/>
    <n v="3.09E-2"/>
    <n v="1.24"/>
    <n v="5024.4799999999996"/>
    <n v="209"/>
    <n v="24.04"/>
    <n v="15982.2"/>
    <n v="10957.720000000001"/>
    <n v="2.1808664777250586"/>
    <n v="3.18"/>
  </r>
  <r>
    <d v="2024-05-27T00:00:00"/>
    <x v="8"/>
    <x v="1"/>
    <s v="Shopping"/>
    <x v="0"/>
    <s v="USA"/>
    <n v="66842"/>
    <n v="2339"/>
    <n v="3.5000000000000003E-2"/>
    <n v="1.4"/>
    <n v="3274.6"/>
    <n v="123"/>
    <n v="26.62"/>
    <n v="14081.65"/>
    <n v="10807.05"/>
    <n v="3.3002656813045865"/>
    <n v="4.3"/>
  </r>
  <r>
    <d v="2024-03-05T00:00:00"/>
    <x v="11"/>
    <x v="0"/>
    <s v="Shopping"/>
    <x v="3"/>
    <s v="UAE"/>
    <n v="7642"/>
    <n v="202"/>
    <n v="2.6499999999999999E-2"/>
    <n v="3.38"/>
    <n v="682.76"/>
    <n v="11"/>
    <n v="62.07"/>
    <n v="1542.21"/>
    <n v="859.45"/>
    <n v="1.2587878610346244"/>
    <n v="2.2599999999999998"/>
  </r>
  <r>
    <d v="2024-06-12T00:00:00"/>
    <x v="1"/>
    <x v="0"/>
    <s v="Shopping"/>
    <x v="4"/>
    <s v="USA"/>
    <n v="70618"/>
    <n v="3601"/>
    <n v="5.0999999999999997E-2"/>
    <n v="2.23"/>
    <n v="8030.23"/>
    <n v="145"/>
    <n v="55.38"/>
    <n v="7976.29"/>
    <n v="-53.9399999999996"/>
    <n v="-6.7171176915231078E-3"/>
    <n v="0.99"/>
  </r>
  <r>
    <d v="2024-09-27T00:00:00"/>
    <x v="7"/>
    <x v="2"/>
    <s v="Video"/>
    <x v="4"/>
    <s v="Germany"/>
    <n v="74212"/>
    <n v="1528"/>
    <n v="2.06E-2"/>
    <n v="1.46"/>
    <n v="2230.88"/>
    <n v="85"/>
    <n v="26.25"/>
    <n v="21331.58"/>
    <n v="19100.7"/>
    <n v="8.5619576131392101"/>
    <n v="9.56"/>
  </r>
  <r>
    <d v="2024-03-09T00:00:00"/>
    <x v="11"/>
    <x v="0"/>
    <s v="Shopping"/>
    <x v="4"/>
    <s v="USA"/>
    <n v="10039"/>
    <n v="501"/>
    <n v="0.05"/>
    <n v="2.29"/>
    <n v="1147.29"/>
    <n v="36"/>
    <n v="31.87"/>
    <n v="4805.5200000000004"/>
    <n v="3658.2300000000005"/>
    <n v="3.1885835316267035"/>
    <n v="4.1900000000000004"/>
  </r>
  <r>
    <d v="2024-12-23T00:00:00"/>
    <x v="9"/>
    <x v="2"/>
    <s v="Video"/>
    <x v="2"/>
    <s v="India"/>
    <n v="102088"/>
    <n v="4481"/>
    <n v="4.3900000000000002E-2"/>
    <n v="0.73"/>
    <n v="3271.13"/>
    <n v="316"/>
    <n v="10.35"/>
    <n v="87569.74"/>
    <n v="84298.61"/>
    <n v="25.770486039992296"/>
    <n v="26.77"/>
  </r>
  <r>
    <d v="2024-09-14T00:00:00"/>
    <x v="7"/>
    <x v="1"/>
    <s v="Display"/>
    <x v="0"/>
    <s v="UAE"/>
    <n v="25025"/>
    <n v="1256"/>
    <n v="5.0200000000000002E-2"/>
    <n v="0.43"/>
    <n v="540.08000000000004"/>
    <n v="38"/>
    <n v="14.21"/>
    <n v="5694.61"/>
    <n v="5154.53"/>
    <n v="9.5440119982224836"/>
    <n v="10.54"/>
  </r>
  <r>
    <d v="2024-11-05T00:00:00"/>
    <x v="6"/>
    <x v="0"/>
    <s v="Shopping"/>
    <x v="2"/>
    <s v="Canada"/>
    <n v="36707"/>
    <n v="943"/>
    <n v="2.5700000000000001E-2"/>
    <n v="1.31"/>
    <n v="1235.33"/>
    <n v="21"/>
    <n v="58.83"/>
    <n v="4396.12"/>
    <n v="3160.79"/>
    <n v="2.5586604389110605"/>
    <n v="3.56"/>
  </r>
  <r>
    <d v="2024-10-17T00:00:00"/>
    <x v="3"/>
    <x v="1"/>
    <s v="Search"/>
    <x v="1"/>
    <s v="Canada"/>
    <n v="17356"/>
    <n v="925"/>
    <n v="5.33E-2"/>
    <n v="0.46"/>
    <n v="425.5"/>
    <n v="62"/>
    <n v="6.86"/>
    <n v="5476.85"/>
    <n v="5051.3500000000004"/>
    <n v="11.871562867215042"/>
    <n v="12.87"/>
  </r>
  <r>
    <d v="2024-06-25T00:00:00"/>
    <x v="1"/>
    <x v="1"/>
    <s v="Search"/>
    <x v="1"/>
    <s v="India"/>
    <n v="86257"/>
    <n v="4597"/>
    <n v="5.33E-2"/>
    <n v="0.83"/>
    <n v="3815.51"/>
    <n v="301"/>
    <n v="12.68"/>
    <n v="80903.28"/>
    <n v="77087.77"/>
    <n v="20.203791891516467"/>
    <n v="21.2"/>
  </r>
  <r>
    <d v="2024-11-08T00:00:00"/>
    <x v="6"/>
    <x v="0"/>
    <s v="Shopping"/>
    <x v="0"/>
    <s v="India"/>
    <n v="32518"/>
    <n v="1258"/>
    <n v="3.8699999999999998E-2"/>
    <n v="2.41"/>
    <n v="3031.78"/>
    <n v="12"/>
    <n v="252.65"/>
    <n v="2688.72"/>
    <n v="-343.0600000000004"/>
    <n v="-0.11315464842435809"/>
    <n v="0.89"/>
  </r>
  <r>
    <d v="2024-07-27T00:00:00"/>
    <x v="10"/>
    <x v="2"/>
    <s v="Display"/>
    <x v="4"/>
    <s v="India"/>
    <n v="75269"/>
    <n v="2604"/>
    <n v="3.4599999999999999E-2"/>
    <n v="0.83"/>
    <n v="2161.3200000000002"/>
    <n v="70"/>
    <n v="30.88"/>
    <n v="3191.14"/>
    <n v="1029.8199999999997"/>
    <n v="0.47647733792312086"/>
    <n v="1.48"/>
  </r>
  <r>
    <d v="2024-05-16T00:00:00"/>
    <x v="8"/>
    <x v="0"/>
    <s v="Video"/>
    <x v="1"/>
    <s v="Canada"/>
    <n v="20534"/>
    <n v="993"/>
    <n v="4.8399999999999999E-2"/>
    <n v="2.87"/>
    <n v="2849.91"/>
    <n v="49"/>
    <n v="58.16"/>
    <n v="1762.93"/>
    <n v="-1086.9799999999998"/>
    <n v="-0.38140853570814509"/>
    <n v="0.62"/>
  </r>
  <r>
    <d v="2024-11-15T00:00:00"/>
    <x v="6"/>
    <x v="1"/>
    <s v="Shopping"/>
    <x v="4"/>
    <s v="UAE"/>
    <n v="98500"/>
    <n v="5614"/>
    <n v="5.7000000000000002E-2"/>
    <n v="0.61"/>
    <n v="3424.54"/>
    <n v="220"/>
    <n v="15.57"/>
    <n v="7676.57"/>
    <n v="4252.03"/>
    <n v="1.2416353729259988"/>
    <n v="2.2400000000000002"/>
  </r>
  <r>
    <d v="2024-07-25T00:00:00"/>
    <x v="10"/>
    <x v="1"/>
    <s v="Search"/>
    <x v="0"/>
    <s v="UAE"/>
    <n v="41468"/>
    <n v="3354"/>
    <n v="8.09E-2"/>
    <n v="1.1100000000000001"/>
    <n v="3722.94"/>
    <n v="81"/>
    <n v="45.96"/>
    <n v="5215.9399999999996"/>
    <n v="1492.9999999999995"/>
    <n v="0.4010271452131916"/>
    <n v="1.4"/>
  </r>
  <r>
    <d v="2024-05-26T00:00:00"/>
    <x v="8"/>
    <x v="0"/>
    <s v="Video"/>
    <x v="2"/>
    <s v="Canada"/>
    <n v="123696"/>
    <n v="6531"/>
    <n v="5.28E-2"/>
    <n v="2.58"/>
    <n v="16849.98"/>
    <n v="466"/>
    <n v="36.159999999999997"/>
    <n v="62974.93"/>
    <n v="46124.95"/>
    <n v="2.737389005802974"/>
    <n v="3.74"/>
  </r>
  <r>
    <d v="2024-11-08T00:00:00"/>
    <x v="6"/>
    <x v="2"/>
    <s v="Shopping"/>
    <x v="1"/>
    <s v="Germany"/>
    <n v="81848"/>
    <n v="1694"/>
    <n v="2.07E-2"/>
    <n v="1.29"/>
    <n v="2185.2600000000002"/>
    <n v="58"/>
    <n v="37.68"/>
    <n v="7573.87"/>
    <n v="5388.61"/>
    <n v="2.4658896424224115"/>
    <n v="3.47"/>
  </r>
  <r>
    <d v="2024-02-29T00:00:00"/>
    <x v="2"/>
    <x v="0"/>
    <s v="Display"/>
    <x v="1"/>
    <s v="Canada"/>
    <n v="92923"/>
    <n v="1932"/>
    <n v="2.0799999999999999E-2"/>
    <n v="3.17"/>
    <n v="6124.44"/>
    <n v="32"/>
    <n v="191.39"/>
    <n v="1855.78"/>
    <n v="-4268.66"/>
    <n v="-0.69698780623208001"/>
    <n v="0.3"/>
  </r>
  <r>
    <d v="2024-11-09T00:00:00"/>
    <x v="6"/>
    <x v="0"/>
    <s v="Shopping"/>
    <x v="4"/>
    <s v="UK"/>
    <n v="170732"/>
    <n v="7700"/>
    <n v="4.5100000000000001E-2"/>
    <n v="0.81"/>
    <n v="6237"/>
    <n v="434"/>
    <n v="14.37"/>
    <n v="53677.08"/>
    <n v="47440.08"/>
    <n v="7.6062337662337667"/>
    <n v="8.61"/>
  </r>
  <r>
    <d v="2024-10-03T00:00:00"/>
    <x v="3"/>
    <x v="0"/>
    <s v="Display"/>
    <x v="4"/>
    <s v="Australia"/>
    <n v="86471"/>
    <n v="4859"/>
    <n v="5.62E-2"/>
    <n v="1.57"/>
    <n v="7628.63"/>
    <n v="248"/>
    <n v="30.76"/>
    <n v="19852.560000000001"/>
    <n v="12223.93"/>
    <n v="1.6023755248321128"/>
    <n v="2.6"/>
  </r>
  <r>
    <d v="2024-10-26T00:00:00"/>
    <x v="3"/>
    <x v="2"/>
    <s v="Display"/>
    <x v="1"/>
    <s v="UK"/>
    <n v="115986"/>
    <n v="1357"/>
    <n v="1.17E-2"/>
    <n v="1.48"/>
    <n v="2008.36"/>
    <n v="79"/>
    <n v="25.42"/>
    <n v="8002.44"/>
    <n v="5994.08"/>
    <n v="2.9845645203051245"/>
    <n v="3.98"/>
  </r>
  <r>
    <d v="2024-06-21T00:00:00"/>
    <x v="1"/>
    <x v="1"/>
    <s v="Display"/>
    <x v="2"/>
    <s v="USA"/>
    <n v="42019"/>
    <n v="2979"/>
    <n v="7.0900000000000005E-2"/>
    <n v="1.51"/>
    <n v="4498.29"/>
    <n v="234"/>
    <n v="19.22"/>
    <n v="56724.23"/>
    <n v="52225.94"/>
    <n v="11.610176311442792"/>
    <n v="12.61"/>
  </r>
  <r>
    <d v="2024-01-28T00:00:00"/>
    <x v="0"/>
    <x v="1"/>
    <s v="Shopping"/>
    <x v="1"/>
    <s v="USA"/>
    <n v="34063"/>
    <n v="1243"/>
    <n v="3.6499999999999998E-2"/>
    <n v="0.38"/>
    <n v="472.34"/>
    <n v="40"/>
    <n v="11.81"/>
    <n v="10897.53"/>
    <n v="10425.19"/>
    <n v="22.07136808231359"/>
    <n v="23.07"/>
  </r>
  <r>
    <d v="2024-04-13T00:00:00"/>
    <x v="5"/>
    <x v="1"/>
    <s v="Shopping"/>
    <x v="2"/>
    <s v="Australia"/>
    <n v="107476"/>
    <n v="4707"/>
    <n v="4.3799999999999999E-2"/>
    <n v="1.7"/>
    <n v="8001.9"/>
    <n v="293"/>
    <n v="27.31"/>
    <n v="72605.27"/>
    <n v="64603.37"/>
    <n v="8.0735037928491984"/>
    <n v="9.07"/>
  </r>
  <r>
    <d v="2024-12-16T00:00:00"/>
    <x v="9"/>
    <x v="1"/>
    <s v="Search"/>
    <x v="0"/>
    <s v="Canada"/>
    <n v="33302"/>
    <n v="3007"/>
    <n v="9.0300000000000005E-2"/>
    <n v="0.28000000000000003"/>
    <n v="841.96"/>
    <n v="95"/>
    <n v="8.86"/>
    <n v="3253.81"/>
    <n v="2411.85"/>
    <n v="2.8645660126371797"/>
    <n v="3.86"/>
  </r>
  <r>
    <d v="2024-12-21T00:00:00"/>
    <x v="9"/>
    <x v="0"/>
    <s v="Shopping"/>
    <x v="3"/>
    <s v="USA"/>
    <n v="70206"/>
    <n v="3945"/>
    <n v="5.62E-2"/>
    <n v="3.6"/>
    <n v="14202"/>
    <n v="248"/>
    <n v="57.27"/>
    <n v="37055.99"/>
    <n v="22853.989999999998"/>
    <n v="1.6092092663005209"/>
    <n v="2.61"/>
  </r>
  <r>
    <d v="2024-02-17T00:00:00"/>
    <x v="2"/>
    <x v="2"/>
    <s v="Video"/>
    <x v="4"/>
    <s v="Germany"/>
    <n v="16094"/>
    <n v="616"/>
    <n v="3.8300000000000001E-2"/>
    <n v="2.29"/>
    <n v="1410.64"/>
    <n v="40"/>
    <n v="35.270000000000003"/>
    <n v="8923.08"/>
    <n v="7512.44"/>
    <n v="5.3255543583054497"/>
    <n v="6.33"/>
  </r>
  <r>
    <d v="2024-06-03T00:00:00"/>
    <x v="1"/>
    <x v="2"/>
    <s v="Video"/>
    <x v="0"/>
    <s v="UAE"/>
    <n v="182718"/>
    <n v="2558"/>
    <n v="1.4E-2"/>
    <n v="1.36"/>
    <n v="3478.88"/>
    <n v="124"/>
    <n v="28.06"/>
    <n v="28756.15"/>
    <n v="25277.27"/>
    <n v="7.2659217909212162"/>
    <n v="8.27"/>
  </r>
  <r>
    <d v="2024-08-01T00:00:00"/>
    <x v="4"/>
    <x v="1"/>
    <s v="Search"/>
    <x v="1"/>
    <s v="India"/>
    <n v="66169"/>
    <n v="2057"/>
    <n v="3.1099999999999999E-2"/>
    <n v="1.49"/>
    <n v="3064.93"/>
    <n v="136"/>
    <n v="22.54"/>
    <n v="39364.99"/>
    <n v="36300.06"/>
    <n v="11.843683216256162"/>
    <n v="12.84"/>
  </r>
  <r>
    <d v="2024-01-13T00:00:00"/>
    <x v="0"/>
    <x v="2"/>
    <s v="Shopping"/>
    <x v="3"/>
    <s v="India"/>
    <n v="24404"/>
    <n v="710"/>
    <n v="2.9100000000000001E-2"/>
    <n v="0.61"/>
    <n v="433.1"/>
    <n v="10"/>
    <n v="43.31"/>
    <n v="923.15"/>
    <n v="490.04999999999995"/>
    <n v="1.1314938813207109"/>
    <n v="2.13"/>
  </r>
  <r>
    <d v="2024-05-23T00:00:00"/>
    <x v="8"/>
    <x v="1"/>
    <s v="Shopping"/>
    <x v="1"/>
    <s v="Australia"/>
    <n v="30517"/>
    <n v="2575"/>
    <n v="8.4400000000000003E-2"/>
    <n v="0.8"/>
    <n v="2060"/>
    <n v="205"/>
    <n v="10.050000000000001"/>
    <n v="7811.94"/>
    <n v="5751.94"/>
    <n v="2.7922038834951453"/>
    <n v="3.79"/>
  </r>
  <r>
    <d v="2024-04-04T00:00:00"/>
    <x v="5"/>
    <x v="1"/>
    <s v="Video"/>
    <x v="4"/>
    <s v="Australia"/>
    <n v="145148"/>
    <n v="5762"/>
    <n v="3.9699999999999999E-2"/>
    <n v="1.49"/>
    <n v="8585.3799999999992"/>
    <n v="213"/>
    <n v="40.31"/>
    <n v="10475.219999999999"/>
    <n v="1889.8400000000001"/>
    <n v="0.22012304638816224"/>
    <n v="1.22"/>
  </r>
  <r>
    <d v="2024-02-19T00:00:00"/>
    <x v="2"/>
    <x v="0"/>
    <s v="Display"/>
    <x v="0"/>
    <s v="Germany"/>
    <n v="37101"/>
    <n v="2166"/>
    <n v="5.8400000000000001E-2"/>
    <n v="2.95"/>
    <n v="6389.7"/>
    <n v="45"/>
    <n v="141.99"/>
    <n v="3868.37"/>
    <n v="-2521.33"/>
    <n v="-0.39459286038468161"/>
    <n v="0.61"/>
  </r>
  <r>
    <d v="2024-02-08T00:00:00"/>
    <x v="2"/>
    <x v="2"/>
    <s v="Search"/>
    <x v="1"/>
    <s v="UK"/>
    <n v="151480"/>
    <n v="2514"/>
    <n v="1.66E-2"/>
    <n v="2.06"/>
    <n v="5178.84"/>
    <n v="72"/>
    <n v="71.930000000000007"/>
    <n v="4076.45"/>
    <n v="-1102.3900000000003"/>
    <n v="-0.21286427076333703"/>
    <n v="0.79"/>
  </r>
  <r>
    <d v="2024-04-05T00:00:00"/>
    <x v="5"/>
    <x v="1"/>
    <s v="Video"/>
    <x v="1"/>
    <s v="India"/>
    <n v="159813"/>
    <n v="7575"/>
    <n v="4.7399999999999998E-2"/>
    <n v="0.9"/>
    <n v="6817.5"/>
    <n v="319"/>
    <n v="21.37"/>
    <n v="35965.699999999997"/>
    <n v="29148.199999999997"/>
    <n v="4.2754968830216349"/>
    <n v="5.28"/>
  </r>
  <r>
    <d v="2024-09-21T00:00:00"/>
    <x v="7"/>
    <x v="1"/>
    <s v="Display"/>
    <x v="2"/>
    <s v="UK"/>
    <n v="135956"/>
    <n v="11529"/>
    <n v="8.48E-2"/>
    <n v="0.5"/>
    <n v="5764.5"/>
    <n v="732"/>
    <n v="7.88"/>
    <n v="207824.45"/>
    <n v="202059.95"/>
    <n v="35.052467690172612"/>
    <n v="36.049999999999997"/>
  </r>
  <r>
    <d v="2024-07-26T00:00:00"/>
    <x v="10"/>
    <x v="0"/>
    <s v="Search"/>
    <x v="3"/>
    <s v="UAE"/>
    <n v="70982"/>
    <n v="2548"/>
    <n v="3.5900000000000001E-2"/>
    <n v="2.88"/>
    <n v="7338.24"/>
    <n v="117"/>
    <n v="62.72"/>
    <n v="32045.18"/>
    <n v="24706.940000000002"/>
    <n v="3.3668754360718651"/>
    <n v="4.37"/>
  </r>
  <r>
    <d v="2024-03-17T00:00:00"/>
    <x v="11"/>
    <x v="1"/>
    <s v="Search"/>
    <x v="2"/>
    <s v="India"/>
    <n v="132992"/>
    <n v="7926"/>
    <n v="5.96E-2"/>
    <n v="0.64"/>
    <n v="5072.6400000000003"/>
    <n v="553"/>
    <n v="9.17"/>
    <n v="41271.279999999999"/>
    <n v="36198.639999999999"/>
    <n v="7.1360553873328278"/>
    <n v="8.14"/>
  </r>
  <r>
    <d v="2024-08-13T00:00:00"/>
    <x v="4"/>
    <x v="1"/>
    <s v="Video"/>
    <x v="2"/>
    <s v="India"/>
    <n v="13597"/>
    <n v="747"/>
    <n v="5.5E-2"/>
    <n v="1.91"/>
    <n v="1426.77"/>
    <n v="25"/>
    <n v="57.07"/>
    <n v="5673.88"/>
    <n v="4247.1100000000006"/>
    <n v="2.9767306573589303"/>
    <n v="3.98"/>
  </r>
  <r>
    <d v="2024-05-06T00:00:00"/>
    <x v="8"/>
    <x v="2"/>
    <s v="Search"/>
    <x v="1"/>
    <s v="USA"/>
    <n v="199472"/>
    <n v="5286"/>
    <n v="2.6499999999999999E-2"/>
    <n v="1.32"/>
    <n v="6977.52"/>
    <n v="192"/>
    <n v="36.340000000000003"/>
    <n v="17789.77"/>
    <n v="10812.25"/>
    <n v="1.5495835196459486"/>
    <n v="2.5499999999999998"/>
  </r>
  <r>
    <d v="2024-02-27T00:00:00"/>
    <x v="2"/>
    <x v="0"/>
    <s v="Search"/>
    <x v="2"/>
    <s v="USA"/>
    <n v="108751"/>
    <n v="5459"/>
    <n v="5.0200000000000002E-2"/>
    <n v="1.43"/>
    <n v="7806.37"/>
    <n v="345"/>
    <n v="22.63"/>
    <n v="24740.95"/>
    <n v="16934.580000000002"/>
    <n v="2.1693283818215128"/>
    <n v="3.17"/>
  </r>
  <r>
    <d v="2024-12-24T00:00:00"/>
    <x v="9"/>
    <x v="2"/>
    <s v="Display"/>
    <x v="4"/>
    <s v="India"/>
    <n v="175591"/>
    <n v="5864"/>
    <n v="3.3399999999999999E-2"/>
    <n v="0.44"/>
    <n v="2580.16"/>
    <n v="333"/>
    <n v="7.75"/>
    <n v="52097.57"/>
    <n v="49517.41"/>
    <n v="19.19160439662657"/>
    <n v="20.190000000000001"/>
  </r>
  <r>
    <d v="2024-11-08T00:00:00"/>
    <x v="6"/>
    <x v="1"/>
    <s v="Search"/>
    <x v="1"/>
    <s v="India"/>
    <n v="36027"/>
    <n v="2770"/>
    <n v="7.6899999999999996E-2"/>
    <n v="1.08"/>
    <n v="2991.6"/>
    <n v="205"/>
    <n v="14.59"/>
    <n v="16618.849999999999"/>
    <n v="13627.249999999998"/>
    <n v="4.555171145875117"/>
    <n v="5.56"/>
  </r>
  <r>
    <d v="2024-08-19T00:00:00"/>
    <x v="4"/>
    <x v="1"/>
    <s v="Shopping"/>
    <x v="4"/>
    <s v="Canada"/>
    <n v="57265"/>
    <n v="2302"/>
    <n v="4.02E-2"/>
    <n v="1.3"/>
    <n v="2992.6"/>
    <n v="85"/>
    <n v="35.21"/>
    <n v="4068.49"/>
    <n v="1075.8899999999999"/>
    <n v="0.35951680812671255"/>
    <n v="1.36"/>
  </r>
  <r>
    <d v="2024-07-18T00:00:00"/>
    <x v="10"/>
    <x v="0"/>
    <s v="Shopping"/>
    <x v="0"/>
    <s v="India"/>
    <n v="161904"/>
    <n v="4727"/>
    <n v="2.92E-2"/>
    <n v="1.64"/>
    <n v="7752.28"/>
    <n v="263"/>
    <n v="29.48"/>
    <n v="21545.93"/>
    <n v="13793.650000000001"/>
    <n v="1.7793023471804426"/>
    <n v="2.78"/>
  </r>
  <r>
    <d v="2024-08-31T00:00:00"/>
    <x v="4"/>
    <x v="0"/>
    <s v="Display"/>
    <x v="2"/>
    <s v="Canada"/>
    <n v="49757"/>
    <n v="1243"/>
    <n v="2.5000000000000001E-2"/>
    <n v="3.14"/>
    <n v="3903.02"/>
    <n v="39"/>
    <n v="100.08"/>
    <n v="4749.8999999999996"/>
    <n v="846.87999999999965"/>
    <n v="0.21698069699873423"/>
    <n v="1.22"/>
  </r>
  <r>
    <d v="2024-07-28T00:00:00"/>
    <x v="10"/>
    <x v="0"/>
    <s v="Video"/>
    <x v="1"/>
    <s v="USA"/>
    <n v="168623"/>
    <n v="6896"/>
    <n v="4.0899999999999999E-2"/>
    <n v="1.42"/>
    <n v="9792.32"/>
    <n v="200"/>
    <n v="48.96"/>
    <n v="24436.959999999999"/>
    <n v="14644.64"/>
    <n v="1.4955230221234601"/>
    <n v="2.5"/>
  </r>
  <r>
    <d v="2024-09-06T00:00:00"/>
    <x v="7"/>
    <x v="2"/>
    <s v="Video"/>
    <x v="3"/>
    <s v="Canada"/>
    <n v="98079"/>
    <n v="3226"/>
    <n v="3.2899999999999999E-2"/>
    <n v="2.1800000000000002"/>
    <n v="7032.68"/>
    <n v="44"/>
    <n v="159.83000000000001"/>
    <n v="1401.71"/>
    <n v="-5630.97"/>
    <n v="-0.80068622488155294"/>
    <n v="0.2"/>
  </r>
  <r>
    <d v="2024-06-23T00:00:00"/>
    <x v="1"/>
    <x v="0"/>
    <s v="Search"/>
    <x v="1"/>
    <s v="UK"/>
    <n v="11305"/>
    <n v="562"/>
    <n v="4.9799999999999997E-2"/>
    <n v="1.72"/>
    <n v="966.64"/>
    <n v="42"/>
    <n v="23.02"/>
    <n v="8107.06"/>
    <n v="7140.42"/>
    <n v="7.3868451543490856"/>
    <n v="8.39"/>
  </r>
  <r>
    <d v="2024-10-20T00:00:00"/>
    <x v="3"/>
    <x v="1"/>
    <s v="Shopping"/>
    <x v="2"/>
    <s v="India"/>
    <n v="109188"/>
    <n v="6354"/>
    <n v="5.8200000000000002E-2"/>
    <n v="1.26"/>
    <n v="8006.04"/>
    <n v="216"/>
    <n v="37.06"/>
    <n v="49228.57"/>
    <n v="41222.53"/>
    <n v="5.1489288087493943"/>
    <n v="6.15"/>
  </r>
  <r>
    <d v="2024-08-14T00:00:00"/>
    <x v="4"/>
    <x v="2"/>
    <s v="Display"/>
    <x v="2"/>
    <s v="Germany"/>
    <n v="73309"/>
    <n v="2323"/>
    <n v="3.1699999999999999E-2"/>
    <n v="0.6"/>
    <n v="1393.8"/>
    <n v="39"/>
    <n v="35.74"/>
    <n v="1966.71"/>
    <n v="572.91000000000008"/>
    <n v="0.41104175634954809"/>
    <n v="1.41"/>
  </r>
  <r>
    <d v="2024-12-14T00:00:00"/>
    <x v="9"/>
    <x v="0"/>
    <s v="Video"/>
    <x v="2"/>
    <s v="India"/>
    <n v="81996"/>
    <n v="1508"/>
    <n v="1.84E-2"/>
    <n v="2.33"/>
    <n v="3513.64"/>
    <n v="75"/>
    <n v="46.85"/>
    <n v="8251.24"/>
    <n v="4737.6000000000004"/>
    <n v="1.3483453057228403"/>
    <n v="2.35"/>
  </r>
  <r>
    <d v="2024-04-03T00:00:00"/>
    <x v="5"/>
    <x v="1"/>
    <s v="Display"/>
    <x v="1"/>
    <s v="UK"/>
    <n v="122192"/>
    <n v="4398"/>
    <n v="3.5999999999999997E-2"/>
    <n v="0.99"/>
    <n v="4354.0200000000004"/>
    <n v="348"/>
    <n v="12.51"/>
    <n v="64414.080000000002"/>
    <n v="60060.06"/>
    <n v="13.794162635908883"/>
    <n v="14.79"/>
  </r>
  <r>
    <d v="2024-11-30T00:00:00"/>
    <x v="6"/>
    <x v="0"/>
    <s v="Display"/>
    <x v="3"/>
    <s v="UAE"/>
    <n v="79960"/>
    <n v="1591"/>
    <n v="1.9900000000000001E-2"/>
    <n v="1.03"/>
    <n v="1638.73"/>
    <n v="55"/>
    <n v="29.8"/>
    <n v="15206.45"/>
    <n v="13567.720000000001"/>
    <n v="8.2794114954873592"/>
    <n v="9.2799999999999994"/>
  </r>
  <r>
    <d v="2024-11-05T00:00:00"/>
    <x v="6"/>
    <x v="2"/>
    <s v="Display"/>
    <x v="2"/>
    <s v="Australia"/>
    <n v="188804"/>
    <n v="5267"/>
    <n v="2.7900000000000001E-2"/>
    <n v="2.1"/>
    <n v="11060.7"/>
    <n v="64"/>
    <n v="172.82"/>
    <n v="10138.299999999999"/>
    <n v="-922.40000000000146"/>
    <n v="-8.3394360212283261E-2"/>
    <n v="0.92"/>
  </r>
  <r>
    <d v="2024-05-25T00:00:00"/>
    <x v="8"/>
    <x v="2"/>
    <s v="Display"/>
    <x v="0"/>
    <s v="UK"/>
    <n v="80139"/>
    <n v="2436"/>
    <n v="3.04E-2"/>
    <n v="1.58"/>
    <n v="3848.88"/>
    <n v="37"/>
    <n v="104.02"/>
    <n v="4653.12"/>
    <n v="804.23999999999978"/>
    <n v="0.20895429319698192"/>
    <n v="1.21"/>
  </r>
  <r>
    <d v="2024-12-25T00:00:00"/>
    <x v="9"/>
    <x v="2"/>
    <s v="Shopping"/>
    <x v="3"/>
    <s v="Germany"/>
    <n v="51999"/>
    <n v="930"/>
    <n v="1.7899999999999999E-2"/>
    <n v="1.2"/>
    <n v="1116"/>
    <n v="13"/>
    <n v="85.85"/>
    <n v="1777.36"/>
    <n v="661.3599999999999"/>
    <n v="0.59261648745519702"/>
    <n v="1.59"/>
  </r>
  <r>
    <d v="2024-12-11T00:00:00"/>
    <x v="9"/>
    <x v="0"/>
    <s v="Video"/>
    <x v="1"/>
    <s v="India"/>
    <n v="119527"/>
    <n v="6597"/>
    <n v="5.5199999999999999E-2"/>
    <n v="3.1"/>
    <n v="20450.7"/>
    <n v="497"/>
    <n v="41.15"/>
    <n v="137884.47"/>
    <n v="117433.77"/>
    <n v="5.7422860831169595"/>
    <n v="6.74"/>
  </r>
  <r>
    <d v="2024-08-17T00:00:00"/>
    <x v="4"/>
    <x v="2"/>
    <s v="Search"/>
    <x v="0"/>
    <s v="India"/>
    <n v="194073"/>
    <n v="6346"/>
    <n v="3.27E-2"/>
    <n v="1.8"/>
    <n v="11422.8"/>
    <n v="168"/>
    <n v="67.989999999999995"/>
    <n v="9921.3799999999992"/>
    <n v="-1501.42"/>
    <n v="-0.13144062751689606"/>
    <n v="0.87"/>
  </r>
  <r>
    <d v="2024-09-27T00:00:00"/>
    <x v="7"/>
    <x v="1"/>
    <s v="Display"/>
    <x v="3"/>
    <s v="UK"/>
    <n v="55599"/>
    <n v="3697"/>
    <n v="6.6500000000000004E-2"/>
    <n v="1.64"/>
    <n v="6063.08"/>
    <n v="217"/>
    <n v="27.94"/>
    <n v="25513.42"/>
    <n v="19450.339999999997"/>
    <n v="3.2079965957895982"/>
    <n v="4.21"/>
  </r>
  <r>
    <d v="2024-10-17T00:00:00"/>
    <x v="3"/>
    <x v="0"/>
    <s v="Video"/>
    <x v="2"/>
    <s v="India"/>
    <n v="176541"/>
    <n v="4378"/>
    <n v="2.4799999999999999E-2"/>
    <n v="2.87"/>
    <n v="12564.86"/>
    <n v="175"/>
    <n v="71.8"/>
    <n v="19637.27"/>
    <n v="7072.41"/>
    <n v="0.5628721688900632"/>
    <n v="1.56"/>
  </r>
  <r>
    <d v="2024-06-23T00:00:00"/>
    <x v="1"/>
    <x v="0"/>
    <s v="Display"/>
    <x v="0"/>
    <s v="UAE"/>
    <n v="118710"/>
    <n v="4036"/>
    <n v="3.4000000000000002E-2"/>
    <n v="2.48"/>
    <n v="10009.280000000001"/>
    <n v="235"/>
    <n v="42.59"/>
    <n v="28657.57"/>
    <n v="18648.29"/>
    <n v="1.8631000431599476"/>
    <n v="2.86"/>
  </r>
  <r>
    <d v="2024-02-17T00:00:00"/>
    <x v="2"/>
    <x v="1"/>
    <s v="Search"/>
    <x v="0"/>
    <s v="Germany"/>
    <n v="113297"/>
    <n v="9675"/>
    <n v="8.5400000000000004E-2"/>
    <n v="1.81"/>
    <n v="17511.75"/>
    <n v="380"/>
    <n v="46.08"/>
    <n v="16593.87"/>
    <n v="-917.88000000000102"/>
    <n v="-5.2415092723457166E-2"/>
    <n v="0.95"/>
  </r>
  <r>
    <d v="2024-07-05T00:00:00"/>
    <x v="10"/>
    <x v="0"/>
    <s v="Search"/>
    <x v="0"/>
    <s v="UK"/>
    <n v="6881"/>
    <n v="357"/>
    <n v="5.1999999999999998E-2"/>
    <n v="2.29"/>
    <n v="817.53"/>
    <n v="5"/>
    <n v="163.51"/>
    <n v="872.75"/>
    <n v="55.220000000000027"/>
    <n v="6.7544921898890595E-2"/>
    <n v="1.07"/>
  </r>
  <r>
    <d v="2024-05-20T00:00:00"/>
    <x v="8"/>
    <x v="2"/>
    <s v="Shopping"/>
    <x v="1"/>
    <s v="Germany"/>
    <n v="121477"/>
    <n v="1834"/>
    <n v="1.5100000000000001E-2"/>
    <n v="0.49"/>
    <n v="898.66"/>
    <n v="98"/>
    <n v="9.17"/>
    <n v="10542.66"/>
    <n v="9644"/>
    <n v="10.731533616718226"/>
    <n v="11.73"/>
  </r>
  <r>
    <d v="2024-06-28T00:00:00"/>
    <x v="1"/>
    <x v="0"/>
    <s v="Display"/>
    <x v="3"/>
    <s v="Australia"/>
    <n v="188419"/>
    <n v="10231"/>
    <n v="5.4300000000000001E-2"/>
    <n v="2.15"/>
    <n v="21996.65"/>
    <n v="754"/>
    <n v="29.17"/>
    <n v="134062.71"/>
    <n v="112066.06"/>
    <n v="5.0946876001572958"/>
    <n v="6.09"/>
  </r>
  <r>
    <d v="2024-08-11T00:00:00"/>
    <x v="4"/>
    <x v="2"/>
    <s v="Video"/>
    <x v="1"/>
    <s v="UK"/>
    <n v="46743"/>
    <n v="1523"/>
    <n v="3.2599999999999997E-2"/>
    <n v="0.8"/>
    <n v="1218.4000000000001"/>
    <n v="51"/>
    <n v="23.89"/>
    <n v="5825.03"/>
    <n v="4606.6299999999992"/>
    <n v="3.7808847669074188"/>
    <n v="4.78"/>
  </r>
  <r>
    <d v="2024-03-10T00:00:00"/>
    <x v="11"/>
    <x v="0"/>
    <s v="Video"/>
    <x v="0"/>
    <s v="India"/>
    <n v="93302"/>
    <n v="4058"/>
    <n v="4.3499999999999997E-2"/>
    <n v="0.81"/>
    <n v="3286.98"/>
    <n v="50"/>
    <n v="65.739999999999995"/>
    <n v="14861.71"/>
    <n v="11574.73"/>
    <n v="3.5213874133703276"/>
    <n v="4.5199999999999996"/>
  </r>
  <r>
    <d v="2024-05-14T00:00:00"/>
    <x v="8"/>
    <x v="0"/>
    <s v="Search"/>
    <x v="3"/>
    <s v="Australia"/>
    <n v="140747"/>
    <n v="8571"/>
    <n v="6.0900000000000003E-2"/>
    <n v="3.25"/>
    <n v="27855.75"/>
    <n v="332"/>
    <n v="83.9"/>
    <n v="48279.89"/>
    <n v="20424.14"/>
    <n v="0.73321091695610419"/>
    <n v="1.73"/>
  </r>
  <r>
    <d v="2024-04-16T00:00:00"/>
    <x v="5"/>
    <x v="0"/>
    <s v="Search"/>
    <x v="2"/>
    <s v="Australia"/>
    <n v="36831"/>
    <n v="1572"/>
    <n v="4.2700000000000002E-2"/>
    <n v="3.45"/>
    <n v="5423.4"/>
    <n v="48"/>
    <n v="112.99"/>
    <n v="4165.7299999999996"/>
    <n v="-1257.67"/>
    <n v="-0.23189696500350337"/>
    <n v="0.77"/>
  </r>
  <r>
    <d v="2024-04-17T00:00:00"/>
    <x v="5"/>
    <x v="1"/>
    <s v="Display"/>
    <x v="3"/>
    <s v="Germany"/>
    <n v="146842"/>
    <n v="10646"/>
    <n v="7.2499999999999995E-2"/>
    <n v="1.23"/>
    <n v="13094.58"/>
    <n v="615"/>
    <n v="21.29"/>
    <n v="113988.39"/>
    <n v="100893.81"/>
    <n v="7.7050054297274135"/>
    <n v="8.7100000000000009"/>
  </r>
  <r>
    <d v="2024-04-05T00:00:00"/>
    <x v="5"/>
    <x v="2"/>
    <s v="Display"/>
    <x v="1"/>
    <s v="USA"/>
    <n v="69892"/>
    <n v="2851"/>
    <n v="4.0800000000000003E-2"/>
    <n v="0.78"/>
    <n v="2223.7800000000002"/>
    <n v="52"/>
    <n v="42.77"/>
    <n v="11407.42"/>
    <n v="9183.64"/>
    <n v="4.1297430501218644"/>
    <n v="5.13"/>
  </r>
  <r>
    <d v="2024-03-29T00:00:00"/>
    <x v="11"/>
    <x v="0"/>
    <s v="Shopping"/>
    <x v="3"/>
    <s v="UK"/>
    <n v="118985"/>
    <n v="4545"/>
    <n v="3.8199999999999998E-2"/>
    <n v="3.23"/>
    <n v="14680.35"/>
    <n v="259"/>
    <n v="56.68"/>
    <n v="58417.120000000003"/>
    <n v="43736.770000000004"/>
    <n v="2.9792729737370025"/>
    <n v="3.98"/>
  </r>
  <r>
    <d v="2024-07-12T00:00:00"/>
    <x v="10"/>
    <x v="2"/>
    <s v="Display"/>
    <x v="4"/>
    <s v="India"/>
    <n v="12452"/>
    <n v="280"/>
    <n v="2.2499999999999999E-2"/>
    <n v="1.23"/>
    <n v="344.4"/>
    <n v="18"/>
    <n v="19.13"/>
    <n v="4734.22"/>
    <n v="4389.8200000000006"/>
    <n v="12.746283391405345"/>
    <n v="13.75"/>
  </r>
  <r>
    <d v="2024-01-22T00:00:00"/>
    <x v="0"/>
    <x v="0"/>
    <s v="Display"/>
    <x v="1"/>
    <s v="UAE"/>
    <n v="85077"/>
    <n v="4032"/>
    <n v="4.7399999999999998E-2"/>
    <n v="2.84"/>
    <n v="11450.88"/>
    <n v="253"/>
    <n v="45.26"/>
    <n v="13168.69"/>
    <n v="1717.8100000000013"/>
    <n v="0.15001554465682998"/>
    <n v="1.1499999999999999"/>
  </r>
  <r>
    <d v="2024-08-18T00:00:00"/>
    <x v="4"/>
    <x v="1"/>
    <s v="Search"/>
    <x v="0"/>
    <s v="India"/>
    <n v="39782"/>
    <n v="3393"/>
    <n v="8.5300000000000001E-2"/>
    <n v="1.71"/>
    <n v="5802.03"/>
    <n v="143"/>
    <n v="40.57"/>
    <n v="23555.27"/>
    <n v="17753.240000000002"/>
    <n v="3.0598325068984482"/>
    <n v="4.0599999999999996"/>
  </r>
  <r>
    <d v="2024-04-13T00:00:00"/>
    <x v="5"/>
    <x v="0"/>
    <s v="Video"/>
    <x v="1"/>
    <s v="Australia"/>
    <n v="192135"/>
    <n v="10663"/>
    <n v="5.5500000000000001E-2"/>
    <n v="1.78"/>
    <n v="18980.14"/>
    <n v="741"/>
    <n v="25.61"/>
    <n v="213823.35999999999"/>
    <n v="194843.21999999997"/>
    <n v="10.265636607527657"/>
    <n v="11.27"/>
  </r>
  <r>
    <d v="2024-04-04T00:00:00"/>
    <x v="5"/>
    <x v="2"/>
    <s v="Search"/>
    <x v="2"/>
    <s v="India"/>
    <n v="156317"/>
    <n v="5924"/>
    <n v="3.7900000000000003E-2"/>
    <n v="0.71"/>
    <n v="4206.04"/>
    <n v="464"/>
    <n v="9.06"/>
    <n v="64623.96"/>
    <n v="60417.919999999998"/>
    <n v="14.364561440214548"/>
    <n v="15.36"/>
  </r>
  <r>
    <d v="2024-02-15T00:00:00"/>
    <x v="2"/>
    <x v="0"/>
    <s v="Shopping"/>
    <x v="0"/>
    <s v="Germany"/>
    <n v="39754"/>
    <n v="2007"/>
    <n v="5.0500000000000003E-2"/>
    <n v="2.33"/>
    <n v="4676.3100000000004"/>
    <n v="108"/>
    <n v="43.3"/>
    <n v="6981.98"/>
    <n v="2305.6699999999992"/>
    <n v="0.49305328346495397"/>
    <n v="1.49"/>
  </r>
  <r>
    <d v="2024-10-02T00:00:00"/>
    <x v="3"/>
    <x v="2"/>
    <s v="Shopping"/>
    <x v="1"/>
    <s v="UAE"/>
    <n v="84526"/>
    <n v="2214"/>
    <n v="2.6200000000000001E-2"/>
    <n v="0.44"/>
    <n v="974.16"/>
    <n v="117"/>
    <n v="8.33"/>
    <n v="30360.22"/>
    <n v="29386.06"/>
    <n v="30.165537488708221"/>
    <n v="31.17"/>
  </r>
  <r>
    <d v="2024-08-27T00:00:00"/>
    <x v="4"/>
    <x v="0"/>
    <s v="Shopping"/>
    <x v="3"/>
    <s v="UK"/>
    <n v="159226"/>
    <n v="5206"/>
    <n v="3.27E-2"/>
    <n v="0.97"/>
    <n v="5049.82"/>
    <n v="137"/>
    <n v="36.86"/>
    <n v="27701.27"/>
    <n v="22651.45"/>
    <n v="4.4855955261771712"/>
    <n v="5.49"/>
  </r>
  <r>
    <d v="2024-10-01T00:00:00"/>
    <x v="3"/>
    <x v="1"/>
    <s v="Display"/>
    <x v="3"/>
    <s v="Canada"/>
    <n v="178503"/>
    <n v="9639"/>
    <n v="5.3999999999999999E-2"/>
    <n v="0.56000000000000005"/>
    <n v="5397.84"/>
    <n v="146"/>
    <n v="36.97"/>
    <n v="40162.93"/>
    <n v="34765.089999999997"/>
    <n v="6.4405558519704167"/>
    <n v="7.44"/>
  </r>
  <r>
    <d v="2024-05-19T00:00:00"/>
    <x v="8"/>
    <x v="1"/>
    <s v="Shopping"/>
    <x v="3"/>
    <s v="India"/>
    <n v="176946"/>
    <n v="13784"/>
    <n v="7.7899999999999997E-2"/>
    <n v="0.86"/>
    <n v="11854.24"/>
    <n v="743"/>
    <n v="15.95"/>
    <n v="208986.19"/>
    <n v="197131.95"/>
    <n v="16.629657405282838"/>
    <n v="17.63"/>
  </r>
  <r>
    <d v="2024-08-02T00:00:00"/>
    <x v="4"/>
    <x v="2"/>
    <s v="Display"/>
    <x v="0"/>
    <s v="Germany"/>
    <n v="163124"/>
    <n v="4273"/>
    <n v="2.6200000000000001E-2"/>
    <n v="0.91"/>
    <n v="3888.43"/>
    <n v="239"/>
    <n v="16.27"/>
    <n v="71554.77"/>
    <n v="67666.340000000011"/>
    <n v="17.401969432393027"/>
    <n v="18.399999999999999"/>
  </r>
  <r>
    <d v="2024-06-21T00:00:00"/>
    <x v="1"/>
    <x v="2"/>
    <s v="Display"/>
    <x v="1"/>
    <s v="UAE"/>
    <n v="150486"/>
    <n v="6230"/>
    <n v="4.1399999999999999E-2"/>
    <n v="1.21"/>
    <n v="7538.3"/>
    <n v="243"/>
    <n v="31.02"/>
    <n v="55217.61"/>
    <n v="47679.31"/>
    <n v="6.3249419630420647"/>
    <n v="7.32"/>
  </r>
  <r>
    <d v="2024-05-17T00:00:00"/>
    <x v="8"/>
    <x v="0"/>
    <s v="Search"/>
    <x v="4"/>
    <s v="UK"/>
    <n v="88384"/>
    <n v="3641"/>
    <n v="4.1200000000000001E-2"/>
    <n v="1.22"/>
    <n v="4442.0200000000004"/>
    <n v="89"/>
    <n v="49.91"/>
    <n v="4077.32"/>
    <n v="-364.70000000000027"/>
    <n v="-8.2102286797448062E-2"/>
    <n v="0.92"/>
  </r>
  <r>
    <d v="2024-07-07T00:00:00"/>
    <x v="10"/>
    <x v="2"/>
    <s v="Display"/>
    <x v="3"/>
    <s v="USA"/>
    <n v="74922"/>
    <n v="1333"/>
    <n v="1.78E-2"/>
    <n v="1.32"/>
    <n v="1759.56"/>
    <n v="95"/>
    <n v="18.52"/>
    <n v="17171.740000000002"/>
    <n v="15412.180000000002"/>
    <n v="8.7591102321034811"/>
    <n v="9.76"/>
  </r>
  <r>
    <d v="2024-01-17T00:00:00"/>
    <x v="0"/>
    <x v="1"/>
    <s v="Video"/>
    <x v="1"/>
    <s v="UAE"/>
    <n v="188846"/>
    <n v="12671"/>
    <n v="6.7100000000000007E-2"/>
    <n v="1.37"/>
    <n v="17359.27"/>
    <n v="821"/>
    <n v="21.14"/>
    <n v="86047.94"/>
    <n v="68688.67"/>
    <n v="3.9568870119538433"/>
    <n v="4.96"/>
  </r>
  <r>
    <d v="2024-03-27T00:00:00"/>
    <x v="11"/>
    <x v="1"/>
    <s v="Search"/>
    <x v="3"/>
    <s v="UK"/>
    <n v="10209"/>
    <n v="314"/>
    <n v="3.0800000000000001E-2"/>
    <n v="1.79"/>
    <n v="562.05999999999995"/>
    <n v="13"/>
    <n v="43.24"/>
    <n v="3231.96"/>
    <n v="2669.9"/>
    <n v="4.7502046044906248"/>
    <n v="5.75"/>
  </r>
  <r>
    <d v="2024-11-27T00:00:00"/>
    <x v="6"/>
    <x v="1"/>
    <s v="Video"/>
    <x v="4"/>
    <s v="India"/>
    <n v="31140"/>
    <n v="1712"/>
    <n v="5.5E-2"/>
    <n v="1.34"/>
    <n v="2294.08"/>
    <n v="63"/>
    <n v="36.409999999999997"/>
    <n v="5569.82"/>
    <n v="3275.74"/>
    <n v="1.4279100990375226"/>
    <n v="2.4300000000000002"/>
  </r>
  <r>
    <d v="2024-03-08T00:00:00"/>
    <x v="11"/>
    <x v="2"/>
    <s v="Video"/>
    <x v="3"/>
    <s v="Canada"/>
    <n v="46850"/>
    <n v="983"/>
    <n v="2.1000000000000001E-2"/>
    <n v="1.58"/>
    <n v="1553.14"/>
    <n v="38"/>
    <n v="40.869999999999997"/>
    <n v="10968.52"/>
    <n v="9415.380000000001"/>
    <n v="6.0621579509896089"/>
    <n v="7.06"/>
  </r>
  <r>
    <d v="2024-04-28T00:00:00"/>
    <x v="5"/>
    <x v="2"/>
    <s v="Shopping"/>
    <x v="1"/>
    <s v="Canada"/>
    <n v="17720"/>
    <n v="287"/>
    <n v="1.6199999999999999E-2"/>
    <n v="1.41"/>
    <n v="404.67"/>
    <n v="4"/>
    <n v="101.17"/>
    <n v="597.17999999999995"/>
    <n v="192.50999999999993"/>
    <n v="0.47572095781748075"/>
    <n v="1.48"/>
  </r>
  <r>
    <d v="2024-01-29T00:00:00"/>
    <x v="0"/>
    <x v="0"/>
    <s v="Video"/>
    <x v="3"/>
    <s v="Germany"/>
    <n v="16781"/>
    <n v="684"/>
    <n v="4.0800000000000003E-2"/>
    <n v="1.3"/>
    <n v="889.2"/>
    <n v="8"/>
    <n v="111.15"/>
    <n v="1435.11"/>
    <n v="545.90999999999985"/>
    <n v="0.61393387314439929"/>
    <n v="1.61"/>
  </r>
  <r>
    <d v="2024-11-29T00:00:00"/>
    <x v="6"/>
    <x v="2"/>
    <s v="Video"/>
    <x v="4"/>
    <s v="Germany"/>
    <n v="61652"/>
    <n v="2614"/>
    <n v="4.24E-2"/>
    <n v="1.28"/>
    <n v="3345.92"/>
    <n v="133"/>
    <n v="25.16"/>
    <n v="20303.14"/>
    <n v="16957.22"/>
    <n v="5.0680291220351954"/>
    <n v="6.07"/>
  </r>
  <r>
    <d v="2024-07-06T00:00:00"/>
    <x v="10"/>
    <x v="2"/>
    <s v="Display"/>
    <x v="1"/>
    <s v="USA"/>
    <n v="194933"/>
    <n v="4054"/>
    <n v="2.0799999999999999E-2"/>
    <n v="2.0299999999999998"/>
    <n v="8229.6200000000008"/>
    <n v="197"/>
    <n v="41.77"/>
    <n v="9992.76"/>
    <n v="1763.1399999999994"/>
    <n v="0.21424318498302464"/>
    <n v="1.21"/>
  </r>
  <r>
    <d v="2024-02-25T00:00:00"/>
    <x v="2"/>
    <x v="0"/>
    <s v="Search"/>
    <x v="1"/>
    <s v="Canada"/>
    <n v="100386"/>
    <n v="5250"/>
    <n v="5.2299999999999999E-2"/>
    <n v="0.98"/>
    <n v="5145"/>
    <n v="254"/>
    <n v="20.260000000000002"/>
    <n v="73673.45"/>
    <n v="68528.45"/>
    <n v="13.319426627793975"/>
    <n v="14.32"/>
  </r>
  <r>
    <d v="2024-01-25T00:00:00"/>
    <x v="0"/>
    <x v="0"/>
    <s v="Search"/>
    <x v="2"/>
    <s v="UAE"/>
    <n v="50203"/>
    <n v="1390"/>
    <n v="2.7699999999999999E-2"/>
    <n v="1.95"/>
    <n v="2710.5"/>
    <n v="47"/>
    <n v="57.67"/>
    <n v="11338.98"/>
    <n v="8628.48"/>
    <n v="3.1833536247924736"/>
    <n v="4.18"/>
  </r>
  <r>
    <d v="2024-01-14T00:00:00"/>
    <x v="0"/>
    <x v="1"/>
    <s v="Search"/>
    <x v="3"/>
    <s v="India"/>
    <n v="85428"/>
    <n v="5134"/>
    <n v="6.0100000000000001E-2"/>
    <n v="0.86"/>
    <n v="4415.24"/>
    <n v="202"/>
    <n v="21.86"/>
    <n v="37603.74"/>
    <n v="33188.5"/>
    <n v="7.5168054284704802"/>
    <n v="8.52"/>
  </r>
  <r>
    <d v="2024-05-05T00:00:00"/>
    <x v="8"/>
    <x v="1"/>
    <s v="Video"/>
    <x v="1"/>
    <s v="UAE"/>
    <n v="192428"/>
    <n v="9967"/>
    <n v="5.1799999999999999E-2"/>
    <n v="1.6"/>
    <n v="15947.2"/>
    <n v="570"/>
    <n v="27.98"/>
    <n v="78044.55"/>
    <n v="62097.350000000006"/>
    <n v="3.8939343583826629"/>
    <n v="4.8899999999999997"/>
  </r>
  <r>
    <d v="2024-08-19T00:00:00"/>
    <x v="4"/>
    <x v="0"/>
    <s v="Shopping"/>
    <x v="2"/>
    <s v="UK"/>
    <n v="33756"/>
    <n v="2150"/>
    <n v="6.3700000000000007E-2"/>
    <n v="2.17"/>
    <n v="4665.5"/>
    <n v="108"/>
    <n v="43.2"/>
    <n v="7948.11"/>
    <n v="3282.6099999999997"/>
    <n v="0.70359232665309179"/>
    <n v="1.7"/>
  </r>
  <r>
    <d v="2024-03-28T00:00:00"/>
    <x v="11"/>
    <x v="2"/>
    <s v="Video"/>
    <x v="0"/>
    <s v="UAE"/>
    <n v="103162"/>
    <n v="1485"/>
    <n v="1.44E-2"/>
    <n v="0.97"/>
    <n v="1440.45"/>
    <n v="35"/>
    <n v="41.16"/>
    <n v="5899.5"/>
    <n v="4459.05"/>
    <n v="3.0955951265229618"/>
    <n v="4.0999999999999996"/>
  </r>
  <r>
    <d v="2024-09-02T00:00:00"/>
    <x v="7"/>
    <x v="0"/>
    <s v="Search"/>
    <x v="1"/>
    <s v="UAE"/>
    <n v="142844"/>
    <n v="2971"/>
    <n v="2.0799999999999999E-2"/>
    <n v="1.69"/>
    <n v="5020.99"/>
    <n v="95"/>
    <n v="52.85"/>
    <n v="5534.94"/>
    <n v="513.94999999999982"/>
    <n v="0.10236029149629851"/>
    <n v="1.1000000000000001"/>
  </r>
  <r>
    <d v="2024-05-31T00:00:00"/>
    <x v="8"/>
    <x v="0"/>
    <s v="Search"/>
    <x v="0"/>
    <s v="USA"/>
    <n v="50201"/>
    <n v="2198"/>
    <n v="4.3799999999999999E-2"/>
    <n v="2.25"/>
    <n v="4945.5"/>
    <n v="112"/>
    <n v="44.16"/>
    <n v="12918.19"/>
    <n v="7972.6900000000005"/>
    <n v="1.61210999898898"/>
    <n v="2.61"/>
  </r>
  <r>
    <d v="2024-01-16T00:00:00"/>
    <x v="0"/>
    <x v="2"/>
    <s v="Video"/>
    <x v="0"/>
    <s v="USA"/>
    <n v="143421"/>
    <n v="3542"/>
    <n v="2.47E-2"/>
    <n v="0.86"/>
    <n v="3046.12"/>
    <n v="181"/>
    <n v="16.829999999999998"/>
    <n v="26273.040000000001"/>
    <n v="23226.920000000002"/>
    <n v="7.6250837130513585"/>
    <n v="8.6300000000000008"/>
  </r>
  <r>
    <d v="2024-10-13T00:00:00"/>
    <x v="3"/>
    <x v="2"/>
    <s v="Shopping"/>
    <x v="0"/>
    <s v="Australia"/>
    <n v="71537"/>
    <n v="1809"/>
    <n v="2.53E-2"/>
    <n v="1.65"/>
    <n v="2984.85"/>
    <n v="57"/>
    <n v="52.37"/>
    <n v="6227.5"/>
    <n v="3242.65"/>
    <n v="1.0863694993048227"/>
    <n v="2.09"/>
  </r>
  <r>
    <d v="2024-11-03T00:00:00"/>
    <x v="6"/>
    <x v="0"/>
    <s v="Video"/>
    <x v="0"/>
    <s v="USA"/>
    <n v="198604"/>
    <n v="8162"/>
    <n v="4.1099999999999998E-2"/>
    <n v="3.1"/>
    <n v="25302.2"/>
    <n v="584"/>
    <n v="43.33"/>
    <n v="25281.15"/>
    <n v="-21.049999999999272"/>
    <n v="-8.3194346736644527E-4"/>
    <n v="1"/>
  </r>
  <r>
    <d v="2024-04-08T00:00:00"/>
    <x v="5"/>
    <x v="0"/>
    <s v="Search"/>
    <x v="2"/>
    <s v="Canada"/>
    <n v="114028"/>
    <n v="3112"/>
    <n v="2.7300000000000001E-2"/>
    <n v="1.36"/>
    <n v="4232.32"/>
    <n v="120"/>
    <n v="35.270000000000003"/>
    <n v="10393.959999999999"/>
    <n v="6161.6399999999994"/>
    <n v="1.4558539996975655"/>
    <n v="2.46"/>
  </r>
  <r>
    <d v="2024-06-05T00:00:00"/>
    <x v="1"/>
    <x v="1"/>
    <s v="Video"/>
    <x v="2"/>
    <s v="Australia"/>
    <n v="180309"/>
    <n v="5823"/>
    <n v="3.2300000000000002E-2"/>
    <n v="0.65"/>
    <n v="3784.95"/>
    <n v="232"/>
    <n v="16.309999999999999"/>
    <n v="46549.68"/>
    <n v="42764.73"/>
    <n v="11.29862481670828"/>
    <n v="12.3"/>
  </r>
  <r>
    <d v="2024-03-22T00:00:00"/>
    <x v="11"/>
    <x v="2"/>
    <s v="Video"/>
    <x v="3"/>
    <s v="Canada"/>
    <n v="168402"/>
    <n v="5237"/>
    <n v="3.1099999999999999E-2"/>
    <n v="0.85"/>
    <n v="4451.45"/>
    <n v="188"/>
    <n v="23.68"/>
    <n v="43774.92"/>
    <n v="39323.47"/>
    <n v="8.8338563838749184"/>
    <n v="9.83"/>
  </r>
  <r>
    <d v="2024-12-23T00:00:00"/>
    <x v="9"/>
    <x v="1"/>
    <s v="Video"/>
    <x v="4"/>
    <s v="Canada"/>
    <n v="125419"/>
    <n v="4126"/>
    <n v="3.2899999999999999E-2"/>
    <n v="0.85"/>
    <n v="3507.1"/>
    <n v="294"/>
    <n v="11.93"/>
    <n v="32829.78"/>
    <n v="29322.68"/>
    <n v="8.3609477916227082"/>
    <n v="9.36"/>
  </r>
  <r>
    <d v="2024-02-05T00:00:00"/>
    <x v="2"/>
    <x v="1"/>
    <s v="Video"/>
    <x v="3"/>
    <s v="UK"/>
    <n v="123680"/>
    <n v="8373"/>
    <n v="6.7699999999999996E-2"/>
    <n v="0.6"/>
    <n v="5023.8"/>
    <n v="263"/>
    <n v="19.100000000000001"/>
    <n v="12412.26"/>
    <n v="7388.46"/>
    <n v="1.470691508419921"/>
    <n v="2.4700000000000002"/>
  </r>
  <r>
    <d v="2024-06-24T00:00:00"/>
    <x v="1"/>
    <x v="0"/>
    <s v="Search"/>
    <x v="0"/>
    <s v="UK"/>
    <n v="117660"/>
    <n v="6388"/>
    <n v="5.4300000000000001E-2"/>
    <n v="1.81"/>
    <n v="11562.28"/>
    <n v="331"/>
    <n v="34.93"/>
    <n v="17255.28"/>
    <n v="5692.9999999999982"/>
    <n v="0.49237693603683685"/>
    <n v="1.49"/>
  </r>
  <r>
    <d v="2024-09-02T00:00:00"/>
    <x v="7"/>
    <x v="2"/>
    <s v="Video"/>
    <x v="0"/>
    <s v="Canada"/>
    <n v="76916"/>
    <n v="2761"/>
    <n v="3.5900000000000001E-2"/>
    <n v="0.71"/>
    <n v="1960.31"/>
    <n v="64"/>
    <n v="30.63"/>
    <n v="14368.24"/>
    <n v="12407.93"/>
    <n v="6.329575424295137"/>
    <n v="7.33"/>
  </r>
  <r>
    <d v="2024-02-17T00:00:00"/>
    <x v="2"/>
    <x v="2"/>
    <s v="Video"/>
    <x v="4"/>
    <s v="Canada"/>
    <n v="150631"/>
    <n v="5648"/>
    <n v="3.7499999999999999E-2"/>
    <n v="1.94"/>
    <n v="10957.12"/>
    <n v="111"/>
    <n v="98.71"/>
    <n v="21671.9"/>
    <n v="10714.78"/>
    <n v="0.97788287433194121"/>
    <n v="1.98"/>
  </r>
  <r>
    <d v="2024-02-19T00:00:00"/>
    <x v="2"/>
    <x v="0"/>
    <s v="Display"/>
    <x v="0"/>
    <s v="Australia"/>
    <n v="126635"/>
    <n v="4254"/>
    <n v="3.3599999999999998E-2"/>
    <n v="1.33"/>
    <n v="5657.82"/>
    <n v="313"/>
    <n v="18.079999999999998"/>
    <n v="28110.42"/>
    <n v="22452.6"/>
    <n v="3.9684189316733298"/>
    <n v="4.97"/>
  </r>
  <r>
    <d v="2024-12-14T00:00:00"/>
    <x v="9"/>
    <x v="0"/>
    <s v="Video"/>
    <x v="1"/>
    <s v="India"/>
    <n v="159721"/>
    <n v="3625"/>
    <n v="2.2700000000000001E-2"/>
    <n v="1.91"/>
    <n v="6923.75"/>
    <n v="150"/>
    <n v="46.16"/>
    <n v="39701.58"/>
    <n v="32777.83"/>
    <n v="4.7341151832460735"/>
    <n v="5.73"/>
  </r>
  <r>
    <d v="2024-09-01T00:00:00"/>
    <x v="7"/>
    <x v="2"/>
    <s v="Shopping"/>
    <x v="2"/>
    <s v="UAE"/>
    <n v="150698"/>
    <n v="4581"/>
    <n v="3.04E-2"/>
    <n v="0.51"/>
    <n v="2336.31"/>
    <n v="285"/>
    <n v="8.1999999999999993"/>
    <n v="32525.45"/>
    <n v="30189.14"/>
    <n v="12.921718436337644"/>
    <n v="13.92"/>
  </r>
  <r>
    <d v="2024-04-14T00:00:00"/>
    <x v="5"/>
    <x v="1"/>
    <s v="Search"/>
    <x v="1"/>
    <s v="Canada"/>
    <n v="98348"/>
    <n v="3225"/>
    <n v="3.2800000000000003E-2"/>
    <n v="1.27"/>
    <n v="4095.75"/>
    <n v="59"/>
    <n v="69.42"/>
    <n v="2846.94"/>
    <n v="-1248.81"/>
    <n v="-0.30490386376121587"/>
    <n v="0.7"/>
  </r>
  <r>
    <d v="2024-08-03T00:00:00"/>
    <x v="4"/>
    <x v="2"/>
    <s v="Search"/>
    <x v="4"/>
    <s v="USA"/>
    <n v="110603"/>
    <n v="2377"/>
    <n v="2.1499999999999998E-2"/>
    <n v="0.69"/>
    <n v="1640.13"/>
    <n v="62"/>
    <n v="26.45"/>
    <n v="2761.12"/>
    <n v="1120.9899999999998"/>
    <n v="0.68347630980471041"/>
    <n v="1.68"/>
  </r>
  <r>
    <d v="2024-01-18T00:00:00"/>
    <x v="0"/>
    <x v="0"/>
    <s v="Shopping"/>
    <x v="4"/>
    <s v="UAE"/>
    <n v="76792"/>
    <n v="3317"/>
    <n v="4.3200000000000002E-2"/>
    <n v="3.1"/>
    <n v="10282.700000000001"/>
    <n v="262"/>
    <n v="39.25"/>
    <n v="42043.839999999997"/>
    <n v="31761.139999999996"/>
    <n v="3.0887937992939589"/>
    <n v="4.09"/>
  </r>
  <r>
    <d v="2024-03-08T00:00:00"/>
    <x v="11"/>
    <x v="1"/>
    <s v="Shopping"/>
    <x v="3"/>
    <s v="USA"/>
    <n v="44405"/>
    <n v="1953"/>
    <n v="4.3999999999999997E-2"/>
    <n v="1.53"/>
    <n v="2988.09"/>
    <n v="22"/>
    <n v="135.82"/>
    <n v="6030.56"/>
    <n v="3042.4700000000003"/>
    <n v="1.0181989163646343"/>
    <n v="2.02"/>
  </r>
  <r>
    <d v="2024-08-28T00:00:00"/>
    <x v="4"/>
    <x v="0"/>
    <s v="Shopping"/>
    <x v="4"/>
    <s v="India"/>
    <n v="49462"/>
    <n v="1206"/>
    <n v="2.4400000000000002E-2"/>
    <n v="1.95"/>
    <n v="2351.6999999999998"/>
    <n v="74"/>
    <n v="31.78"/>
    <n v="12950.09"/>
    <n v="10598.39"/>
    <n v="4.5066930305736275"/>
    <n v="5.51"/>
  </r>
  <r>
    <d v="2024-05-01T00:00:00"/>
    <x v="8"/>
    <x v="1"/>
    <s v="Display"/>
    <x v="3"/>
    <s v="Australia"/>
    <n v="140440"/>
    <n v="11825"/>
    <n v="8.4199999999999997E-2"/>
    <n v="0.68"/>
    <n v="8041"/>
    <n v="748"/>
    <n v="10.75"/>
    <n v="31071.69"/>
    <n v="23030.69"/>
    <n v="2.8641574431040913"/>
    <n v="3.86"/>
  </r>
  <r>
    <d v="2024-06-27T00:00:00"/>
    <x v="1"/>
    <x v="1"/>
    <s v="Display"/>
    <x v="2"/>
    <s v="USA"/>
    <n v="112392"/>
    <n v="4934"/>
    <n v="4.3900000000000002E-2"/>
    <n v="1.64"/>
    <n v="8091.76"/>
    <n v="363"/>
    <n v="22.29"/>
    <n v="91221.43"/>
    <n v="83129.67"/>
    <n v="10.273373159856446"/>
    <n v="11.27"/>
  </r>
  <r>
    <d v="2024-04-17T00:00:00"/>
    <x v="5"/>
    <x v="1"/>
    <s v="Shopping"/>
    <x v="2"/>
    <s v="Australia"/>
    <n v="125654"/>
    <n v="8318"/>
    <n v="6.6199999999999995E-2"/>
    <n v="0.57999999999999996"/>
    <n v="4824.4399999999996"/>
    <n v="566"/>
    <n v="8.52"/>
    <n v="117035.13"/>
    <n v="112210.69"/>
    <n v="23.258801021465707"/>
    <n v="24.26"/>
  </r>
  <r>
    <d v="2024-07-16T00:00:00"/>
    <x v="10"/>
    <x v="2"/>
    <s v="Search"/>
    <x v="2"/>
    <s v="UK"/>
    <n v="167002"/>
    <n v="3406"/>
    <n v="2.0400000000000001E-2"/>
    <n v="1.83"/>
    <n v="6232.98"/>
    <n v="76"/>
    <n v="82.01"/>
    <n v="10328.31"/>
    <n v="4095.33"/>
    <n v="0.6570420569294303"/>
    <n v="1.66"/>
  </r>
  <r>
    <d v="2024-04-06T00:00:00"/>
    <x v="5"/>
    <x v="1"/>
    <s v="Search"/>
    <x v="3"/>
    <s v="Australia"/>
    <n v="108247"/>
    <n v="6971"/>
    <n v="6.4399999999999999E-2"/>
    <n v="0.59"/>
    <n v="4112.8900000000003"/>
    <n v="517"/>
    <n v="7.96"/>
    <n v="139391.79"/>
    <n v="135278.9"/>
    <n v="32.891446160728826"/>
    <n v="33.89"/>
  </r>
  <r>
    <d v="2024-04-14T00:00:00"/>
    <x v="5"/>
    <x v="2"/>
    <s v="Display"/>
    <x v="0"/>
    <s v="Australia"/>
    <n v="53128"/>
    <n v="1678"/>
    <n v="3.1600000000000003E-2"/>
    <n v="1.51"/>
    <n v="2533.7800000000002"/>
    <n v="66"/>
    <n v="38.39"/>
    <n v="19225.18"/>
    <n v="16691.400000000001"/>
    <n v="6.5875490374065624"/>
    <n v="7.59"/>
  </r>
  <r>
    <d v="2024-02-01T00:00:00"/>
    <x v="2"/>
    <x v="2"/>
    <s v="Video"/>
    <x v="1"/>
    <s v="USA"/>
    <n v="65942"/>
    <n v="2044"/>
    <n v="3.1E-2"/>
    <n v="1.05"/>
    <n v="2146.1999999999998"/>
    <n v="48"/>
    <n v="44.71"/>
    <n v="6784.27"/>
    <n v="4638.0700000000006"/>
    <n v="2.1610614108657167"/>
    <n v="3.16"/>
  </r>
  <r>
    <d v="2024-03-14T00:00:00"/>
    <x v="11"/>
    <x v="0"/>
    <s v="Display"/>
    <x v="4"/>
    <s v="Canada"/>
    <n v="32160"/>
    <n v="1186"/>
    <n v="3.6900000000000002E-2"/>
    <n v="1.34"/>
    <n v="1589.24"/>
    <n v="12"/>
    <n v="132.44"/>
    <n v="1927.71"/>
    <n v="338.47"/>
    <n v="0.21297601369207925"/>
    <n v="1.21"/>
  </r>
  <r>
    <d v="2024-09-29T00:00:00"/>
    <x v="7"/>
    <x v="0"/>
    <s v="Search"/>
    <x v="1"/>
    <s v="USA"/>
    <n v="58364"/>
    <n v="2241"/>
    <n v="3.8399999999999997E-2"/>
    <n v="2.2200000000000002"/>
    <n v="4975.0200000000004"/>
    <n v="136"/>
    <n v="36.58"/>
    <n v="15149.72"/>
    <n v="10174.699999999999"/>
    <n v="2.0451576074066029"/>
    <n v="3.05"/>
  </r>
  <r>
    <d v="2024-06-05T00:00:00"/>
    <x v="1"/>
    <x v="2"/>
    <s v="Search"/>
    <x v="4"/>
    <s v="India"/>
    <n v="79462"/>
    <n v="2058"/>
    <n v="2.5899999999999999E-2"/>
    <n v="0.88"/>
    <n v="1811.04"/>
    <n v="146"/>
    <n v="12.4"/>
    <n v="7813.85"/>
    <n v="6002.81"/>
    <n v="3.3145651117589896"/>
    <n v="4.3099999999999996"/>
  </r>
  <r>
    <d v="2024-04-01T00:00:00"/>
    <x v="5"/>
    <x v="2"/>
    <s v="Display"/>
    <x v="3"/>
    <s v="India"/>
    <n v="151864"/>
    <n v="4358"/>
    <n v="2.87E-2"/>
    <n v="1.69"/>
    <n v="7365.02"/>
    <n v="175"/>
    <n v="42.09"/>
    <n v="45340.29"/>
    <n v="37975.270000000004"/>
    <n v="5.1561665820323643"/>
    <n v="6.16"/>
  </r>
  <r>
    <d v="2024-04-27T00:00:00"/>
    <x v="5"/>
    <x v="0"/>
    <s v="Shopping"/>
    <x v="1"/>
    <s v="UAE"/>
    <n v="182926"/>
    <n v="6749"/>
    <n v="3.6900000000000002E-2"/>
    <n v="1.94"/>
    <n v="13093.06"/>
    <n v="343"/>
    <n v="38.17"/>
    <n v="53279.93"/>
    <n v="40186.870000000003"/>
    <n v="3.0693260399020552"/>
    <n v="4.07"/>
  </r>
  <r>
    <d v="2024-10-25T00:00:00"/>
    <x v="3"/>
    <x v="2"/>
    <s v="Shopping"/>
    <x v="4"/>
    <s v="India"/>
    <n v="107489"/>
    <n v="2515"/>
    <n v="2.3400000000000001E-2"/>
    <n v="1.4"/>
    <n v="3521"/>
    <n v="166"/>
    <n v="21.21"/>
    <n v="18411.150000000001"/>
    <n v="14890.150000000001"/>
    <n v="4.2289548423743257"/>
    <n v="5.23"/>
  </r>
  <r>
    <d v="2024-08-03T00:00:00"/>
    <x v="4"/>
    <x v="1"/>
    <s v="Search"/>
    <x v="2"/>
    <s v="India"/>
    <n v="40709"/>
    <n v="1314"/>
    <n v="3.2300000000000002E-2"/>
    <n v="0.7"/>
    <n v="919.8"/>
    <n v="90"/>
    <n v="10.220000000000001"/>
    <n v="16081.05"/>
    <n v="15161.25"/>
    <n v="16.483202870189171"/>
    <n v="17.48"/>
  </r>
  <r>
    <d v="2024-09-24T00:00:00"/>
    <x v="7"/>
    <x v="0"/>
    <s v="Video"/>
    <x v="0"/>
    <s v="Australia"/>
    <n v="143561"/>
    <n v="9144"/>
    <n v="6.3700000000000007E-2"/>
    <n v="1.93"/>
    <n v="17647.919999999998"/>
    <n v="630"/>
    <n v="28.01"/>
    <n v="123364.05"/>
    <n v="105716.13"/>
    <n v="5.9902883739273536"/>
    <n v="6.99"/>
  </r>
  <r>
    <d v="2024-03-24T00:00:00"/>
    <x v="11"/>
    <x v="0"/>
    <s v="Shopping"/>
    <x v="0"/>
    <s v="India"/>
    <n v="94242"/>
    <n v="5466"/>
    <n v="5.8000000000000003E-2"/>
    <n v="1.67"/>
    <n v="9128.2199999999993"/>
    <n v="100"/>
    <n v="91.28"/>
    <n v="6794.77"/>
    <n v="-2333.4499999999989"/>
    <n v="-0.25563034195056639"/>
    <n v="0.74"/>
  </r>
  <r>
    <d v="2024-09-23T00:00:00"/>
    <x v="7"/>
    <x v="0"/>
    <s v="Display"/>
    <x v="2"/>
    <s v="UAE"/>
    <n v="111311"/>
    <n v="5765"/>
    <n v="5.1799999999999999E-2"/>
    <n v="2.71"/>
    <n v="15623.15"/>
    <n v="389"/>
    <n v="40.159999999999997"/>
    <n v="22317.919999999998"/>
    <n v="6694.7699999999986"/>
    <n v="0.42851601629632941"/>
    <n v="1.43"/>
  </r>
  <r>
    <d v="2024-09-24T00:00:00"/>
    <x v="7"/>
    <x v="1"/>
    <s v="Video"/>
    <x v="0"/>
    <s v="USA"/>
    <n v="130865"/>
    <n v="9461"/>
    <n v="7.2300000000000003E-2"/>
    <n v="1.48"/>
    <n v="14002.28"/>
    <n v="221"/>
    <n v="63.36"/>
    <n v="46411.13"/>
    <n v="32408.85"/>
    <n v="2.3145409176219869"/>
    <n v="3.31"/>
  </r>
  <r>
    <d v="2024-01-02T00:00:00"/>
    <x v="0"/>
    <x v="2"/>
    <s v="Video"/>
    <x v="1"/>
    <s v="USA"/>
    <n v="138639"/>
    <n v="2204"/>
    <n v="1.5900000000000001E-2"/>
    <n v="1.8"/>
    <n v="3967.2"/>
    <n v="154"/>
    <n v="25.76"/>
    <n v="35803.07"/>
    <n v="31835.87"/>
    <n v="8.0247706190764276"/>
    <n v="9.02"/>
  </r>
  <r>
    <d v="2024-06-15T00:00:00"/>
    <x v="1"/>
    <x v="1"/>
    <s v="Shopping"/>
    <x v="3"/>
    <s v="India"/>
    <n v="147355"/>
    <n v="7485"/>
    <n v="5.0799999999999998E-2"/>
    <n v="0.91"/>
    <n v="6811.35"/>
    <n v="81"/>
    <n v="84.09"/>
    <n v="14520.06"/>
    <n v="7708.7099999999991"/>
    <n v="1.1317448082979142"/>
    <n v="2.13"/>
  </r>
  <r>
    <d v="2024-04-29T00:00:00"/>
    <x v="5"/>
    <x v="2"/>
    <s v="Shopping"/>
    <x v="0"/>
    <s v="UK"/>
    <n v="26751"/>
    <n v="489"/>
    <n v="1.83E-2"/>
    <n v="1.93"/>
    <n v="943.77"/>
    <n v="8"/>
    <n v="117.97"/>
    <n v="791.56"/>
    <n v="-152.21000000000004"/>
    <n v="-0.16127870137851388"/>
    <n v="0.84"/>
  </r>
  <r>
    <d v="2024-01-25T00:00:00"/>
    <x v="0"/>
    <x v="1"/>
    <s v="Display"/>
    <x v="3"/>
    <s v="UK"/>
    <n v="42706"/>
    <n v="2084"/>
    <n v="4.8800000000000003E-2"/>
    <n v="1.59"/>
    <n v="3313.56"/>
    <n v="35"/>
    <n v="94.67"/>
    <n v="4766.32"/>
    <n v="1452.7599999999998"/>
    <n v="0.43842875940076526"/>
    <n v="1.44"/>
  </r>
  <r>
    <d v="2024-09-02T00:00:00"/>
    <x v="7"/>
    <x v="2"/>
    <s v="Video"/>
    <x v="3"/>
    <s v="UAE"/>
    <n v="173337"/>
    <n v="3189"/>
    <n v="1.84E-2"/>
    <n v="2.0299999999999998"/>
    <n v="6473.67"/>
    <n v="224"/>
    <n v="28.9"/>
    <n v="43055.91"/>
    <n v="36582.240000000005"/>
    <n v="5.6509275264262779"/>
    <n v="6.65"/>
  </r>
  <r>
    <d v="2024-07-28T00:00:00"/>
    <x v="10"/>
    <x v="2"/>
    <s v="Shopping"/>
    <x v="3"/>
    <s v="Canada"/>
    <n v="99948"/>
    <n v="1389"/>
    <n v="1.3899999999999999E-2"/>
    <n v="1.04"/>
    <n v="1444.56"/>
    <n v="67"/>
    <n v="21.56"/>
    <n v="4987.6000000000004"/>
    <n v="3543.0400000000004"/>
    <n v="2.452677631943291"/>
    <n v="3.45"/>
  </r>
  <r>
    <d v="2024-03-30T00:00:00"/>
    <x v="11"/>
    <x v="0"/>
    <s v="Video"/>
    <x v="2"/>
    <s v="Canada"/>
    <n v="65282"/>
    <n v="1723"/>
    <n v="2.64E-2"/>
    <n v="1.91"/>
    <n v="3290.93"/>
    <n v="64"/>
    <n v="51.42"/>
    <n v="16624.45"/>
    <n v="13333.52"/>
    <n v="4.0515963572607134"/>
    <n v="5.05"/>
  </r>
  <r>
    <d v="2024-02-01T00:00:00"/>
    <x v="2"/>
    <x v="0"/>
    <s v="Video"/>
    <x v="1"/>
    <s v="USA"/>
    <n v="48790"/>
    <n v="2824"/>
    <n v="5.79E-2"/>
    <n v="1.3"/>
    <n v="3671.2"/>
    <n v="178"/>
    <n v="20.62"/>
    <n v="37847.71"/>
    <n v="34176.51"/>
    <n v="9.3093566136413166"/>
    <n v="10.31"/>
  </r>
  <r>
    <d v="2024-07-16T00:00:00"/>
    <x v="10"/>
    <x v="0"/>
    <s v="Shopping"/>
    <x v="1"/>
    <s v="UAE"/>
    <n v="163272"/>
    <n v="5551"/>
    <n v="3.4000000000000002E-2"/>
    <n v="2.23"/>
    <n v="12378.73"/>
    <n v="135"/>
    <n v="91.69"/>
    <n v="38753.89"/>
    <n v="26375.16"/>
    <n v="2.1306838423650891"/>
    <n v="3.13"/>
  </r>
  <r>
    <d v="2024-11-04T00:00:00"/>
    <x v="6"/>
    <x v="0"/>
    <s v="Video"/>
    <x v="1"/>
    <s v="Australia"/>
    <n v="149233"/>
    <n v="3686"/>
    <n v="2.47E-2"/>
    <n v="1"/>
    <n v="3686"/>
    <n v="250"/>
    <n v="14.74"/>
    <n v="16524.46"/>
    <n v="12838.46"/>
    <n v="3.4830330982094408"/>
    <n v="4.4800000000000004"/>
  </r>
  <r>
    <d v="2024-02-27T00:00:00"/>
    <x v="2"/>
    <x v="1"/>
    <s v="Search"/>
    <x v="3"/>
    <s v="UAE"/>
    <n v="7637"/>
    <n v="415"/>
    <n v="5.4399999999999997E-2"/>
    <n v="1.54"/>
    <n v="639.1"/>
    <n v="10"/>
    <n v="63.91"/>
    <n v="1137.83"/>
    <n v="498.7299999999999"/>
    <n v="0.78036301048349221"/>
    <n v="1.78"/>
  </r>
  <r>
    <d v="2024-01-04T00:00:00"/>
    <x v="0"/>
    <x v="0"/>
    <s v="Display"/>
    <x v="0"/>
    <s v="UK"/>
    <n v="20198"/>
    <n v="878"/>
    <n v="4.3499999999999997E-2"/>
    <n v="2.68"/>
    <n v="2353.04"/>
    <n v="67"/>
    <n v="35.119999999999997"/>
    <n v="5967.58"/>
    <n v="3614.54"/>
    <n v="1.5361149831707068"/>
    <n v="2.54"/>
  </r>
  <r>
    <d v="2024-09-11T00:00:00"/>
    <x v="7"/>
    <x v="0"/>
    <s v="Search"/>
    <x v="1"/>
    <s v="UAE"/>
    <n v="32675"/>
    <n v="941"/>
    <n v="2.8799999999999999E-2"/>
    <n v="1.0900000000000001"/>
    <n v="1025.69"/>
    <n v="47"/>
    <n v="21.82"/>
    <n v="12632.32"/>
    <n v="11606.63"/>
    <n v="11.315923914633075"/>
    <n v="12.32"/>
  </r>
  <r>
    <d v="2024-02-28T00:00:00"/>
    <x v="2"/>
    <x v="0"/>
    <s v="Search"/>
    <x v="1"/>
    <s v="USA"/>
    <n v="116560"/>
    <n v="4312"/>
    <n v="3.6999999999999998E-2"/>
    <n v="2.79"/>
    <n v="12030.48"/>
    <n v="198"/>
    <n v="60.76"/>
    <n v="51746.42"/>
    <n v="39715.94"/>
    <n v="3.3012764245483144"/>
    <n v="4.3"/>
  </r>
  <r>
    <d v="2024-01-27T00:00:00"/>
    <x v="0"/>
    <x v="2"/>
    <s v="Display"/>
    <x v="4"/>
    <s v="Australia"/>
    <n v="176459"/>
    <n v="3670"/>
    <n v="2.0799999999999999E-2"/>
    <n v="1.91"/>
    <n v="7009.7"/>
    <n v="65"/>
    <n v="107.84"/>
    <n v="2483.8000000000002"/>
    <n v="-4525.8999999999996"/>
    <n v="-0.6456624391914062"/>
    <n v="0.35"/>
  </r>
  <r>
    <d v="2024-09-02T00:00:00"/>
    <x v="7"/>
    <x v="2"/>
    <s v="Shopping"/>
    <x v="3"/>
    <s v="Australia"/>
    <n v="49980"/>
    <n v="1664"/>
    <n v="3.3300000000000003E-2"/>
    <n v="1.98"/>
    <n v="3294.72"/>
    <n v="37"/>
    <n v="89.05"/>
    <n v="6236.77"/>
    <n v="2942.0500000000006"/>
    <n v="0.89295903749028771"/>
    <n v="1.89"/>
  </r>
  <r>
    <d v="2024-01-07T00:00:00"/>
    <x v="0"/>
    <x v="2"/>
    <s v="Video"/>
    <x v="2"/>
    <s v="Germany"/>
    <n v="98944"/>
    <n v="1850"/>
    <n v="1.8700000000000001E-2"/>
    <n v="1.42"/>
    <n v="2627"/>
    <n v="78"/>
    <n v="33.68"/>
    <n v="17285.68"/>
    <n v="14658.68"/>
    <n v="5.5800076132470497"/>
    <n v="6.58"/>
  </r>
  <r>
    <d v="2024-04-01T00:00:00"/>
    <x v="5"/>
    <x v="1"/>
    <s v="Video"/>
    <x v="2"/>
    <s v="USA"/>
    <n v="115310"/>
    <n v="3205"/>
    <n v="2.7799999999999998E-2"/>
    <n v="1.04"/>
    <n v="3333.2"/>
    <n v="134"/>
    <n v="24.87"/>
    <n v="14521.43"/>
    <n v="11188.23"/>
    <n v="3.3566032641305652"/>
    <n v="4.3600000000000003"/>
  </r>
  <r>
    <d v="2024-08-08T00:00:00"/>
    <x v="4"/>
    <x v="2"/>
    <s v="Search"/>
    <x v="4"/>
    <s v="India"/>
    <n v="8626"/>
    <n v="242"/>
    <n v="2.81E-2"/>
    <n v="1.1299999999999999"/>
    <n v="273.45999999999998"/>
    <n v="18"/>
    <n v="15.19"/>
    <n v="3013.54"/>
    <n v="2740.08"/>
    <n v="10.020039493893075"/>
    <n v="11.02"/>
  </r>
  <r>
    <d v="2024-01-05T00:00:00"/>
    <x v="0"/>
    <x v="2"/>
    <s v="Display"/>
    <x v="4"/>
    <s v="Germany"/>
    <n v="88732"/>
    <n v="1579"/>
    <n v="1.78E-2"/>
    <n v="0.44"/>
    <n v="694.76"/>
    <n v="32"/>
    <n v="21.71"/>
    <n v="4757.82"/>
    <n v="4063.0599999999995"/>
    <n v="5.8481490010939021"/>
    <n v="6.85"/>
  </r>
  <r>
    <d v="2024-06-20T00:00:00"/>
    <x v="1"/>
    <x v="2"/>
    <s v="Video"/>
    <x v="1"/>
    <s v="Germany"/>
    <n v="29502"/>
    <n v="604"/>
    <n v="2.0500000000000001E-2"/>
    <n v="1.61"/>
    <n v="972.44"/>
    <n v="30"/>
    <n v="32.409999999999997"/>
    <n v="5842.59"/>
    <n v="4870.1499999999996"/>
    <n v="5.0081753115873466"/>
    <n v="6.01"/>
  </r>
  <r>
    <d v="2024-09-14T00:00:00"/>
    <x v="7"/>
    <x v="1"/>
    <s v="Search"/>
    <x v="4"/>
    <s v="Canada"/>
    <n v="198085"/>
    <n v="14460"/>
    <n v="7.2999999999999995E-2"/>
    <n v="0.82"/>
    <n v="11857.2"/>
    <n v="1133"/>
    <n v="10.47"/>
    <n v="295028.26"/>
    <n v="283171.06"/>
    <n v="23.88178153358297"/>
    <n v="24.88"/>
  </r>
  <r>
    <d v="2024-07-14T00:00:00"/>
    <x v="10"/>
    <x v="2"/>
    <s v="Shopping"/>
    <x v="2"/>
    <s v="USA"/>
    <n v="111802"/>
    <n v="2247"/>
    <n v="2.01E-2"/>
    <n v="1.65"/>
    <n v="3707.55"/>
    <n v="163"/>
    <n v="22.75"/>
    <n v="6163.84"/>
    <n v="2456.29"/>
    <n v="0.66251028307103066"/>
    <n v="1.66"/>
  </r>
  <r>
    <d v="2024-08-01T00:00:00"/>
    <x v="4"/>
    <x v="0"/>
    <s v="Shopping"/>
    <x v="1"/>
    <s v="UAE"/>
    <n v="65186"/>
    <n v="1955"/>
    <n v="0.03"/>
    <n v="2.2599999999999998"/>
    <n v="4418.3"/>
    <n v="89"/>
    <n v="49.64"/>
    <n v="13375.79"/>
    <n v="8957.4900000000016"/>
    <n v="2.0273612022723673"/>
    <n v="3.03"/>
  </r>
  <r>
    <d v="2024-06-15T00:00:00"/>
    <x v="1"/>
    <x v="1"/>
    <s v="Video"/>
    <x v="1"/>
    <s v="UK"/>
    <n v="101176"/>
    <n v="6505"/>
    <n v="6.4299999999999996E-2"/>
    <n v="0.96"/>
    <n v="6244.8"/>
    <n v="459"/>
    <n v="13.61"/>
    <n v="44008.34"/>
    <n v="37763.539999999994"/>
    <n v="6.047197668460158"/>
    <n v="7.05"/>
  </r>
  <r>
    <d v="2024-08-07T00:00:00"/>
    <x v="4"/>
    <x v="1"/>
    <s v="Video"/>
    <x v="3"/>
    <s v="UAE"/>
    <n v="41307"/>
    <n v="1367"/>
    <n v="3.3099999999999997E-2"/>
    <n v="0.56999999999999995"/>
    <n v="779.19"/>
    <n v="92"/>
    <n v="8.4700000000000006"/>
    <n v="6211.99"/>
    <n v="5432.7999999999993"/>
    <n v="6.9723687418986371"/>
    <n v="7.97"/>
  </r>
  <r>
    <d v="2024-05-12T00:00:00"/>
    <x v="8"/>
    <x v="2"/>
    <s v="Video"/>
    <x v="1"/>
    <s v="UK"/>
    <n v="174579"/>
    <n v="3247"/>
    <n v="1.8599999999999998E-2"/>
    <n v="1.33"/>
    <n v="4318.51"/>
    <n v="187"/>
    <n v="23.09"/>
    <n v="41760.07"/>
    <n v="37441.56"/>
    <n v="8.6700181312536024"/>
    <n v="9.67"/>
  </r>
  <r>
    <d v="2024-02-14T00:00:00"/>
    <x v="2"/>
    <x v="2"/>
    <s v="Video"/>
    <x v="3"/>
    <s v="India"/>
    <n v="83137"/>
    <n v="2045"/>
    <n v="2.46E-2"/>
    <n v="1.01"/>
    <n v="2065.4499999999998"/>
    <n v="37"/>
    <n v="55.82"/>
    <n v="1798.59"/>
    <n v="-266.8599999999999"/>
    <n v="-0.12920186884214091"/>
    <n v="0.87"/>
  </r>
  <r>
    <d v="2024-01-04T00:00:00"/>
    <x v="0"/>
    <x v="2"/>
    <s v="Search"/>
    <x v="2"/>
    <s v="UK"/>
    <n v="122897"/>
    <n v="2040"/>
    <n v="1.66E-2"/>
    <n v="0.77"/>
    <n v="1570.8"/>
    <n v="159"/>
    <n v="9.8800000000000008"/>
    <n v="45753.83"/>
    <n v="44183.03"/>
    <n v="28.127724726254137"/>
    <n v="29.13"/>
  </r>
  <r>
    <d v="2024-10-17T00:00:00"/>
    <x v="3"/>
    <x v="1"/>
    <s v="Search"/>
    <x v="2"/>
    <s v="India"/>
    <n v="47462"/>
    <n v="1803"/>
    <n v="3.7999999999999999E-2"/>
    <n v="0.53"/>
    <n v="955.59"/>
    <n v="98"/>
    <n v="9.75"/>
    <n v="29213.279999999999"/>
    <n v="28257.69"/>
    <n v="29.570935233729944"/>
    <n v="30.57"/>
  </r>
  <r>
    <d v="2024-06-19T00:00:00"/>
    <x v="1"/>
    <x v="1"/>
    <s v="Display"/>
    <x v="1"/>
    <s v="Germany"/>
    <n v="99202"/>
    <n v="6428"/>
    <n v="6.4799999999999996E-2"/>
    <n v="1.54"/>
    <n v="9899.1200000000008"/>
    <n v="165"/>
    <n v="59.99"/>
    <n v="34456.26"/>
    <n v="24557.14"/>
    <n v="2.4807397021149353"/>
    <n v="3.48"/>
  </r>
  <r>
    <d v="2024-02-26T00:00:00"/>
    <x v="2"/>
    <x v="2"/>
    <s v="Shopping"/>
    <x v="3"/>
    <s v="USA"/>
    <n v="125871"/>
    <n v="3083"/>
    <n v="2.4500000000000001E-2"/>
    <n v="1.72"/>
    <n v="5302.76"/>
    <n v="185"/>
    <n v="28.66"/>
    <n v="27759.15"/>
    <n v="22456.39"/>
    <n v="4.2348493991808036"/>
    <n v="5.23"/>
  </r>
  <r>
    <d v="2024-03-10T00:00:00"/>
    <x v="11"/>
    <x v="0"/>
    <s v="Search"/>
    <x v="2"/>
    <s v="UK"/>
    <n v="8880"/>
    <n v="216"/>
    <n v="2.4400000000000002E-2"/>
    <n v="2.06"/>
    <n v="444.96"/>
    <n v="6"/>
    <n v="74.16"/>
    <n v="1186.19"/>
    <n v="741.23"/>
    <n v="1.6658351312477526"/>
    <n v="2.67"/>
  </r>
  <r>
    <d v="2024-11-30T00:00:00"/>
    <x v="6"/>
    <x v="0"/>
    <s v="Shopping"/>
    <x v="1"/>
    <s v="USA"/>
    <n v="156388"/>
    <n v="7021"/>
    <n v="4.4900000000000002E-2"/>
    <n v="1.64"/>
    <n v="11514.44"/>
    <n v="315"/>
    <n v="36.549999999999997"/>
    <n v="34670.519999999997"/>
    <n v="23156.079999999994"/>
    <n v="2.0110469983776889"/>
    <n v="3.01"/>
  </r>
  <r>
    <d v="2024-03-27T00:00:00"/>
    <x v="11"/>
    <x v="0"/>
    <s v="Video"/>
    <x v="1"/>
    <s v="UK"/>
    <n v="109672"/>
    <n v="2675"/>
    <n v="2.4400000000000002E-2"/>
    <n v="2.5499999999999998"/>
    <n v="6821.25"/>
    <n v="50"/>
    <n v="136.43"/>
    <n v="11521.03"/>
    <n v="4699.7800000000007"/>
    <n v="0.68899102070734841"/>
    <n v="1.69"/>
  </r>
  <r>
    <d v="2024-05-07T00:00:00"/>
    <x v="8"/>
    <x v="2"/>
    <s v="Display"/>
    <x v="3"/>
    <s v="UAE"/>
    <n v="70030"/>
    <n v="1470"/>
    <n v="2.1000000000000001E-2"/>
    <n v="1.68"/>
    <n v="2469.6"/>
    <n v="90"/>
    <n v="27.44"/>
    <n v="9384.9"/>
    <n v="6915.2999999999993"/>
    <n v="2.8001700680272106"/>
    <n v="3.8"/>
  </r>
  <r>
    <d v="2024-01-03T00:00:00"/>
    <x v="0"/>
    <x v="2"/>
    <s v="Video"/>
    <x v="1"/>
    <s v="India"/>
    <n v="149375"/>
    <n v="6109"/>
    <n v="4.0899999999999999E-2"/>
    <n v="2.1800000000000002"/>
    <n v="13317.62"/>
    <n v="89"/>
    <n v="149.63999999999999"/>
    <n v="22418.799999999999"/>
    <n v="9101.1799999999985"/>
    <n v="0.68339387968721121"/>
    <n v="1.68"/>
  </r>
  <r>
    <d v="2024-06-07T00:00:00"/>
    <x v="1"/>
    <x v="2"/>
    <s v="Search"/>
    <x v="0"/>
    <s v="Canada"/>
    <n v="123171"/>
    <n v="3756"/>
    <n v="3.0499999999999999E-2"/>
    <n v="1.86"/>
    <n v="6986.16"/>
    <n v="52"/>
    <n v="134.35"/>
    <n v="7553.6"/>
    <n v="567.44000000000051"/>
    <n v="8.122344750191815E-2"/>
    <n v="1.08"/>
  </r>
  <r>
    <d v="2024-03-16T00:00:00"/>
    <x v="11"/>
    <x v="2"/>
    <s v="Search"/>
    <x v="3"/>
    <s v="UK"/>
    <n v="52779"/>
    <n v="596"/>
    <n v="1.1299999999999999E-2"/>
    <n v="1.0900000000000001"/>
    <n v="649.64"/>
    <n v="35"/>
    <n v="18.559999999999999"/>
    <n v="3583.95"/>
    <n v="2934.31"/>
    <n v="4.5168247029123823"/>
    <n v="5.52"/>
  </r>
  <r>
    <d v="2024-05-23T00:00:00"/>
    <x v="8"/>
    <x v="0"/>
    <s v="Display"/>
    <x v="0"/>
    <s v="USA"/>
    <n v="117036"/>
    <n v="3569"/>
    <n v="3.0499999999999999E-2"/>
    <n v="2.13"/>
    <n v="7601.97"/>
    <n v="178"/>
    <n v="42.71"/>
    <n v="11935.14"/>
    <n v="4333.1699999999992"/>
    <n v="0.57000619576241407"/>
    <n v="1.57"/>
  </r>
  <r>
    <d v="2024-07-17T00:00:00"/>
    <x v="10"/>
    <x v="1"/>
    <s v="Shopping"/>
    <x v="4"/>
    <s v="UAE"/>
    <n v="177517"/>
    <n v="13917"/>
    <n v="7.8399999999999997E-2"/>
    <n v="0.91"/>
    <n v="12664.47"/>
    <n v="671"/>
    <n v="18.87"/>
    <n v="36680.47"/>
    <n v="24016"/>
    <n v="1.8963288633476174"/>
    <n v="2.9"/>
  </r>
  <r>
    <d v="2024-12-30T00:00:00"/>
    <x v="9"/>
    <x v="1"/>
    <s v="Search"/>
    <x v="1"/>
    <s v="Germany"/>
    <n v="196349"/>
    <n v="8325"/>
    <n v="4.24E-2"/>
    <n v="0.69"/>
    <n v="5744.25"/>
    <n v="398"/>
    <n v="14.43"/>
    <n v="42464.91"/>
    <n v="36720.660000000003"/>
    <n v="6.392594333463899"/>
    <n v="7.39"/>
  </r>
  <r>
    <d v="2024-10-31T00:00:00"/>
    <x v="3"/>
    <x v="1"/>
    <s v="Search"/>
    <x v="3"/>
    <s v="UAE"/>
    <n v="174898"/>
    <n v="13029"/>
    <n v="7.4499999999999997E-2"/>
    <n v="1.26"/>
    <n v="16416.54"/>
    <n v="822"/>
    <n v="19.97"/>
    <n v="162206.84"/>
    <n v="145790.29999999999"/>
    <n v="8.8806959322731824"/>
    <n v="9.8800000000000008"/>
  </r>
  <r>
    <d v="2024-06-30T00:00:00"/>
    <x v="1"/>
    <x v="0"/>
    <s v="Display"/>
    <x v="1"/>
    <s v="USA"/>
    <n v="83972"/>
    <n v="4903"/>
    <n v="5.8400000000000001E-2"/>
    <n v="2.9"/>
    <n v="14218.7"/>
    <n v="341"/>
    <n v="41.7"/>
    <n v="36574.449999999997"/>
    <n v="22355.749999999996"/>
    <n v="1.5722780563623957"/>
    <n v="2.57"/>
  </r>
  <r>
    <d v="2024-04-26T00:00:00"/>
    <x v="5"/>
    <x v="2"/>
    <s v="Search"/>
    <x v="0"/>
    <s v="USA"/>
    <n v="165371"/>
    <n v="2993"/>
    <n v="1.8100000000000002E-2"/>
    <n v="1.51"/>
    <n v="4519.43"/>
    <n v="32"/>
    <n v="141.22999999999999"/>
    <n v="8918.68"/>
    <n v="4399.25"/>
    <n v="0.97340815102789502"/>
    <n v="1.97"/>
  </r>
  <r>
    <d v="2024-08-30T00:00:00"/>
    <x v="4"/>
    <x v="1"/>
    <s v="Shopping"/>
    <x v="0"/>
    <s v="USA"/>
    <n v="133949"/>
    <n v="7219"/>
    <n v="5.3900000000000003E-2"/>
    <n v="1.52"/>
    <n v="10972.88"/>
    <n v="73"/>
    <n v="150.31"/>
    <n v="21583.279999999999"/>
    <n v="10610.4"/>
    <n v="0.96696582847894086"/>
    <n v="1.97"/>
  </r>
  <r>
    <d v="2024-09-15T00:00:00"/>
    <x v="7"/>
    <x v="1"/>
    <s v="Display"/>
    <x v="0"/>
    <s v="Australia"/>
    <n v="105400"/>
    <n v="7704"/>
    <n v="7.3099999999999998E-2"/>
    <n v="1.1100000000000001"/>
    <n v="8551.44"/>
    <n v="442"/>
    <n v="19.350000000000001"/>
    <n v="49251.38"/>
    <n v="40699.939999999995"/>
    <n v="4.7594253131636304"/>
    <n v="5.76"/>
  </r>
  <r>
    <d v="2024-08-04T00:00:00"/>
    <x v="4"/>
    <x v="0"/>
    <s v="Shopping"/>
    <x v="1"/>
    <s v="USA"/>
    <n v="63959"/>
    <n v="2014"/>
    <n v="3.15E-2"/>
    <n v="2.2799999999999998"/>
    <n v="4591.92"/>
    <n v="150"/>
    <n v="30.61"/>
    <n v="37769.589999999997"/>
    <n v="33177.67"/>
    <n v="7.2252282269725949"/>
    <n v="8.23"/>
  </r>
  <r>
    <d v="2024-03-06T00:00:00"/>
    <x v="11"/>
    <x v="0"/>
    <s v="Search"/>
    <x v="3"/>
    <s v="India"/>
    <n v="6044"/>
    <n v="146"/>
    <n v="2.4199999999999999E-2"/>
    <n v="1.1299999999999999"/>
    <n v="164.98"/>
    <n v="5"/>
    <n v="33"/>
    <n v="611.36"/>
    <n v="446.38"/>
    <n v="2.7056612922778518"/>
    <n v="3.71"/>
  </r>
  <r>
    <d v="2024-04-08T00:00:00"/>
    <x v="5"/>
    <x v="0"/>
    <s v="Shopping"/>
    <x v="0"/>
    <s v="USA"/>
    <n v="90945"/>
    <n v="3637"/>
    <n v="0.04"/>
    <n v="3.02"/>
    <n v="10983.74"/>
    <n v="145"/>
    <n v="75.75"/>
    <n v="21488.5"/>
    <n v="10504.76"/>
    <n v="0.9563919029401643"/>
    <n v="1.96"/>
  </r>
  <r>
    <d v="2024-02-01T00:00:00"/>
    <x v="2"/>
    <x v="0"/>
    <s v="Search"/>
    <x v="3"/>
    <s v="UK"/>
    <n v="73681"/>
    <n v="4457"/>
    <n v="6.0499999999999998E-2"/>
    <n v="1.77"/>
    <n v="7888.89"/>
    <n v="95"/>
    <n v="83.04"/>
    <n v="11815.26"/>
    <n v="3926.37"/>
    <n v="0.49770880313960514"/>
    <n v="1.5"/>
  </r>
  <r>
    <d v="2024-12-14T00:00:00"/>
    <x v="9"/>
    <x v="0"/>
    <s v="Display"/>
    <x v="2"/>
    <s v="Australia"/>
    <n v="195545"/>
    <n v="8799"/>
    <n v="4.4999999999999998E-2"/>
    <n v="2.98"/>
    <n v="26221.02"/>
    <n v="444"/>
    <n v="59.06"/>
    <n v="122723.09"/>
    <n v="96502.069999999992"/>
    <n v="3.6803324203253722"/>
    <n v="4.68"/>
  </r>
  <r>
    <d v="2024-07-14T00:00:00"/>
    <x v="10"/>
    <x v="0"/>
    <s v="Shopping"/>
    <x v="4"/>
    <s v="USA"/>
    <n v="46846"/>
    <n v="2183"/>
    <n v="4.6600000000000003E-2"/>
    <n v="3.36"/>
    <n v="7334.88"/>
    <n v="46"/>
    <n v="159.44999999999999"/>
    <n v="5098.84"/>
    <n v="-2236.04"/>
    <n v="-0.30485024976550401"/>
    <n v="0.7"/>
  </r>
  <r>
    <d v="2024-07-03T00:00:00"/>
    <x v="10"/>
    <x v="0"/>
    <s v="Shopping"/>
    <x v="2"/>
    <s v="Canada"/>
    <n v="183428"/>
    <n v="4549"/>
    <n v="2.4799999999999999E-2"/>
    <n v="2.11"/>
    <n v="9598.39"/>
    <n v="135"/>
    <n v="71.099999999999994"/>
    <n v="6604"/>
    <n v="-2994.3899999999994"/>
    <n v="-0.31196794462404626"/>
    <n v="0.69"/>
  </r>
  <r>
    <d v="2024-05-09T00:00:00"/>
    <x v="8"/>
    <x v="0"/>
    <s v="Shopping"/>
    <x v="1"/>
    <s v="Australia"/>
    <n v="173913"/>
    <n v="5860"/>
    <n v="3.3700000000000001E-2"/>
    <n v="3.46"/>
    <n v="20275.599999999999"/>
    <n v="111"/>
    <n v="182.66"/>
    <n v="20779.66"/>
    <n v="504.06000000000131"/>
    <n v="2.4860423366016363E-2"/>
    <n v="1.02"/>
  </r>
  <r>
    <d v="2024-05-05T00:00:00"/>
    <x v="8"/>
    <x v="0"/>
    <s v="Video"/>
    <x v="3"/>
    <s v="USA"/>
    <n v="190541"/>
    <n v="9527"/>
    <n v="0.05"/>
    <n v="2.17"/>
    <n v="20673.59"/>
    <n v="157"/>
    <n v="131.68"/>
    <n v="5416.71"/>
    <n v="-15256.880000000001"/>
    <n v="-0.73798890274983686"/>
    <n v="0.26"/>
  </r>
  <r>
    <d v="2024-09-11T00:00:00"/>
    <x v="7"/>
    <x v="1"/>
    <s v="Video"/>
    <x v="3"/>
    <s v="Canada"/>
    <n v="122116"/>
    <n v="5507"/>
    <n v="4.5100000000000001E-2"/>
    <n v="0.98"/>
    <n v="5396.86"/>
    <n v="110"/>
    <n v="49.06"/>
    <n v="3555.98"/>
    <n v="-1840.8799999999997"/>
    <n v="-0.34110204822804369"/>
    <n v="0.66"/>
  </r>
  <r>
    <d v="2024-03-23T00:00:00"/>
    <x v="11"/>
    <x v="0"/>
    <s v="Display"/>
    <x v="0"/>
    <s v="India"/>
    <n v="47879"/>
    <n v="1149"/>
    <n v="2.4E-2"/>
    <n v="3.06"/>
    <n v="3515.94"/>
    <n v="25"/>
    <n v="140.63999999999999"/>
    <n v="3124.11"/>
    <n v="-391.82999999999993"/>
    <n v="-0.11144388129490262"/>
    <n v="0.89"/>
  </r>
  <r>
    <d v="2024-10-08T00:00:00"/>
    <x v="3"/>
    <x v="2"/>
    <s v="Search"/>
    <x v="2"/>
    <s v="USA"/>
    <n v="164876"/>
    <n v="5820"/>
    <n v="3.5299999999999998E-2"/>
    <n v="0.74"/>
    <n v="4306.8"/>
    <n v="463"/>
    <n v="9.3000000000000007"/>
    <n v="73917.740000000005"/>
    <n v="69610.94"/>
    <n v="16.163030556329524"/>
    <n v="17.16"/>
  </r>
  <r>
    <d v="2024-05-13T00:00:00"/>
    <x v="8"/>
    <x v="2"/>
    <s v="Display"/>
    <x v="3"/>
    <s v="USA"/>
    <n v="163253"/>
    <n v="1779"/>
    <n v="1.09E-2"/>
    <n v="0.51"/>
    <n v="907.29"/>
    <n v="121"/>
    <n v="7.5"/>
    <n v="18762.73"/>
    <n v="17855.439999999999"/>
    <n v="19.679970020610828"/>
    <n v="20.68"/>
  </r>
  <r>
    <d v="2024-10-04T00:00:00"/>
    <x v="3"/>
    <x v="2"/>
    <s v="Shopping"/>
    <x v="0"/>
    <s v="India"/>
    <n v="120631"/>
    <n v="1532"/>
    <n v="1.2699999999999999E-2"/>
    <n v="0.77"/>
    <n v="1179.6400000000001"/>
    <n v="114"/>
    <n v="10.35"/>
    <n v="25286.78"/>
    <n v="24107.14"/>
    <n v="20.436014377267639"/>
    <n v="21.44"/>
  </r>
  <r>
    <d v="2024-04-29T00:00:00"/>
    <x v="5"/>
    <x v="2"/>
    <s v="Display"/>
    <x v="0"/>
    <s v="Australia"/>
    <n v="12610"/>
    <n v="197"/>
    <n v="1.5699999999999999E-2"/>
    <n v="0.66"/>
    <n v="130.02000000000001"/>
    <n v="11"/>
    <n v="11.82"/>
    <n v="2637.16"/>
    <n v="2507.14"/>
    <n v="19.282725734502382"/>
    <n v="20.28"/>
  </r>
  <r>
    <d v="2024-01-12T00:00:00"/>
    <x v="0"/>
    <x v="2"/>
    <s v="Video"/>
    <x v="2"/>
    <s v="UK"/>
    <n v="62676"/>
    <n v="595"/>
    <n v="9.4999999999999998E-3"/>
    <n v="2.42"/>
    <n v="1439.9"/>
    <n v="32"/>
    <n v="45"/>
    <n v="1319.08"/>
    <n v="-120.82000000000016"/>
    <n v="-8.3908604764219852E-2"/>
    <n v="0.92"/>
  </r>
  <r>
    <d v="2024-07-10T00:00:00"/>
    <x v="10"/>
    <x v="0"/>
    <s v="Search"/>
    <x v="0"/>
    <s v="UK"/>
    <n v="59943"/>
    <n v="2163"/>
    <n v="3.61E-2"/>
    <n v="3.29"/>
    <n v="7116.27"/>
    <n v="114"/>
    <n v="62.42"/>
    <n v="4800.8100000000004"/>
    <n v="-2315.46"/>
    <n v="-0.32537551273349663"/>
    <n v="0.67"/>
  </r>
  <r>
    <d v="2024-10-20T00:00:00"/>
    <x v="3"/>
    <x v="2"/>
    <s v="Display"/>
    <x v="3"/>
    <s v="USA"/>
    <n v="78302"/>
    <n v="900"/>
    <n v="1.15E-2"/>
    <n v="0.49"/>
    <n v="441"/>
    <n v="52"/>
    <n v="8.48"/>
    <n v="6354.23"/>
    <n v="5913.23"/>
    <n v="13.408684807256234"/>
    <n v="14.41"/>
  </r>
  <r>
    <d v="2024-09-04T00:00:00"/>
    <x v="7"/>
    <x v="0"/>
    <s v="Video"/>
    <x v="1"/>
    <s v="UK"/>
    <n v="154805"/>
    <n v="9535"/>
    <n v="6.1600000000000002E-2"/>
    <n v="0.96"/>
    <n v="9153.6"/>
    <n v="525"/>
    <n v="17.440000000000001"/>
    <n v="18155.37"/>
    <n v="9001.7699999999986"/>
    <n v="0.98341308337703182"/>
    <n v="1.98"/>
  </r>
  <r>
    <d v="2024-05-09T00:00:00"/>
    <x v="8"/>
    <x v="1"/>
    <s v="Video"/>
    <x v="0"/>
    <s v="Australia"/>
    <n v="41839"/>
    <n v="2991"/>
    <n v="7.1499999999999994E-2"/>
    <n v="0.99"/>
    <n v="2961.09"/>
    <n v="45"/>
    <n v="65.8"/>
    <n v="9665.89"/>
    <n v="6704.7999999999993"/>
    <n v="2.2643013214728356"/>
    <n v="3.26"/>
  </r>
  <r>
    <d v="2024-06-17T00:00:00"/>
    <x v="1"/>
    <x v="2"/>
    <s v="Shopping"/>
    <x v="3"/>
    <s v="India"/>
    <n v="127872"/>
    <n v="2953"/>
    <n v="2.3099999999999999E-2"/>
    <n v="0.59"/>
    <n v="1742.27"/>
    <n v="150"/>
    <n v="11.62"/>
    <n v="15282.38"/>
    <n v="13540.109999999999"/>
    <n v="7.7715336888082787"/>
    <n v="8.77"/>
  </r>
  <r>
    <d v="2024-11-04T00:00:00"/>
    <x v="6"/>
    <x v="0"/>
    <s v="Display"/>
    <x v="0"/>
    <s v="Germany"/>
    <n v="146779"/>
    <n v="5019"/>
    <n v="3.4200000000000001E-2"/>
    <n v="2.2200000000000002"/>
    <n v="11142.18"/>
    <n v="349"/>
    <n v="31.93"/>
    <n v="91145.36"/>
    <n v="80003.179999999993"/>
    <n v="7.1802088998741711"/>
    <n v="8.18"/>
  </r>
  <r>
    <d v="2024-06-26T00:00:00"/>
    <x v="1"/>
    <x v="0"/>
    <s v="Shopping"/>
    <x v="1"/>
    <s v="USA"/>
    <n v="133588"/>
    <n v="6545"/>
    <n v="4.9000000000000002E-2"/>
    <n v="1.68"/>
    <n v="10995.6"/>
    <n v="241"/>
    <n v="45.62"/>
    <n v="34421.71"/>
    <n v="23426.11"/>
    <n v="2.1304985630615882"/>
    <n v="3.13"/>
  </r>
  <r>
    <d v="2024-01-29T00:00:00"/>
    <x v="0"/>
    <x v="0"/>
    <s v="Video"/>
    <x v="0"/>
    <s v="UK"/>
    <n v="82462"/>
    <n v="3916"/>
    <n v="4.7500000000000001E-2"/>
    <n v="2.1"/>
    <n v="8223.6"/>
    <n v="199"/>
    <n v="41.32"/>
    <n v="48785.37"/>
    <n v="40561.770000000004"/>
    <n v="4.9323617393842119"/>
    <n v="5.93"/>
  </r>
  <r>
    <d v="2024-01-18T00:00:00"/>
    <x v="0"/>
    <x v="0"/>
    <s v="Display"/>
    <x v="4"/>
    <s v="Australia"/>
    <n v="55248"/>
    <n v="1646"/>
    <n v="2.98E-2"/>
    <n v="2.6"/>
    <n v="4279.6000000000004"/>
    <n v="43"/>
    <n v="99.53"/>
    <n v="12311.15"/>
    <n v="8031.5499999999993"/>
    <n v="1.8767057668941018"/>
    <n v="2.88"/>
  </r>
  <r>
    <d v="2024-08-09T00:00:00"/>
    <x v="4"/>
    <x v="0"/>
    <s v="Display"/>
    <x v="2"/>
    <s v="UAE"/>
    <n v="90374"/>
    <n v="2349"/>
    <n v="2.5999999999999999E-2"/>
    <n v="0.97"/>
    <n v="2278.5300000000002"/>
    <n v="69"/>
    <n v="33.020000000000003"/>
    <n v="5506.03"/>
    <n v="3227.4999999999995"/>
    <n v="1.416483434495047"/>
    <n v="2.42"/>
  </r>
  <r>
    <d v="2024-03-06T00:00:00"/>
    <x v="11"/>
    <x v="2"/>
    <s v="Video"/>
    <x v="1"/>
    <s v="USA"/>
    <n v="104976"/>
    <n v="1238"/>
    <n v="1.18E-2"/>
    <n v="1.52"/>
    <n v="1881.76"/>
    <n v="16"/>
    <n v="117.61"/>
    <n v="4162.9799999999996"/>
    <n v="2281.2199999999993"/>
    <n v="1.212279993197857"/>
    <n v="2.21"/>
  </r>
  <r>
    <d v="2024-11-10T00:00:00"/>
    <x v="6"/>
    <x v="0"/>
    <s v="Display"/>
    <x v="3"/>
    <s v="Australia"/>
    <n v="124774"/>
    <n v="3481"/>
    <n v="2.7900000000000001E-2"/>
    <n v="1.21"/>
    <n v="4212.01"/>
    <n v="113"/>
    <n v="37.270000000000003"/>
    <n v="4447.1899999999996"/>
    <n v="235.17999999999938"/>
    <n v="5.5835574939280624E-2"/>
    <n v="1.06"/>
  </r>
  <r>
    <d v="2024-08-14T00:00:00"/>
    <x v="4"/>
    <x v="0"/>
    <s v="Search"/>
    <x v="3"/>
    <s v="USA"/>
    <n v="109263"/>
    <n v="2829"/>
    <n v="2.5899999999999999E-2"/>
    <n v="0.88"/>
    <n v="2489.52"/>
    <n v="129"/>
    <n v="19.3"/>
    <n v="14321.34"/>
    <n v="11831.82"/>
    <n v="4.7526511134676559"/>
    <n v="5.75"/>
  </r>
  <r>
    <d v="2024-06-13T00:00:00"/>
    <x v="1"/>
    <x v="0"/>
    <s v="Video"/>
    <x v="0"/>
    <s v="UAE"/>
    <n v="105814"/>
    <n v="6126"/>
    <n v="5.79E-2"/>
    <n v="2.79"/>
    <n v="17091.54"/>
    <n v="289"/>
    <n v="59.14"/>
    <n v="45447.24"/>
    <n v="28355.699999999997"/>
    <n v="1.6590488627707038"/>
    <n v="2.66"/>
  </r>
  <r>
    <d v="2024-08-16T00:00:00"/>
    <x v="4"/>
    <x v="1"/>
    <s v="Shopping"/>
    <x v="2"/>
    <s v="Canada"/>
    <n v="41113"/>
    <n v="2347"/>
    <n v="5.7099999999999998E-2"/>
    <n v="0.96"/>
    <n v="2253.12"/>
    <n v="33"/>
    <n v="68.28"/>
    <n v="2659.26"/>
    <n v="406.14000000000033"/>
    <n v="0.18025671069450377"/>
    <n v="1.18"/>
  </r>
  <r>
    <d v="2024-01-15T00:00:00"/>
    <x v="0"/>
    <x v="0"/>
    <s v="Search"/>
    <x v="3"/>
    <s v="Canada"/>
    <n v="43098"/>
    <n v="1620"/>
    <n v="3.7600000000000001E-2"/>
    <n v="2.73"/>
    <n v="4422.6000000000004"/>
    <n v="39"/>
    <n v="113.4"/>
    <n v="7135.44"/>
    <n v="2712.8399999999992"/>
    <n v="0.61340388007054647"/>
    <n v="1.61"/>
  </r>
  <r>
    <d v="2024-08-28T00:00:00"/>
    <x v="4"/>
    <x v="2"/>
    <s v="Display"/>
    <x v="4"/>
    <s v="Canada"/>
    <n v="25991"/>
    <n v="309"/>
    <n v="1.1900000000000001E-2"/>
    <n v="1.52"/>
    <n v="469.68"/>
    <n v="14"/>
    <n v="33.549999999999997"/>
    <n v="2306.63"/>
    <n v="1836.95"/>
    <n v="3.9110671095213765"/>
    <n v="4.91"/>
  </r>
  <r>
    <d v="2024-11-21T00:00:00"/>
    <x v="6"/>
    <x v="0"/>
    <s v="Display"/>
    <x v="1"/>
    <s v="India"/>
    <n v="150778"/>
    <n v="2985"/>
    <n v="1.9800000000000002E-2"/>
    <n v="1.39"/>
    <n v="4149.1499999999996"/>
    <n v="59"/>
    <n v="70.319999999999993"/>
    <n v="16435.61"/>
    <n v="12286.460000000001"/>
    <n v="2.9611992817806061"/>
    <n v="3.96"/>
  </r>
  <r>
    <d v="2024-07-17T00:00:00"/>
    <x v="10"/>
    <x v="0"/>
    <s v="Video"/>
    <x v="1"/>
    <s v="Germany"/>
    <n v="113500"/>
    <n v="7604"/>
    <n v="6.7000000000000004E-2"/>
    <n v="1.3"/>
    <n v="9885.2000000000007"/>
    <n v="340"/>
    <n v="29.07"/>
    <n v="21520.639999999999"/>
    <n v="11635.439999999999"/>
    <n v="1.1770566098814388"/>
    <n v="2.1800000000000002"/>
  </r>
  <r>
    <d v="2024-10-31T00:00:00"/>
    <x v="3"/>
    <x v="2"/>
    <s v="Video"/>
    <x v="1"/>
    <s v="UAE"/>
    <n v="140453"/>
    <n v="4213"/>
    <n v="0.03"/>
    <n v="1.0900000000000001"/>
    <n v="4592.17"/>
    <n v="56"/>
    <n v="82"/>
    <n v="4347.7700000000004"/>
    <n v="-244.39999999999964"/>
    <n v="-5.3221026225074339E-2"/>
    <n v="0.95"/>
  </r>
  <r>
    <d v="2024-04-21T00:00:00"/>
    <x v="5"/>
    <x v="1"/>
    <s v="Display"/>
    <x v="3"/>
    <s v="Germany"/>
    <n v="27936"/>
    <n v="1402"/>
    <n v="5.0200000000000002E-2"/>
    <n v="1.32"/>
    <n v="1850.64"/>
    <n v="99"/>
    <n v="18.690000000000001"/>
    <n v="26865.9"/>
    <n v="25015.260000000002"/>
    <n v="13.51708598106601"/>
    <n v="14.52"/>
  </r>
  <r>
    <d v="2024-02-27T00:00:00"/>
    <x v="2"/>
    <x v="1"/>
    <s v="Display"/>
    <x v="3"/>
    <s v="UK"/>
    <n v="133303"/>
    <n v="4225"/>
    <n v="3.1699999999999999E-2"/>
    <n v="1.53"/>
    <n v="6464.25"/>
    <n v="139"/>
    <n v="46.51"/>
    <n v="8508.68"/>
    <n v="2044.4300000000003"/>
    <n v="0.31626716169702601"/>
    <n v="1.32"/>
  </r>
  <r>
    <d v="2024-05-02T00:00:00"/>
    <x v="8"/>
    <x v="0"/>
    <s v="Video"/>
    <x v="1"/>
    <s v="UAE"/>
    <n v="117333"/>
    <n v="2898"/>
    <n v="2.47E-2"/>
    <n v="3.93"/>
    <n v="11389.14"/>
    <n v="48"/>
    <n v="237.27"/>
    <n v="5367.73"/>
    <n v="-6021.41"/>
    <n v="-0.52869751359628558"/>
    <n v="0.47"/>
  </r>
  <r>
    <d v="2024-09-14T00:00:00"/>
    <x v="7"/>
    <x v="2"/>
    <s v="Display"/>
    <x v="3"/>
    <s v="USA"/>
    <n v="152680"/>
    <n v="6214"/>
    <n v="4.07E-2"/>
    <n v="2.1"/>
    <n v="13049.4"/>
    <n v="283"/>
    <n v="46.11"/>
    <n v="13261.37"/>
    <n v="211.97000000000116"/>
    <n v="1.624365871227805E-2"/>
    <n v="1.02"/>
  </r>
  <r>
    <d v="2024-09-20T00:00:00"/>
    <x v="7"/>
    <x v="0"/>
    <s v="Display"/>
    <x v="2"/>
    <s v="USA"/>
    <n v="168384"/>
    <n v="4681"/>
    <n v="2.7799999999999998E-2"/>
    <n v="2.57"/>
    <n v="12030.17"/>
    <n v="267"/>
    <n v="45.06"/>
    <n v="58628.480000000003"/>
    <n v="46598.310000000005"/>
    <n v="3.8734539910907331"/>
    <n v="4.87"/>
  </r>
  <r>
    <d v="2024-08-22T00:00:00"/>
    <x v="4"/>
    <x v="0"/>
    <s v="Display"/>
    <x v="0"/>
    <s v="Australia"/>
    <n v="106026"/>
    <n v="5152"/>
    <n v="4.8599999999999997E-2"/>
    <n v="1.72"/>
    <n v="8861.44"/>
    <n v="240"/>
    <n v="36.92"/>
    <n v="50663.13"/>
    <n v="41801.689999999995"/>
    <n v="4.7172570146612731"/>
    <n v="5.72"/>
  </r>
  <r>
    <d v="2024-04-22T00:00:00"/>
    <x v="5"/>
    <x v="0"/>
    <s v="Search"/>
    <x v="4"/>
    <s v="Germany"/>
    <n v="107364"/>
    <n v="4895"/>
    <n v="4.5600000000000002E-2"/>
    <n v="2.65"/>
    <n v="12971.75"/>
    <n v="200"/>
    <n v="64.86"/>
    <n v="42108.23"/>
    <n v="29136.480000000003"/>
    <n v="2.2461487463141059"/>
    <n v="3.25"/>
  </r>
  <r>
    <d v="2024-06-25T00:00:00"/>
    <x v="1"/>
    <x v="0"/>
    <s v="Video"/>
    <x v="1"/>
    <s v="UK"/>
    <n v="132152"/>
    <n v="7572"/>
    <n v="5.7299999999999997E-2"/>
    <n v="1.1399999999999999"/>
    <n v="8632.08"/>
    <n v="552"/>
    <n v="15.64"/>
    <n v="115644.47"/>
    <n v="107012.39"/>
    <n v="12.397057256188543"/>
    <n v="13.4"/>
  </r>
  <r>
    <d v="2024-07-14T00:00:00"/>
    <x v="10"/>
    <x v="0"/>
    <s v="Shopping"/>
    <x v="0"/>
    <s v="Australia"/>
    <n v="116695"/>
    <n v="5799"/>
    <n v="4.9700000000000001E-2"/>
    <n v="3.13"/>
    <n v="18150.87"/>
    <n v="372"/>
    <n v="48.79"/>
    <n v="56034.95"/>
    <n v="37884.080000000002"/>
    <n v="2.0871770884811585"/>
    <n v="3.09"/>
  </r>
  <r>
    <d v="2024-11-28T00:00:00"/>
    <x v="6"/>
    <x v="2"/>
    <s v="Search"/>
    <x v="4"/>
    <s v="UK"/>
    <n v="116030"/>
    <n v="4177"/>
    <n v="3.5999999999999997E-2"/>
    <n v="0.9"/>
    <n v="3759.3"/>
    <n v="188"/>
    <n v="20"/>
    <n v="8691.11"/>
    <n v="4931.8100000000004"/>
    <n v="1.3118958316707898"/>
    <n v="2.31"/>
  </r>
  <r>
    <d v="2024-08-11T00:00:00"/>
    <x v="4"/>
    <x v="1"/>
    <s v="Search"/>
    <x v="4"/>
    <s v="Australia"/>
    <n v="164599"/>
    <n v="11209"/>
    <n v="6.8099999999999994E-2"/>
    <n v="0.41"/>
    <n v="4595.6899999999996"/>
    <n v="653"/>
    <n v="7.04"/>
    <n v="133415.01"/>
    <n v="128819.32"/>
    <n v="28.030463325420126"/>
    <n v="29.03"/>
  </r>
  <r>
    <d v="2024-04-18T00:00:00"/>
    <x v="5"/>
    <x v="1"/>
    <s v="Video"/>
    <x v="0"/>
    <s v="India"/>
    <n v="188844"/>
    <n v="12860"/>
    <n v="6.8099999999999994E-2"/>
    <n v="0.98"/>
    <n v="12602.8"/>
    <n v="892"/>
    <n v="14.13"/>
    <n v="133607.64000000001"/>
    <n v="121004.84000000001"/>
    <n v="9.6014250801409222"/>
    <n v="10.6"/>
  </r>
  <r>
    <d v="2024-09-10T00:00:00"/>
    <x v="7"/>
    <x v="1"/>
    <s v="Search"/>
    <x v="4"/>
    <s v="Canada"/>
    <n v="90468"/>
    <n v="5753"/>
    <n v="6.3600000000000004E-2"/>
    <n v="0.8"/>
    <n v="4602.3999999999996"/>
    <n v="141"/>
    <n v="32.64"/>
    <n v="12042.73"/>
    <n v="7440.33"/>
    <n v="1.6166195897792457"/>
    <n v="2.62"/>
  </r>
  <r>
    <d v="2024-06-24T00:00:00"/>
    <x v="1"/>
    <x v="0"/>
    <s v="Video"/>
    <x v="4"/>
    <s v="Australia"/>
    <n v="117223"/>
    <n v="7935"/>
    <n v="6.7699999999999996E-2"/>
    <n v="2.02"/>
    <n v="16028.7"/>
    <n v="166"/>
    <n v="96.56"/>
    <n v="47449.87"/>
    <n v="31421.170000000002"/>
    <n v="1.960306824633314"/>
    <n v="2.96"/>
  </r>
  <r>
    <d v="2024-03-26T00:00:00"/>
    <x v="11"/>
    <x v="1"/>
    <s v="Shopping"/>
    <x v="3"/>
    <s v="Germany"/>
    <n v="93478"/>
    <n v="5786"/>
    <n v="6.1899999999999997E-2"/>
    <n v="0.42"/>
    <n v="2430.12"/>
    <n v="272"/>
    <n v="8.93"/>
    <n v="27905.19"/>
    <n v="25475.07"/>
    <n v="10.483050219742235"/>
    <n v="11.48"/>
  </r>
  <r>
    <d v="2024-11-29T00:00:00"/>
    <x v="6"/>
    <x v="0"/>
    <s v="Video"/>
    <x v="1"/>
    <s v="Canada"/>
    <n v="9134"/>
    <n v="228"/>
    <n v="2.5000000000000001E-2"/>
    <n v="1.39"/>
    <n v="316.92"/>
    <n v="2"/>
    <n v="158.46"/>
    <n v="329.55"/>
    <n v="12.629999999999995"/>
    <n v="3.9852328663385068E-2"/>
    <n v="1.04"/>
  </r>
  <r>
    <d v="2024-05-10T00:00:00"/>
    <x v="8"/>
    <x v="2"/>
    <s v="Display"/>
    <x v="4"/>
    <s v="UAE"/>
    <n v="29485"/>
    <n v="1341"/>
    <n v="4.5499999999999999E-2"/>
    <n v="1.41"/>
    <n v="1890.81"/>
    <n v="46"/>
    <n v="41.1"/>
    <n v="4626.55"/>
    <n v="2735.7400000000002"/>
    <n v="1.4468613980251852"/>
    <n v="2.4500000000000002"/>
  </r>
  <r>
    <d v="2024-12-23T00:00:00"/>
    <x v="9"/>
    <x v="1"/>
    <s v="Video"/>
    <x v="3"/>
    <s v="Canada"/>
    <n v="22221"/>
    <n v="1706"/>
    <n v="7.6799999999999993E-2"/>
    <n v="0.5"/>
    <n v="853"/>
    <n v="74"/>
    <n v="11.53"/>
    <n v="14659.06"/>
    <n v="13806.06"/>
    <n v="16.185298944900349"/>
    <n v="17.190000000000001"/>
  </r>
  <r>
    <d v="2024-06-19T00:00:00"/>
    <x v="1"/>
    <x v="0"/>
    <s v="Display"/>
    <x v="3"/>
    <s v="Germany"/>
    <n v="178567"/>
    <n v="8374"/>
    <n v="4.6899999999999997E-2"/>
    <n v="1.33"/>
    <n v="11137.42"/>
    <n v="98"/>
    <n v="113.65"/>
    <n v="8808.2900000000009"/>
    <n v="-2329.1299999999992"/>
    <n v="-0.20912653020178812"/>
    <n v="0.79"/>
  </r>
  <r>
    <d v="2024-10-06T00:00:00"/>
    <x v="3"/>
    <x v="1"/>
    <s v="Display"/>
    <x v="4"/>
    <s v="Australia"/>
    <n v="93074"/>
    <n v="4225"/>
    <n v="4.5400000000000003E-2"/>
    <n v="1.54"/>
    <n v="6506.5"/>
    <n v="300"/>
    <n v="21.69"/>
    <n v="11467.08"/>
    <n v="4960.58"/>
    <n v="0.76240375009605776"/>
    <n v="1.76"/>
  </r>
  <r>
    <d v="2024-12-24T00:00:00"/>
    <x v="9"/>
    <x v="0"/>
    <s v="Search"/>
    <x v="2"/>
    <s v="Australia"/>
    <n v="155840"/>
    <n v="4566"/>
    <n v="2.93E-2"/>
    <n v="1.1200000000000001"/>
    <n v="5113.92"/>
    <n v="312"/>
    <n v="16.39"/>
    <n v="40138.5"/>
    <n v="35024.58"/>
    <n v="6.848871315937676"/>
    <n v="7.85"/>
  </r>
  <r>
    <d v="2024-07-21T00:00:00"/>
    <x v="10"/>
    <x v="1"/>
    <s v="Display"/>
    <x v="4"/>
    <s v="India"/>
    <n v="21956"/>
    <n v="1611"/>
    <n v="7.3400000000000007E-2"/>
    <n v="1.41"/>
    <n v="2271.5100000000002"/>
    <n v="79"/>
    <n v="28.75"/>
    <n v="9545.2800000000007"/>
    <n v="7273.77"/>
    <n v="3.2021738843324483"/>
    <n v="4.2"/>
  </r>
  <r>
    <d v="2024-05-06T00:00:00"/>
    <x v="8"/>
    <x v="2"/>
    <s v="Search"/>
    <x v="4"/>
    <s v="USA"/>
    <n v="177224"/>
    <n v="2374"/>
    <n v="1.34E-2"/>
    <n v="1.57"/>
    <n v="3727.18"/>
    <n v="142"/>
    <n v="26.25"/>
    <n v="18303.419999999998"/>
    <n v="14576.239999999998"/>
    <n v="3.9107958295547838"/>
    <n v="4.91"/>
  </r>
  <r>
    <d v="2024-11-04T00:00:00"/>
    <x v="6"/>
    <x v="0"/>
    <s v="Search"/>
    <x v="1"/>
    <s v="UAE"/>
    <n v="93720"/>
    <n v="2661"/>
    <n v="2.8400000000000002E-2"/>
    <n v="1.7"/>
    <n v="4523.7"/>
    <n v="104"/>
    <n v="43.5"/>
    <n v="18904.07"/>
    <n v="14380.369999999999"/>
    <n v="3.1788955943143886"/>
    <n v="4.18"/>
  </r>
  <r>
    <d v="2024-05-28T00:00:00"/>
    <x v="8"/>
    <x v="0"/>
    <s v="Display"/>
    <x v="1"/>
    <s v="USA"/>
    <n v="169909"/>
    <n v="7781"/>
    <n v="4.58E-2"/>
    <n v="2.5"/>
    <n v="19452.5"/>
    <n v="124"/>
    <n v="156.88"/>
    <n v="26123.279999999999"/>
    <n v="6670.7799999999988"/>
    <n v="0.34292661611618036"/>
    <n v="1.34"/>
  </r>
  <r>
    <d v="2024-08-05T00:00:00"/>
    <x v="4"/>
    <x v="2"/>
    <s v="Video"/>
    <x v="2"/>
    <s v="USA"/>
    <n v="46548"/>
    <n v="1047"/>
    <n v="2.2499999999999999E-2"/>
    <n v="1.55"/>
    <n v="1622.85"/>
    <n v="28"/>
    <n v="57.96"/>
    <n v="7800.92"/>
    <n v="6178.07"/>
    <n v="3.8069260868225654"/>
    <n v="4.8099999999999996"/>
  </r>
  <r>
    <d v="2024-12-08T00:00:00"/>
    <x v="9"/>
    <x v="2"/>
    <s v="Search"/>
    <x v="2"/>
    <s v="USA"/>
    <n v="6875"/>
    <n v="158"/>
    <n v="2.3099999999999999E-2"/>
    <n v="1.83"/>
    <n v="289.14"/>
    <n v="2"/>
    <n v="144.57"/>
    <n v="386.94"/>
    <n v="97.800000000000011"/>
    <n v="0.33824444905582074"/>
    <n v="1.34"/>
  </r>
  <r>
    <d v="2024-12-26T00:00:00"/>
    <x v="9"/>
    <x v="0"/>
    <s v="Search"/>
    <x v="3"/>
    <s v="India"/>
    <n v="106975"/>
    <n v="4300"/>
    <n v="4.02E-2"/>
    <n v="2.39"/>
    <n v="10277"/>
    <n v="335"/>
    <n v="30.68"/>
    <n v="35904.36"/>
    <n v="25627.360000000001"/>
    <n v="2.4936615743894133"/>
    <n v="3.49"/>
  </r>
  <r>
    <d v="2024-02-08T00:00:00"/>
    <x v="2"/>
    <x v="0"/>
    <s v="Shopping"/>
    <x v="3"/>
    <s v="UK"/>
    <n v="10574"/>
    <n v="389"/>
    <n v="3.6799999999999999E-2"/>
    <n v="2.59"/>
    <n v="1007.51"/>
    <n v="6"/>
    <n v="167.92"/>
    <n v="908.68"/>
    <n v="-98.830000000000041"/>
    <n v="-9.8093319173010729E-2"/>
    <n v="0.9"/>
  </r>
  <r>
    <d v="2024-07-16T00:00:00"/>
    <x v="10"/>
    <x v="1"/>
    <s v="Video"/>
    <x v="0"/>
    <s v="Australia"/>
    <n v="147658"/>
    <n v="6939"/>
    <n v="4.7E-2"/>
    <n v="0.86"/>
    <n v="5967.54"/>
    <n v="282"/>
    <n v="21.16"/>
    <n v="39581.75"/>
    <n v="33614.21"/>
    <n v="5.6328420085998587"/>
    <n v="6.63"/>
  </r>
  <r>
    <d v="2024-06-02T00:00:00"/>
    <x v="1"/>
    <x v="2"/>
    <s v="Shopping"/>
    <x v="3"/>
    <s v="Canada"/>
    <n v="52013"/>
    <n v="1565"/>
    <n v="3.0099999999999998E-2"/>
    <n v="1.03"/>
    <n v="1611.95"/>
    <n v="23"/>
    <n v="70.08"/>
    <n v="6481.69"/>
    <n v="4869.74"/>
    <n v="3.0210242253171624"/>
    <n v="4.0199999999999996"/>
  </r>
  <r>
    <d v="2024-10-18T00:00:00"/>
    <x v="3"/>
    <x v="0"/>
    <s v="Search"/>
    <x v="4"/>
    <s v="India"/>
    <n v="49484"/>
    <n v="1118"/>
    <n v="2.2599999999999999E-2"/>
    <n v="2.0499999999999998"/>
    <n v="2291.9"/>
    <n v="79"/>
    <n v="29.01"/>
    <n v="18417.53"/>
    <n v="16125.63"/>
    <n v="7.0359221606527331"/>
    <n v="8.0399999999999991"/>
  </r>
  <r>
    <d v="2024-07-04T00:00:00"/>
    <x v="10"/>
    <x v="0"/>
    <s v="Search"/>
    <x v="2"/>
    <s v="USA"/>
    <n v="18877"/>
    <n v="545"/>
    <n v="2.8899999999999999E-2"/>
    <n v="3.2"/>
    <n v="1744"/>
    <n v="26"/>
    <n v="67.08"/>
    <n v="5981"/>
    <n v="4237"/>
    <n v="2.4294724770642202"/>
    <n v="3.43"/>
  </r>
  <r>
    <d v="2024-04-15T00:00:00"/>
    <x v="5"/>
    <x v="2"/>
    <s v="Shopping"/>
    <x v="2"/>
    <s v="UK"/>
    <n v="106505"/>
    <n v="1022"/>
    <n v="9.5999999999999992E-3"/>
    <n v="1.8"/>
    <n v="1839.6"/>
    <n v="27"/>
    <n v="68.13"/>
    <n v="2467.1799999999998"/>
    <n v="627.57999999999993"/>
    <n v="0.34115025005435962"/>
    <n v="1.34"/>
  </r>
  <r>
    <d v="2024-05-25T00:00:00"/>
    <x v="8"/>
    <x v="0"/>
    <s v="Search"/>
    <x v="4"/>
    <s v="India"/>
    <n v="65107"/>
    <n v="1777"/>
    <n v="2.7300000000000001E-2"/>
    <n v="1.63"/>
    <n v="2896.51"/>
    <n v="128"/>
    <n v="22.63"/>
    <n v="29612.560000000001"/>
    <n v="26716.050000000003"/>
    <n v="9.2235310770548011"/>
    <n v="10.220000000000001"/>
  </r>
  <r>
    <d v="2024-03-02T00:00:00"/>
    <x v="11"/>
    <x v="0"/>
    <s v="Shopping"/>
    <x v="3"/>
    <s v="India"/>
    <n v="69839"/>
    <n v="1620"/>
    <n v="2.3199999999999998E-2"/>
    <n v="1.26"/>
    <n v="2041.2"/>
    <n v="80"/>
    <n v="25.52"/>
    <n v="22785.52"/>
    <n v="20744.32"/>
    <n v="10.162806192435822"/>
    <n v="11.16"/>
  </r>
  <r>
    <d v="2024-02-27T00:00:00"/>
    <x v="2"/>
    <x v="0"/>
    <s v="Video"/>
    <x v="3"/>
    <s v="USA"/>
    <n v="104794"/>
    <n v="5920"/>
    <n v="5.6500000000000002E-2"/>
    <n v="3.66"/>
    <n v="21667.200000000001"/>
    <n v="359"/>
    <n v="60.35"/>
    <n v="21837.83"/>
    <n v="170.63000000000102"/>
    <n v="7.8750369221681164E-3"/>
    <n v="1.01"/>
  </r>
  <r>
    <d v="2024-04-14T00:00:00"/>
    <x v="5"/>
    <x v="2"/>
    <s v="Video"/>
    <x v="1"/>
    <s v="USA"/>
    <n v="33549"/>
    <n v="1224"/>
    <n v="3.6499999999999998E-2"/>
    <n v="0.76"/>
    <n v="930.24"/>
    <n v="89"/>
    <n v="10.45"/>
    <n v="26101.34"/>
    <n v="25171.1"/>
    <n v="27.058716030271757"/>
    <n v="28.06"/>
  </r>
  <r>
    <d v="2024-02-17T00:00:00"/>
    <x v="2"/>
    <x v="0"/>
    <s v="Video"/>
    <x v="3"/>
    <s v="Germany"/>
    <n v="133027"/>
    <n v="7808"/>
    <n v="5.8700000000000002E-2"/>
    <n v="1.26"/>
    <n v="9838.08"/>
    <n v="153"/>
    <n v="64.3"/>
    <n v="22193.119999999999"/>
    <n v="12355.039999999999"/>
    <n v="1.2558385376008325"/>
    <n v="2.2599999999999998"/>
  </r>
  <r>
    <d v="2024-11-12T00:00:00"/>
    <x v="6"/>
    <x v="2"/>
    <s v="Video"/>
    <x v="1"/>
    <s v="Germany"/>
    <n v="27419"/>
    <n v="1192"/>
    <n v="4.3499999999999997E-2"/>
    <n v="1.83"/>
    <n v="2181.36"/>
    <n v="38"/>
    <n v="57.4"/>
    <n v="5935.39"/>
    <n v="3754.03"/>
    <n v="1.7209584846151025"/>
    <n v="2.72"/>
  </r>
  <r>
    <d v="2024-05-24T00:00:00"/>
    <x v="8"/>
    <x v="0"/>
    <s v="Video"/>
    <x v="2"/>
    <s v="Canada"/>
    <n v="102648"/>
    <n v="2330"/>
    <n v="2.2700000000000001E-2"/>
    <n v="2.5499999999999998"/>
    <n v="5941.5"/>
    <n v="157"/>
    <n v="37.840000000000003"/>
    <n v="28653.63"/>
    <n v="22712.13"/>
    <n v="3.8226255995960616"/>
    <n v="4.82"/>
  </r>
  <r>
    <d v="2024-01-20T00:00:00"/>
    <x v="0"/>
    <x v="0"/>
    <s v="Display"/>
    <x v="4"/>
    <s v="Canada"/>
    <n v="181687"/>
    <n v="8321"/>
    <n v="4.58E-2"/>
    <n v="3.14"/>
    <n v="26127.94"/>
    <n v="651"/>
    <n v="40.14"/>
    <n v="189283.47"/>
    <n v="163155.53"/>
    <n v="6.244485022546745"/>
    <n v="7.24"/>
  </r>
  <r>
    <d v="2024-07-22T00:00:00"/>
    <x v="10"/>
    <x v="0"/>
    <s v="Display"/>
    <x v="3"/>
    <s v="UK"/>
    <n v="166792"/>
    <n v="6071"/>
    <n v="3.6400000000000002E-2"/>
    <n v="3.15"/>
    <n v="19123.650000000001"/>
    <n v="323"/>
    <n v="59.21"/>
    <n v="23590.83"/>
    <n v="4467.18"/>
    <n v="0.23359452824120919"/>
    <n v="1.23"/>
  </r>
  <r>
    <d v="2024-06-26T00:00:00"/>
    <x v="1"/>
    <x v="1"/>
    <s v="Search"/>
    <x v="3"/>
    <s v="USA"/>
    <n v="7889"/>
    <n v="416"/>
    <n v="5.28E-2"/>
    <n v="1"/>
    <n v="416"/>
    <n v="16"/>
    <n v="26"/>
    <n v="2147.9499999999998"/>
    <n v="1731.9499999999998"/>
    <n v="4.163341346153846"/>
    <n v="5.16"/>
  </r>
  <r>
    <d v="2024-11-14T00:00:00"/>
    <x v="6"/>
    <x v="2"/>
    <s v="Video"/>
    <x v="4"/>
    <s v="India"/>
    <n v="129746"/>
    <n v="4891"/>
    <n v="3.7699999999999997E-2"/>
    <n v="1.81"/>
    <n v="8852.7099999999991"/>
    <n v="117"/>
    <n v="75.66"/>
    <n v="26101.17"/>
    <n v="17248.46"/>
    <n v="1.9483819079129443"/>
    <n v="2.95"/>
  </r>
  <r>
    <d v="2024-03-17T00:00:00"/>
    <x v="11"/>
    <x v="0"/>
    <s v="Display"/>
    <x v="4"/>
    <s v="Germany"/>
    <n v="94506"/>
    <n v="3269"/>
    <n v="3.4599999999999999E-2"/>
    <n v="1.56"/>
    <n v="5099.6400000000003"/>
    <n v="193"/>
    <n v="26.42"/>
    <n v="7342.38"/>
    <n v="2242.7399999999998"/>
    <n v="0.43978398475186475"/>
    <n v="1.44"/>
  </r>
  <r>
    <d v="2024-05-17T00:00:00"/>
    <x v="8"/>
    <x v="0"/>
    <s v="Display"/>
    <x v="1"/>
    <s v="Canada"/>
    <n v="12086"/>
    <n v="594"/>
    <n v="4.9200000000000001E-2"/>
    <n v="2.46"/>
    <n v="1461.24"/>
    <n v="21"/>
    <n v="69.58"/>
    <n v="3418.15"/>
    <n v="1956.91"/>
    <n v="1.3392119022200324"/>
    <n v="2.34"/>
  </r>
  <r>
    <d v="2024-05-07T00:00:00"/>
    <x v="8"/>
    <x v="1"/>
    <s v="Display"/>
    <x v="3"/>
    <s v="UK"/>
    <n v="145497"/>
    <n v="4743"/>
    <n v="3.2599999999999997E-2"/>
    <n v="0.35"/>
    <n v="1660.05"/>
    <n v="313"/>
    <n v="5.3"/>
    <n v="81349.350000000006"/>
    <n v="79689.3"/>
    <n v="48.004156501310206"/>
    <n v="49"/>
  </r>
  <r>
    <d v="2024-05-18T00:00:00"/>
    <x v="8"/>
    <x v="2"/>
    <s v="Search"/>
    <x v="1"/>
    <s v="UAE"/>
    <n v="14491"/>
    <n v="259"/>
    <n v="1.7899999999999999E-2"/>
    <n v="1.7"/>
    <n v="440.3"/>
    <n v="3"/>
    <n v="146.77000000000001"/>
    <n v="260.32"/>
    <n v="-179.98000000000002"/>
    <n v="-0.40876674994322054"/>
    <n v="0.59"/>
  </r>
  <r>
    <d v="2024-03-13T00:00:00"/>
    <x v="11"/>
    <x v="2"/>
    <s v="Shopping"/>
    <x v="0"/>
    <s v="UAE"/>
    <n v="156043"/>
    <n v="4478"/>
    <n v="2.87E-2"/>
    <n v="1.33"/>
    <n v="5955.74"/>
    <n v="193"/>
    <n v="30.86"/>
    <n v="22322.38"/>
    <n v="16366.640000000001"/>
    <n v="2.7480447433904103"/>
    <n v="3.75"/>
  </r>
  <r>
    <d v="2024-07-19T00:00:00"/>
    <x v="10"/>
    <x v="1"/>
    <s v="Display"/>
    <x v="2"/>
    <s v="UK"/>
    <n v="115304"/>
    <n v="3551"/>
    <n v="3.0800000000000001E-2"/>
    <n v="1.56"/>
    <n v="5539.56"/>
    <n v="232"/>
    <n v="23.88"/>
    <n v="22178.1"/>
    <n v="16638.539999999997"/>
    <n v="3.0035851222840795"/>
    <n v="4"/>
  </r>
  <r>
    <d v="2024-09-24T00:00:00"/>
    <x v="7"/>
    <x v="1"/>
    <s v="Shopping"/>
    <x v="0"/>
    <s v="UAE"/>
    <n v="132571"/>
    <n v="9147"/>
    <n v="6.9000000000000006E-2"/>
    <n v="1.02"/>
    <n v="9329.94"/>
    <n v="502"/>
    <n v="18.59"/>
    <n v="55471.3"/>
    <n v="46141.36"/>
    <n v="4.9455151908801129"/>
    <n v="5.95"/>
  </r>
  <r>
    <d v="2024-11-13T00:00:00"/>
    <x v="6"/>
    <x v="0"/>
    <s v="Display"/>
    <x v="4"/>
    <s v="UAE"/>
    <n v="92502"/>
    <n v="2960"/>
    <n v="3.2000000000000001E-2"/>
    <n v="2.06"/>
    <n v="6097.6"/>
    <n v="201"/>
    <n v="30.34"/>
    <n v="47885.36"/>
    <n v="41787.760000000002"/>
    <n v="6.8531487798478086"/>
    <n v="7.85"/>
  </r>
  <r>
    <d v="2024-11-23T00:00:00"/>
    <x v="6"/>
    <x v="0"/>
    <s v="Display"/>
    <x v="1"/>
    <s v="USA"/>
    <n v="133792"/>
    <n v="6943"/>
    <n v="5.1900000000000002E-2"/>
    <n v="2.35"/>
    <n v="16316.05"/>
    <n v="186"/>
    <n v="87.72"/>
    <n v="17630.23"/>
    <n v="1314.1800000000003"/>
    <n v="8.0545230003585447E-2"/>
    <n v="1.08"/>
  </r>
  <r>
    <d v="2024-12-26T00:00:00"/>
    <x v="9"/>
    <x v="0"/>
    <s v="Display"/>
    <x v="1"/>
    <s v="UK"/>
    <n v="77258"/>
    <n v="3963"/>
    <n v="5.1299999999999998E-2"/>
    <n v="1.8"/>
    <n v="7133.4"/>
    <n v="135"/>
    <n v="52.84"/>
    <n v="34518.129999999997"/>
    <n v="27384.729999999996"/>
    <n v="3.8389449631311852"/>
    <n v="4.84"/>
  </r>
  <r>
    <d v="2024-05-10T00:00:00"/>
    <x v="8"/>
    <x v="0"/>
    <s v="Display"/>
    <x v="1"/>
    <s v="UAE"/>
    <n v="74672"/>
    <n v="2665"/>
    <n v="3.5700000000000003E-2"/>
    <n v="1.56"/>
    <n v="4157.3999999999996"/>
    <n v="129"/>
    <n v="32.229999999999997"/>
    <n v="32318.91"/>
    <n v="28161.510000000002"/>
    <n v="6.7738273921200758"/>
    <n v="7.77"/>
  </r>
  <r>
    <d v="2024-04-18T00:00:00"/>
    <x v="5"/>
    <x v="1"/>
    <s v="Search"/>
    <x v="2"/>
    <s v="Australia"/>
    <n v="41558"/>
    <n v="1757"/>
    <n v="4.2299999999999997E-2"/>
    <n v="1.21"/>
    <n v="2125.9699999999998"/>
    <n v="72"/>
    <n v="29.53"/>
    <n v="18414.150000000001"/>
    <n v="16288.180000000002"/>
    <n v="7.6615286198770463"/>
    <n v="8.66"/>
  </r>
  <r>
    <d v="2024-12-05T00:00:00"/>
    <x v="9"/>
    <x v="0"/>
    <s v="Shopping"/>
    <x v="2"/>
    <s v="Australia"/>
    <n v="134560"/>
    <n v="5947"/>
    <n v="4.4200000000000003E-2"/>
    <n v="2.84"/>
    <n v="16889.48"/>
    <n v="144"/>
    <n v="117.29"/>
    <n v="23257.77"/>
    <n v="6368.2900000000009"/>
    <n v="0.37705660565038124"/>
    <n v="1.38"/>
  </r>
  <r>
    <d v="2024-05-26T00:00:00"/>
    <x v="8"/>
    <x v="1"/>
    <s v="Search"/>
    <x v="4"/>
    <s v="Canada"/>
    <n v="143518"/>
    <n v="10491"/>
    <n v="7.3099999999999998E-2"/>
    <n v="0.85"/>
    <n v="8917.35"/>
    <n v="313"/>
    <n v="28.49"/>
    <n v="46285.52"/>
    <n v="37368.17"/>
    <n v="4.1905016624894165"/>
    <n v="5.19"/>
  </r>
  <r>
    <d v="2024-10-09T00:00:00"/>
    <x v="3"/>
    <x v="2"/>
    <s v="Video"/>
    <x v="0"/>
    <s v="UK"/>
    <n v="7402"/>
    <n v="91"/>
    <n v="1.24E-2"/>
    <n v="2.08"/>
    <n v="189.28"/>
    <n v="6"/>
    <n v="31.55"/>
    <n v="1105.17"/>
    <n v="915.8900000000001"/>
    <n v="4.8388102282333056"/>
    <n v="5.84"/>
  </r>
  <r>
    <d v="2024-09-25T00:00:00"/>
    <x v="7"/>
    <x v="0"/>
    <s v="Shopping"/>
    <x v="1"/>
    <s v="Australia"/>
    <n v="49225"/>
    <n v="2367"/>
    <n v="4.8099999999999997E-2"/>
    <n v="1.84"/>
    <n v="4355.28"/>
    <n v="137"/>
    <n v="31.79"/>
    <n v="8811.5300000000007"/>
    <n v="4456.2500000000009"/>
    <n v="1.0231833544571189"/>
    <n v="2.02"/>
  </r>
  <r>
    <d v="2024-07-28T00:00:00"/>
    <x v="10"/>
    <x v="0"/>
    <s v="Video"/>
    <x v="2"/>
    <s v="India"/>
    <n v="173678"/>
    <n v="11428"/>
    <n v="6.5799999999999997E-2"/>
    <n v="2.11"/>
    <n v="24113.08"/>
    <n v="310"/>
    <n v="77.78"/>
    <n v="83080.36"/>
    <n v="58967.28"/>
    <n v="2.4454478648103017"/>
    <n v="3.45"/>
  </r>
  <r>
    <d v="2024-03-07T00:00:00"/>
    <x v="11"/>
    <x v="2"/>
    <s v="Display"/>
    <x v="2"/>
    <s v="Australia"/>
    <n v="92793"/>
    <n v="1261"/>
    <n v="1.3599999999999999E-2"/>
    <n v="0.37"/>
    <n v="466.57"/>
    <n v="80"/>
    <n v="5.83"/>
    <n v="13024.34"/>
    <n v="12557.77"/>
    <n v="26.915082409927773"/>
    <n v="27.92"/>
  </r>
  <r>
    <d v="2024-08-09T00:00:00"/>
    <x v="4"/>
    <x v="1"/>
    <s v="Video"/>
    <x v="3"/>
    <s v="UK"/>
    <n v="122408"/>
    <n v="6671"/>
    <n v="5.45E-2"/>
    <n v="1.17"/>
    <n v="7805.07"/>
    <n v="293"/>
    <n v="26.64"/>
    <n v="67215.820000000007"/>
    <n v="59410.750000000007"/>
    <n v="7.6118151406713856"/>
    <n v="8.61"/>
  </r>
  <r>
    <d v="2024-07-04T00:00:00"/>
    <x v="10"/>
    <x v="1"/>
    <s v="Search"/>
    <x v="4"/>
    <s v="UAE"/>
    <n v="162826"/>
    <n v="7815"/>
    <n v="4.8000000000000001E-2"/>
    <n v="1.64"/>
    <n v="12816.6"/>
    <n v="120"/>
    <n v="106.81"/>
    <n v="13520.75"/>
    <n v="704.14999999999964"/>
    <n v="5.4940467830781922E-2"/>
    <n v="1.05"/>
  </r>
  <r>
    <d v="2024-07-10T00:00:00"/>
    <x v="10"/>
    <x v="2"/>
    <s v="Shopping"/>
    <x v="2"/>
    <s v="India"/>
    <n v="134614"/>
    <n v="3190"/>
    <n v="2.3699999999999999E-2"/>
    <n v="1.78"/>
    <n v="5678.2"/>
    <n v="188"/>
    <n v="30.2"/>
    <n v="41736.54"/>
    <n v="36058.340000000004"/>
    <n v="6.3503117185023434"/>
    <n v="7.35"/>
  </r>
  <r>
    <d v="2024-03-18T00:00:00"/>
    <x v="11"/>
    <x v="0"/>
    <s v="Shopping"/>
    <x v="0"/>
    <s v="India"/>
    <n v="116451"/>
    <n v="3388"/>
    <n v="2.9100000000000001E-2"/>
    <n v="3.39"/>
    <n v="11485.32"/>
    <n v="188"/>
    <n v="61.09"/>
    <n v="28791.61"/>
    <n v="17306.29"/>
    <n v="1.5068182688858474"/>
    <n v="2.5099999999999998"/>
  </r>
  <r>
    <d v="2024-02-13T00:00:00"/>
    <x v="2"/>
    <x v="0"/>
    <s v="Search"/>
    <x v="4"/>
    <s v="Germany"/>
    <n v="188276"/>
    <n v="11277"/>
    <n v="5.9900000000000002E-2"/>
    <n v="2.48"/>
    <n v="27966.959999999999"/>
    <n v="554"/>
    <n v="50.48"/>
    <n v="89376.47"/>
    <n v="61409.51"/>
    <n v="2.195787815336383"/>
    <n v="3.2"/>
  </r>
  <r>
    <d v="2024-07-14T00:00:00"/>
    <x v="10"/>
    <x v="2"/>
    <s v="Search"/>
    <x v="0"/>
    <s v="Australia"/>
    <n v="165552"/>
    <n v="4337"/>
    <n v="2.6200000000000001E-2"/>
    <n v="2.2200000000000002"/>
    <n v="9628.14"/>
    <n v="132"/>
    <n v="72.94"/>
    <n v="21448.35"/>
    <n v="11820.21"/>
    <n v="1.2276732577631817"/>
    <n v="2.23"/>
  </r>
  <r>
    <d v="2024-08-18T00:00:00"/>
    <x v="4"/>
    <x v="2"/>
    <s v="Video"/>
    <x v="1"/>
    <s v="UK"/>
    <n v="82271"/>
    <n v="3397"/>
    <n v="4.1300000000000003E-2"/>
    <n v="0.52"/>
    <n v="1766.44"/>
    <n v="36"/>
    <n v="49.07"/>
    <n v="6412.73"/>
    <n v="4646.2899999999991"/>
    <n v="2.630312945811915"/>
    <n v="3.63"/>
  </r>
  <r>
    <d v="2024-12-30T00:00:00"/>
    <x v="9"/>
    <x v="1"/>
    <s v="Search"/>
    <x v="0"/>
    <s v="Germany"/>
    <n v="61921"/>
    <n v="3814"/>
    <n v="6.1600000000000002E-2"/>
    <n v="0.31"/>
    <n v="1182.3399999999999"/>
    <n v="50"/>
    <n v="23.65"/>
    <n v="8842.35"/>
    <n v="7660.01"/>
    <n v="6.4786863338802716"/>
    <n v="7.48"/>
  </r>
  <r>
    <d v="2024-09-26T00:00:00"/>
    <x v="7"/>
    <x v="0"/>
    <s v="Shopping"/>
    <x v="4"/>
    <s v="Canada"/>
    <n v="161089"/>
    <n v="6540"/>
    <n v="4.0599999999999997E-2"/>
    <n v="2.1"/>
    <n v="13734"/>
    <n v="285"/>
    <n v="48.19"/>
    <n v="49746.79"/>
    <n v="36012.79"/>
    <n v="2.6221632445026941"/>
    <n v="3.62"/>
  </r>
  <r>
    <d v="2024-09-13T00:00:00"/>
    <x v="7"/>
    <x v="0"/>
    <s v="Shopping"/>
    <x v="2"/>
    <s v="USA"/>
    <n v="85618"/>
    <n v="2679"/>
    <n v="3.1300000000000001E-2"/>
    <n v="0.92"/>
    <n v="2464.6799999999998"/>
    <n v="74"/>
    <n v="33.31"/>
    <n v="6024.46"/>
    <n v="3559.78"/>
    <n v="1.4443173150266972"/>
    <n v="2.44"/>
  </r>
  <r>
    <d v="2024-12-12T00:00:00"/>
    <x v="9"/>
    <x v="2"/>
    <s v="Search"/>
    <x v="2"/>
    <s v="Australia"/>
    <n v="30457"/>
    <n v="606"/>
    <n v="1.9900000000000001E-2"/>
    <n v="0.57999999999999996"/>
    <n v="351.48"/>
    <n v="34"/>
    <n v="10.34"/>
    <n v="4981.9399999999996"/>
    <n v="4630.4599999999991"/>
    <n v="13.174177762603843"/>
    <n v="14.17"/>
  </r>
  <r>
    <d v="2024-01-25T00:00:00"/>
    <x v="0"/>
    <x v="1"/>
    <s v="Search"/>
    <x v="4"/>
    <s v="India"/>
    <n v="46420"/>
    <n v="1880"/>
    <n v="4.0500000000000001E-2"/>
    <n v="1.9"/>
    <n v="3572"/>
    <n v="113"/>
    <n v="31.61"/>
    <n v="5769.59"/>
    <n v="2197.59"/>
    <n v="0.61522676371780516"/>
    <n v="1.62"/>
  </r>
  <r>
    <d v="2024-08-21T00:00:00"/>
    <x v="4"/>
    <x v="0"/>
    <s v="Search"/>
    <x v="4"/>
    <s v="UK"/>
    <n v="180746"/>
    <n v="5024"/>
    <n v="2.7799999999999998E-2"/>
    <n v="1.28"/>
    <n v="6430.72"/>
    <n v="64"/>
    <n v="100.48"/>
    <n v="17709.21"/>
    <n v="11278.489999999998"/>
    <n v="1.7538456036027066"/>
    <n v="2.75"/>
  </r>
  <r>
    <d v="2024-06-26T00:00:00"/>
    <x v="1"/>
    <x v="1"/>
    <s v="Search"/>
    <x v="3"/>
    <s v="Germany"/>
    <n v="131244"/>
    <n v="5604"/>
    <n v="4.2700000000000002E-2"/>
    <n v="0.38"/>
    <n v="2129.52"/>
    <n v="229"/>
    <n v="9.3000000000000007"/>
    <n v="65541.490000000005"/>
    <n v="63411.970000000008"/>
    <n v="29.777588376723397"/>
    <n v="30.78"/>
  </r>
  <r>
    <d v="2024-03-01T00:00:00"/>
    <x v="11"/>
    <x v="0"/>
    <s v="Search"/>
    <x v="4"/>
    <s v="Germany"/>
    <n v="86678"/>
    <n v="2158"/>
    <n v="2.4899999999999999E-2"/>
    <n v="1.45"/>
    <n v="3129.1"/>
    <n v="163"/>
    <n v="19.2"/>
    <n v="27708.880000000001"/>
    <n v="24579.780000000002"/>
    <n v="7.8552235467067222"/>
    <n v="8.86"/>
  </r>
  <r>
    <d v="2024-11-03T00:00:00"/>
    <x v="6"/>
    <x v="0"/>
    <s v="Display"/>
    <x v="1"/>
    <s v="Canada"/>
    <n v="70226"/>
    <n v="4037"/>
    <n v="5.7500000000000002E-2"/>
    <n v="2.16"/>
    <n v="8719.92"/>
    <n v="240"/>
    <n v="36.33"/>
    <n v="68153.47"/>
    <n v="59433.55"/>
    <n v="6.8158366131799379"/>
    <n v="7.82"/>
  </r>
  <r>
    <d v="2024-12-01T00:00:00"/>
    <x v="9"/>
    <x v="0"/>
    <s v="Search"/>
    <x v="0"/>
    <s v="Germany"/>
    <n v="124119"/>
    <n v="6416"/>
    <n v="5.1700000000000003E-2"/>
    <n v="2.5499999999999998"/>
    <n v="16360.8"/>
    <n v="358"/>
    <n v="45.7"/>
    <n v="48445.72"/>
    <n v="32084.920000000002"/>
    <n v="1.9610850325167475"/>
    <n v="2.96"/>
  </r>
  <r>
    <d v="2024-05-16T00:00:00"/>
    <x v="8"/>
    <x v="0"/>
    <s v="Shopping"/>
    <x v="2"/>
    <s v="UAE"/>
    <n v="126292"/>
    <n v="5165"/>
    <n v="4.0899999999999999E-2"/>
    <n v="1.49"/>
    <n v="7695.85"/>
    <n v="110"/>
    <n v="69.959999999999994"/>
    <n v="14074.18"/>
    <n v="6378.33"/>
    <n v="0.82880123703034747"/>
    <n v="1.83"/>
  </r>
  <r>
    <d v="2024-02-23T00:00:00"/>
    <x v="2"/>
    <x v="0"/>
    <s v="Video"/>
    <x v="4"/>
    <s v="Canada"/>
    <n v="189935"/>
    <n v="10161"/>
    <n v="5.3499999999999999E-2"/>
    <n v="1.49"/>
    <n v="15139.89"/>
    <n v="615"/>
    <n v="24.62"/>
    <n v="31748.86"/>
    <n v="16608.97"/>
    <n v="1.0970337300997564"/>
    <n v="2.1"/>
  </r>
  <r>
    <d v="2024-04-16T00:00:00"/>
    <x v="5"/>
    <x v="0"/>
    <s v="Display"/>
    <x v="1"/>
    <s v="UAE"/>
    <n v="103066"/>
    <n v="2380"/>
    <n v="2.3099999999999999E-2"/>
    <n v="2.4900000000000002"/>
    <n v="5926.2"/>
    <n v="121"/>
    <n v="48.98"/>
    <n v="20395.259999999998"/>
    <n v="14469.059999999998"/>
    <n v="2.4415409537308896"/>
    <n v="3.44"/>
  </r>
  <r>
    <d v="2024-03-30T00:00:00"/>
    <x v="11"/>
    <x v="2"/>
    <s v="Shopping"/>
    <x v="4"/>
    <s v="USA"/>
    <n v="11083"/>
    <n v="193"/>
    <n v="1.7500000000000002E-2"/>
    <n v="0.83"/>
    <n v="160.19"/>
    <n v="11"/>
    <n v="14.56"/>
    <n v="912.82"/>
    <n v="752.63000000000011"/>
    <n v="4.6983581996379309"/>
    <n v="5.7"/>
  </r>
  <r>
    <d v="2024-04-25T00:00:00"/>
    <x v="5"/>
    <x v="2"/>
    <s v="Display"/>
    <x v="1"/>
    <s v="UAE"/>
    <n v="6074"/>
    <n v="128"/>
    <n v="2.12E-2"/>
    <n v="1.51"/>
    <n v="193.28"/>
    <n v="5"/>
    <n v="38.659999999999997"/>
    <n v="1253.71"/>
    <n v="1060.43"/>
    <n v="5.4864962748344377"/>
    <n v="6.49"/>
  </r>
  <r>
    <d v="2024-10-11T00:00:00"/>
    <x v="3"/>
    <x v="1"/>
    <s v="Video"/>
    <x v="2"/>
    <s v="Canada"/>
    <n v="54752"/>
    <n v="2814"/>
    <n v="5.1400000000000001E-2"/>
    <n v="0.86"/>
    <n v="2420.04"/>
    <n v="137"/>
    <n v="17.66"/>
    <n v="13580.22"/>
    <n v="11160.18"/>
    <n v="4.611568403828036"/>
    <n v="5.61"/>
  </r>
  <r>
    <d v="2024-02-10T00:00:00"/>
    <x v="2"/>
    <x v="2"/>
    <s v="Video"/>
    <x v="2"/>
    <s v="UK"/>
    <n v="141313"/>
    <n v="4762"/>
    <n v="3.3700000000000001E-2"/>
    <n v="1.05"/>
    <n v="5000.1000000000004"/>
    <n v="207"/>
    <n v="24.16"/>
    <n v="26737.15"/>
    <n v="21737.050000000003"/>
    <n v="4.3473230535389291"/>
    <n v="5.35"/>
  </r>
  <r>
    <d v="2024-11-28T00:00:00"/>
    <x v="6"/>
    <x v="1"/>
    <s v="Display"/>
    <x v="1"/>
    <s v="USA"/>
    <n v="34669"/>
    <n v="1965"/>
    <n v="5.67E-2"/>
    <n v="1.61"/>
    <n v="3163.65"/>
    <n v="74"/>
    <n v="42.75"/>
    <n v="12153.4"/>
    <n v="8989.75"/>
    <n v="2.8415753955083525"/>
    <n v="3.84"/>
  </r>
  <r>
    <d v="2024-03-17T00:00:00"/>
    <x v="11"/>
    <x v="2"/>
    <s v="Display"/>
    <x v="4"/>
    <s v="Australia"/>
    <n v="104714"/>
    <n v="1015"/>
    <n v="9.7000000000000003E-3"/>
    <n v="0.93"/>
    <n v="943.95"/>
    <n v="78"/>
    <n v="12.1"/>
    <n v="20952.03"/>
    <n v="20008.079999999998"/>
    <n v="21.196122675989191"/>
    <n v="22.2"/>
  </r>
  <r>
    <d v="2024-05-30T00:00:00"/>
    <x v="8"/>
    <x v="1"/>
    <s v="Video"/>
    <x v="2"/>
    <s v="UAE"/>
    <n v="109733"/>
    <n v="6616"/>
    <n v="6.0299999999999999E-2"/>
    <n v="0.91"/>
    <n v="6020.56"/>
    <n v="516"/>
    <n v="11.67"/>
    <n v="53965.61"/>
    <n v="47945.05"/>
    <n v="7.9635532242847837"/>
    <n v="8.9600000000000009"/>
  </r>
  <r>
    <d v="2024-09-16T00:00:00"/>
    <x v="7"/>
    <x v="1"/>
    <s v="Display"/>
    <x v="3"/>
    <s v="USA"/>
    <n v="67502"/>
    <n v="5859"/>
    <n v="8.6800000000000002E-2"/>
    <n v="0.48"/>
    <n v="2812.32"/>
    <n v="395"/>
    <n v="7.12"/>
    <n v="42271.31"/>
    <n v="39458.99"/>
    <n v="14.030761079820218"/>
    <n v="15.03"/>
  </r>
  <r>
    <d v="2024-04-24T00:00:00"/>
    <x v="5"/>
    <x v="0"/>
    <s v="Display"/>
    <x v="4"/>
    <s v="Canada"/>
    <n v="129121"/>
    <n v="4893"/>
    <n v="3.7900000000000003E-2"/>
    <n v="2.56"/>
    <n v="12526.08"/>
    <n v="137"/>
    <n v="91.43"/>
    <n v="7241.16"/>
    <n v="-5284.92"/>
    <n v="-0.42191332004904969"/>
    <n v="0.57999999999999996"/>
  </r>
  <r>
    <d v="2024-03-25T00:00:00"/>
    <x v="11"/>
    <x v="0"/>
    <s v="Video"/>
    <x v="0"/>
    <s v="USA"/>
    <n v="173102"/>
    <n v="4414"/>
    <n v="2.5499999999999998E-2"/>
    <n v="3.4"/>
    <n v="15007.6"/>
    <n v="341"/>
    <n v="44.01"/>
    <n v="52487.34"/>
    <n v="37479.74"/>
    <n v="2.4973839921106635"/>
    <n v="3.5"/>
  </r>
  <r>
    <d v="2024-03-27T00:00:00"/>
    <x v="11"/>
    <x v="0"/>
    <s v="Shopping"/>
    <x v="1"/>
    <s v="Canada"/>
    <n v="140607"/>
    <n v="6397"/>
    <n v="4.5499999999999999E-2"/>
    <n v="1.43"/>
    <n v="9147.7099999999991"/>
    <n v="393"/>
    <n v="23.28"/>
    <n v="82224.929999999993"/>
    <n v="73077.22"/>
    <n v="7.9885807486245204"/>
    <n v="8.99"/>
  </r>
  <r>
    <d v="2024-01-11T00:00:00"/>
    <x v="0"/>
    <x v="0"/>
    <s v="Search"/>
    <x v="2"/>
    <s v="Germany"/>
    <n v="48351"/>
    <n v="2156"/>
    <n v="4.4600000000000001E-2"/>
    <n v="3.16"/>
    <n v="6812.96"/>
    <n v="83"/>
    <n v="82.08"/>
    <n v="7504.87"/>
    <n v="691.90999999999985"/>
    <n v="0.101557913153754"/>
    <n v="1.1000000000000001"/>
  </r>
  <r>
    <d v="2024-04-06T00:00:00"/>
    <x v="5"/>
    <x v="1"/>
    <s v="Video"/>
    <x v="0"/>
    <s v="Germany"/>
    <n v="118135"/>
    <n v="8151"/>
    <n v="6.9000000000000006E-2"/>
    <n v="0.69"/>
    <n v="5624.19"/>
    <n v="428"/>
    <n v="13.14"/>
    <n v="64189.34"/>
    <n v="58565.149999999994"/>
    <n v="10.413081705987883"/>
    <n v="11.41"/>
  </r>
  <r>
    <d v="2024-06-25T00:00:00"/>
    <x v="1"/>
    <x v="1"/>
    <s v="Search"/>
    <x v="0"/>
    <s v="UK"/>
    <n v="20185"/>
    <n v="878"/>
    <n v="4.3499999999999997E-2"/>
    <n v="0.61"/>
    <n v="535.58000000000004"/>
    <n v="27"/>
    <n v="19.84"/>
    <n v="7476.28"/>
    <n v="6940.7"/>
    <n v="12.959221778259082"/>
    <n v="13.96"/>
  </r>
  <r>
    <d v="2024-11-29T00:00:00"/>
    <x v="6"/>
    <x v="1"/>
    <s v="Video"/>
    <x v="4"/>
    <s v="Australia"/>
    <n v="50802"/>
    <n v="3617"/>
    <n v="7.1199999999999999E-2"/>
    <n v="0.42"/>
    <n v="1519.14"/>
    <n v="279"/>
    <n v="5.44"/>
    <n v="22644.29"/>
    <n v="21125.15"/>
    <n v="13.905992864383796"/>
    <n v="14.91"/>
  </r>
  <r>
    <d v="2024-08-14T00:00:00"/>
    <x v="4"/>
    <x v="2"/>
    <s v="Shopping"/>
    <x v="4"/>
    <s v="Canada"/>
    <n v="34048"/>
    <n v="694"/>
    <n v="2.0400000000000001E-2"/>
    <n v="1.45"/>
    <n v="1006.3"/>
    <n v="49"/>
    <n v="20.54"/>
    <n v="12555.06"/>
    <n v="11548.76"/>
    <n v="11.476458312630429"/>
    <n v="12.48"/>
  </r>
  <r>
    <d v="2024-02-23T00:00:00"/>
    <x v="2"/>
    <x v="1"/>
    <s v="Video"/>
    <x v="3"/>
    <s v="UAE"/>
    <n v="56672"/>
    <n v="2397"/>
    <n v="4.2299999999999997E-2"/>
    <n v="0.48"/>
    <n v="1150.56"/>
    <n v="138"/>
    <n v="8.34"/>
    <n v="33165.74"/>
    <n v="32015.179999999997"/>
    <n v="27.825737032401612"/>
    <n v="28.83"/>
  </r>
  <r>
    <d v="2024-05-15T00:00:00"/>
    <x v="8"/>
    <x v="0"/>
    <s v="Video"/>
    <x v="0"/>
    <s v="UAE"/>
    <n v="128962"/>
    <n v="7337"/>
    <n v="5.6899999999999999E-2"/>
    <n v="1.35"/>
    <n v="9904.9500000000007"/>
    <n v="226"/>
    <n v="43.83"/>
    <n v="26098.81"/>
    <n v="16193.86"/>
    <n v="1.6349259713577553"/>
    <n v="2.63"/>
  </r>
  <r>
    <d v="2024-09-22T00:00:00"/>
    <x v="7"/>
    <x v="2"/>
    <s v="Video"/>
    <x v="2"/>
    <s v="UK"/>
    <n v="15532"/>
    <n v="593"/>
    <n v="3.8199999999999998E-2"/>
    <n v="1.43"/>
    <n v="847.99"/>
    <n v="45"/>
    <n v="18.84"/>
    <n v="2243.79"/>
    <n v="1395.8"/>
    <n v="1.6460099765327421"/>
    <n v="2.65"/>
  </r>
  <r>
    <d v="2024-08-15T00:00:00"/>
    <x v="4"/>
    <x v="0"/>
    <s v="Video"/>
    <x v="0"/>
    <s v="Australia"/>
    <n v="154666"/>
    <n v="5939"/>
    <n v="3.8399999999999997E-2"/>
    <n v="1.28"/>
    <n v="7601.92"/>
    <n v="366"/>
    <n v="20.77"/>
    <n v="24965.13"/>
    <n v="17363.21"/>
    <n v="2.2840558700959757"/>
    <n v="3.28"/>
  </r>
  <r>
    <d v="2024-08-22T00:00:00"/>
    <x v="4"/>
    <x v="1"/>
    <s v="Video"/>
    <x v="4"/>
    <s v="USA"/>
    <n v="9722"/>
    <n v="455"/>
    <n v="4.6899999999999997E-2"/>
    <n v="1.21"/>
    <n v="550.54999999999995"/>
    <n v="29"/>
    <n v="18.98"/>
    <n v="3533.89"/>
    <n v="2983.34"/>
    <n v="5.4188357097448012"/>
    <n v="6.42"/>
  </r>
  <r>
    <d v="2024-08-10T00:00:00"/>
    <x v="4"/>
    <x v="0"/>
    <s v="Display"/>
    <x v="0"/>
    <s v="Australia"/>
    <n v="24464"/>
    <n v="511"/>
    <n v="2.0899999999999998E-2"/>
    <n v="1.1200000000000001"/>
    <n v="572.32000000000005"/>
    <n v="20"/>
    <n v="28.62"/>
    <n v="5921.83"/>
    <n v="5349.51"/>
    <n v="9.347061084707855"/>
    <n v="10.35"/>
  </r>
  <r>
    <d v="2024-02-09T00:00:00"/>
    <x v="2"/>
    <x v="2"/>
    <s v="Video"/>
    <x v="4"/>
    <s v="India"/>
    <n v="170413"/>
    <n v="3936"/>
    <n v="2.3099999999999999E-2"/>
    <n v="0.71"/>
    <n v="2794.56"/>
    <n v="63"/>
    <n v="44.36"/>
    <n v="12671.79"/>
    <n v="9877.2300000000014"/>
    <n v="3.534449072483683"/>
    <n v="4.53"/>
  </r>
  <r>
    <d v="2024-03-12T00:00:00"/>
    <x v="11"/>
    <x v="1"/>
    <s v="Video"/>
    <x v="0"/>
    <s v="Germany"/>
    <n v="109205"/>
    <n v="4499"/>
    <n v="4.1200000000000001E-2"/>
    <n v="0.84"/>
    <n v="3779.16"/>
    <n v="49"/>
    <n v="77.13"/>
    <n v="13660.38"/>
    <n v="9881.2199999999993"/>
    <n v="2.6146604007239702"/>
    <n v="3.61"/>
  </r>
  <r>
    <d v="2024-08-20T00:00:00"/>
    <x v="4"/>
    <x v="0"/>
    <s v="Shopping"/>
    <x v="4"/>
    <s v="Germany"/>
    <n v="161926"/>
    <n v="5424"/>
    <n v="3.3500000000000002E-2"/>
    <n v="3.29"/>
    <n v="17844.96"/>
    <n v="87"/>
    <n v="205.11"/>
    <n v="11807.21"/>
    <n v="-6037.75"/>
    <n v="-0.33834483237844187"/>
    <n v="0.66"/>
  </r>
  <r>
    <d v="2024-10-14T00:00:00"/>
    <x v="3"/>
    <x v="2"/>
    <s v="Search"/>
    <x v="4"/>
    <s v="UK"/>
    <n v="125725"/>
    <n v="1646"/>
    <n v="1.3100000000000001E-2"/>
    <n v="0.81"/>
    <n v="1333.26"/>
    <n v="19"/>
    <n v="70.17"/>
    <n v="2319.58"/>
    <n v="986.31999999999994"/>
    <n v="0.73978068793783658"/>
    <n v="1.74"/>
  </r>
  <r>
    <d v="2024-05-17T00:00:00"/>
    <x v="8"/>
    <x v="1"/>
    <s v="Video"/>
    <x v="2"/>
    <s v="UAE"/>
    <n v="116301"/>
    <n v="4198"/>
    <n v="3.61E-2"/>
    <n v="1.45"/>
    <n v="6087.1"/>
    <n v="212"/>
    <n v="28.71"/>
    <n v="37780.9"/>
    <n v="31693.800000000003"/>
    <n v="5.206715841698017"/>
    <n v="6.21"/>
  </r>
  <r>
    <d v="2024-12-12T00:00:00"/>
    <x v="9"/>
    <x v="0"/>
    <s v="Shopping"/>
    <x v="3"/>
    <s v="Canada"/>
    <n v="88251"/>
    <n v="2665"/>
    <n v="3.0200000000000001E-2"/>
    <n v="1.29"/>
    <n v="3437.85"/>
    <n v="151"/>
    <n v="22.77"/>
    <n v="17509.21"/>
    <n v="14071.359999999999"/>
    <n v="4.0930697965298073"/>
    <n v="5.09"/>
  </r>
  <r>
    <d v="2024-10-12T00:00:00"/>
    <x v="3"/>
    <x v="0"/>
    <s v="Video"/>
    <x v="1"/>
    <s v="Germany"/>
    <n v="185378"/>
    <n v="3244"/>
    <n v="1.7500000000000002E-2"/>
    <n v="1.82"/>
    <n v="5904.08"/>
    <n v="246"/>
    <n v="24"/>
    <n v="67552.800000000003"/>
    <n v="61648.72"/>
    <n v="10.441714881912169"/>
    <n v="11.44"/>
  </r>
  <r>
    <d v="2024-08-13T00:00:00"/>
    <x v="4"/>
    <x v="2"/>
    <s v="Shopping"/>
    <x v="3"/>
    <s v="USA"/>
    <n v="177905"/>
    <n v="5532"/>
    <n v="3.1099999999999999E-2"/>
    <n v="0.98"/>
    <n v="5421.36"/>
    <n v="370"/>
    <n v="14.65"/>
    <n v="14673.05"/>
    <n v="9251.6899999999987"/>
    <n v="1.7065256688358639"/>
    <n v="2.71"/>
  </r>
  <r>
    <d v="2024-08-16T00:00:00"/>
    <x v="4"/>
    <x v="2"/>
    <s v="Video"/>
    <x v="4"/>
    <s v="Canada"/>
    <n v="122845"/>
    <n v="2714"/>
    <n v="2.2100000000000002E-2"/>
    <n v="0.56999999999999995"/>
    <n v="1546.98"/>
    <n v="143"/>
    <n v="10.82"/>
    <n v="36419.79"/>
    <n v="34872.81"/>
    <n v="22.542508629717254"/>
    <n v="23.54"/>
  </r>
  <r>
    <d v="2024-06-17T00:00:00"/>
    <x v="1"/>
    <x v="2"/>
    <s v="Video"/>
    <x v="2"/>
    <s v="Germany"/>
    <n v="36017"/>
    <n v="1210"/>
    <n v="3.3599999999999998E-2"/>
    <n v="1.01"/>
    <n v="1222.0999999999999"/>
    <n v="28"/>
    <n v="43.65"/>
    <n v="1258.31"/>
    <n v="36.210000000000036"/>
    <n v="2.9629326569020571E-2"/>
    <n v="1.03"/>
  </r>
  <r>
    <d v="2024-05-13T00:00:00"/>
    <x v="8"/>
    <x v="0"/>
    <s v="Search"/>
    <x v="1"/>
    <s v="USA"/>
    <n v="71267"/>
    <n v="3962"/>
    <n v="5.5599999999999997E-2"/>
    <n v="0.93"/>
    <n v="3684.66"/>
    <n v="287"/>
    <n v="12.84"/>
    <n v="50107.59"/>
    <n v="46422.929999999993"/>
    <n v="12.598972496783963"/>
    <n v="13.6"/>
  </r>
  <r>
    <d v="2024-01-04T00:00:00"/>
    <x v="0"/>
    <x v="2"/>
    <s v="Display"/>
    <x v="1"/>
    <s v="India"/>
    <n v="97152"/>
    <n v="1156"/>
    <n v="1.1900000000000001E-2"/>
    <n v="0.54"/>
    <n v="624.24"/>
    <n v="43"/>
    <n v="14.52"/>
    <n v="4965.75"/>
    <n v="4341.51"/>
    <n v="6.9548731257208765"/>
    <n v="7.95"/>
  </r>
  <r>
    <d v="2024-09-03T00:00:00"/>
    <x v="7"/>
    <x v="2"/>
    <s v="Shopping"/>
    <x v="4"/>
    <s v="USA"/>
    <n v="33834"/>
    <n v="906"/>
    <n v="2.6800000000000001E-2"/>
    <n v="0.88"/>
    <n v="797.28"/>
    <n v="23"/>
    <n v="34.659999999999997"/>
    <n v="2361.23"/>
    <n v="1563.95"/>
    <n v="1.9616069636765001"/>
    <n v="2.96"/>
  </r>
  <r>
    <d v="2024-12-14T00:00:00"/>
    <x v="9"/>
    <x v="1"/>
    <s v="Shopping"/>
    <x v="4"/>
    <s v="Canada"/>
    <n v="183775"/>
    <n v="7093"/>
    <n v="3.8600000000000002E-2"/>
    <n v="1"/>
    <n v="7093"/>
    <n v="373"/>
    <n v="19.02"/>
    <n v="88634"/>
    <n v="81541"/>
    <n v="11.495981954039193"/>
    <n v="12.5"/>
  </r>
  <r>
    <d v="2024-08-31T00:00:00"/>
    <x v="4"/>
    <x v="2"/>
    <s v="Search"/>
    <x v="0"/>
    <s v="UAE"/>
    <n v="199405"/>
    <n v="5204"/>
    <n v="2.6100000000000002E-2"/>
    <n v="0.96"/>
    <n v="4995.84"/>
    <n v="333"/>
    <n v="15"/>
    <n v="25169.83"/>
    <n v="20173.990000000002"/>
    <n v="4.0381577472457089"/>
    <n v="5.04"/>
  </r>
  <r>
    <d v="2024-03-19T00:00:00"/>
    <x v="11"/>
    <x v="1"/>
    <s v="Search"/>
    <x v="2"/>
    <s v="Germany"/>
    <n v="169512"/>
    <n v="9475"/>
    <n v="5.5899999999999998E-2"/>
    <n v="1.41"/>
    <n v="13359.75"/>
    <n v="203"/>
    <n v="65.81"/>
    <n v="26995.02"/>
    <n v="13635.27"/>
    <n v="1.0206231404030763"/>
    <n v="2.02"/>
  </r>
  <r>
    <d v="2024-11-06T00:00:00"/>
    <x v="6"/>
    <x v="0"/>
    <s v="Display"/>
    <x v="1"/>
    <s v="India"/>
    <n v="14884"/>
    <n v="541"/>
    <n v="3.6400000000000002E-2"/>
    <n v="3.25"/>
    <n v="1758.25"/>
    <n v="43"/>
    <n v="40.89"/>
    <n v="4123.58"/>
    <n v="2365.33"/>
    <n v="1.3452751315228209"/>
    <n v="2.35"/>
  </r>
  <r>
    <d v="2024-11-19T00:00:00"/>
    <x v="6"/>
    <x v="1"/>
    <s v="Shopping"/>
    <x v="2"/>
    <s v="Germany"/>
    <n v="47623"/>
    <n v="1695"/>
    <n v="3.56E-2"/>
    <n v="1.85"/>
    <n v="3135.75"/>
    <n v="36"/>
    <n v="87.1"/>
    <n v="9884.86"/>
    <n v="6749.1100000000006"/>
    <n v="2.1523112493024001"/>
    <n v="3.15"/>
  </r>
  <r>
    <d v="2024-11-24T00:00:00"/>
    <x v="6"/>
    <x v="2"/>
    <s v="Search"/>
    <x v="4"/>
    <s v="USA"/>
    <n v="102780"/>
    <n v="1952"/>
    <n v="1.9E-2"/>
    <n v="1.2"/>
    <n v="2342.4"/>
    <n v="63"/>
    <n v="37.18"/>
    <n v="16160.9"/>
    <n v="13818.5"/>
    <n v="5.8992913251366117"/>
    <n v="6.9"/>
  </r>
  <r>
    <d v="2024-02-10T00:00:00"/>
    <x v="2"/>
    <x v="0"/>
    <s v="Shopping"/>
    <x v="2"/>
    <s v="Australia"/>
    <n v="167717"/>
    <n v="4142"/>
    <n v="2.47E-2"/>
    <n v="1.73"/>
    <n v="7165.66"/>
    <n v="71"/>
    <n v="100.92"/>
    <n v="15937.54"/>
    <n v="8771.880000000001"/>
    <n v="1.2241552069174368"/>
    <n v="2.2200000000000002"/>
  </r>
  <r>
    <d v="2024-09-05T00:00:00"/>
    <x v="7"/>
    <x v="2"/>
    <s v="Search"/>
    <x v="4"/>
    <s v="UK"/>
    <n v="189598"/>
    <n v="6673"/>
    <n v="3.5200000000000002E-2"/>
    <n v="1.99"/>
    <n v="13279.27"/>
    <n v="170"/>
    <n v="78.11"/>
    <n v="36177.68"/>
    <n v="22898.41"/>
    <n v="1.724372650002598"/>
    <n v="2.72"/>
  </r>
  <r>
    <d v="2024-01-21T00:00:00"/>
    <x v="0"/>
    <x v="1"/>
    <s v="Display"/>
    <x v="3"/>
    <s v="Germany"/>
    <n v="92273"/>
    <n v="6237"/>
    <n v="6.7599999999999993E-2"/>
    <n v="1.41"/>
    <n v="8794.17"/>
    <n v="291"/>
    <n v="30.22"/>
    <n v="72065.02"/>
    <n v="63270.850000000006"/>
    <n v="7.1946357643757173"/>
    <n v="8.19"/>
  </r>
  <r>
    <d v="2024-09-05T00:00:00"/>
    <x v="7"/>
    <x v="0"/>
    <s v="Display"/>
    <x v="0"/>
    <s v="UK"/>
    <n v="118884"/>
    <n v="5932"/>
    <n v="4.99E-2"/>
    <n v="2.95"/>
    <n v="17499.400000000001"/>
    <n v="450"/>
    <n v="38.89"/>
    <n v="121374.91"/>
    <n v="103875.51000000001"/>
    <n v="5.9359469467524599"/>
    <n v="6.94"/>
  </r>
  <r>
    <d v="2024-04-04T00:00:00"/>
    <x v="5"/>
    <x v="0"/>
    <s v="Search"/>
    <x v="2"/>
    <s v="Australia"/>
    <n v="84303"/>
    <n v="4417"/>
    <n v="5.2400000000000002E-2"/>
    <n v="3.12"/>
    <n v="13781.04"/>
    <n v="100"/>
    <n v="137.81"/>
    <n v="20354.89"/>
    <n v="6573.8499999999985"/>
    <n v="0.47702132785334039"/>
    <n v="1.48"/>
  </r>
  <r>
    <d v="2024-01-04T00:00:00"/>
    <x v="0"/>
    <x v="0"/>
    <s v="Video"/>
    <x v="1"/>
    <s v="Germany"/>
    <n v="89730"/>
    <n v="4621"/>
    <n v="5.1499999999999997E-2"/>
    <n v="2.68"/>
    <n v="12384.28"/>
    <n v="277"/>
    <n v="44.71"/>
    <n v="13483.54"/>
    <n v="1099.2600000000002"/>
    <n v="8.8762527979018568E-2"/>
    <n v="1.0900000000000001"/>
  </r>
  <r>
    <d v="2024-11-30T00:00:00"/>
    <x v="6"/>
    <x v="0"/>
    <s v="Search"/>
    <x v="3"/>
    <s v="UK"/>
    <n v="174737"/>
    <n v="5207"/>
    <n v="2.98E-2"/>
    <n v="1.44"/>
    <n v="7498.08"/>
    <n v="398"/>
    <n v="18.84"/>
    <n v="90351.24"/>
    <n v="82853.16"/>
    <n v="11.049916778695346"/>
    <n v="12.05"/>
  </r>
  <r>
    <d v="2024-09-10T00:00:00"/>
    <x v="7"/>
    <x v="0"/>
    <s v="Shopping"/>
    <x v="2"/>
    <s v="Germany"/>
    <n v="145508"/>
    <n v="7158"/>
    <n v="4.9200000000000001E-2"/>
    <n v="1.44"/>
    <n v="10307.52"/>
    <n v="566"/>
    <n v="18.21"/>
    <n v="76404.289999999994"/>
    <n v="66096.76999999999"/>
    <n v="6.4124804026574758"/>
    <n v="7.41"/>
  </r>
  <r>
    <d v="2024-04-24T00:00:00"/>
    <x v="5"/>
    <x v="0"/>
    <s v="Shopping"/>
    <x v="1"/>
    <s v="Australia"/>
    <n v="75649"/>
    <n v="1792"/>
    <n v="2.3699999999999999E-2"/>
    <n v="2.78"/>
    <n v="4981.76"/>
    <n v="110"/>
    <n v="45.29"/>
    <n v="12588.99"/>
    <n v="7607.23"/>
    <n v="1.5270165563977387"/>
    <n v="2.5299999999999998"/>
  </r>
  <r>
    <d v="2024-03-25T00:00:00"/>
    <x v="11"/>
    <x v="1"/>
    <s v="Display"/>
    <x v="4"/>
    <s v="UK"/>
    <n v="85522"/>
    <n v="3378"/>
    <n v="3.95E-2"/>
    <n v="0.35"/>
    <n v="1182.3"/>
    <n v="167"/>
    <n v="7.08"/>
    <n v="30312.31"/>
    <n v="29130.010000000002"/>
    <n v="24.638425103611606"/>
    <n v="25.64"/>
  </r>
  <r>
    <d v="2024-11-19T00:00:00"/>
    <x v="6"/>
    <x v="2"/>
    <s v="Shopping"/>
    <x v="2"/>
    <s v="Canada"/>
    <n v="19588"/>
    <n v="434"/>
    <n v="2.2200000000000001E-2"/>
    <n v="1.77"/>
    <n v="768.18"/>
    <n v="5"/>
    <n v="153.63999999999999"/>
    <n v="560.03"/>
    <n v="-208.14999999999998"/>
    <n v="-0.27096513837902575"/>
    <n v="0.73"/>
  </r>
  <r>
    <d v="2024-11-02T00:00:00"/>
    <x v="6"/>
    <x v="1"/>
    <s v="Video"/>
    <x v="4"/>
    <s v="Canada"/>
    <n v="92985"/>
    <n v="8024"/>
    <n v="8.6300000000000002E-2"/>
    <n v="0.85"/>
    <n v="6820.4"/>
    <n v="520"/>
    <n v="13.12"/>
    <n v="150774.99"/>
    <n v="143954.59"/>
    <n v="21.106473227376693"/>
    <n v="22.11"/>
  </r>
  <r>
    <d v="2024-03-21T00:00:00"/>
    <x v="11"/>
    <x v="0"/>
    <s v="Video"/>
    <x v="4"/>
    <s v="USA"/>
    <n v="134198"/>
    <n v="2670"/>
    <n v="1.9900000000000001E-2"/>
    <n v="3.15"/>
    <n v="8410.5"/>
    <n v="71"/>
    <n v="118.46"/>
    <n v="14769.75"/>
    <n v="6359.25"/>
    <n v="0.75610843588371679"/>
    <n v="1.76"/>
  </r>
  <r>
    <d v="2024-12-06T00:00:00"/>
    <x v="9"/>
    <x v="1"/>
    <s v="Search"/>
    <x v="4"/>
    <s v="Canada"/>
    <n v="25951"/>
    <n v="809"/>
    <n v="3.1199999999999999E-2"/>
    <n v="0.48"/>
    <n v="388.32"/>
    <n v="61"/>
    <n v="6.37"/>
    <n v="10397.040000000001"/>
    <n v="10008.720000000001"/>
    <n v="25.774412855377012"/>
    <n v="26.77"/>
  </r>
  <r>
    <d v="2024-10-19T00:00:00"/>
    <x v="3"/>
    <x v="0"/>
    <s v="Shopping"/>
    <x v="4"/>
    <s v="UK"/>
    <n v="55385"/>
    <n v="1678"/>
    <n v="3.0300000000000001E-2"/>
    <n v="1.44"/>
    <n v="2416.3200000000002"/>
    <n v="64"/>
    <n v="37.76"/>
    <n v="18110.48"/>
    <n v="15694.16"/>
    <n v="6.4950668785591308"/>
    <n v="7.5"/>
  </r>
  <r>
    <d v="2024-01-01T00:00:00"/>
    <x v="0"/>
    <x v="0"/>
    <s v="Search"/>
    <x v="3"/>
    <s v="India"/>
    <n v="21702"/>
    <n v="1000"/>
    <n v="4.6100000000000002E-2"/>
    <n v="3.17"/>
    <n v="3170"/>
    <n v="17"/>
    <n v="186.47"/>
    <n v="3670.88"/>
    <n v="500.88000000000011"/>
    <n v="0.15800630914826502"/>
    <n v="1.1599999999999999"/>
  </r>
  <r>
    <d v="2024-02-27T00:00:00"/>
    <x v="2"/>
    <x v="1"/>
    <s v="Search"/>
    <x v="3"/>
    <s v="UAE"/>
    <n v="195972"/>
    <n v="13796"/>
    <n v="7.0400000000000004E-2"/>
    <n v="0.5"/>
    <n v="6898"/>
    <n v="645"/>
    <n v="10.69"/>
    <n v="54701.33"/>
    <n v="47803.33"/>
    <n v="6.9300275442157151"/>
    <n v="7.93"/>
  </r>
  <r>
    <d v="2024-09-12T00:00:00"/>
    <x v="7"/>
    <x v="2"/>
    <s v="Search"/>
    <x v="2"/>
    <s v="UAE"/>
    <n v="73447"/>
    <n v="2401"/>
    <n v="3.27E-2"/>
    <n v="1.44"/>
    <n v="3457.44"/>
    <n v="93"/>
    <n v="37.18"/>
    <n v="11150.38"/>
    <n v="7692.9399999999987"/>
    <n v="2.2250393354620757"/>
    <n v="3.23"/>
  </r>
  <r>
    <d v="2024-10-17T00:00:00"/>
    <x v="3"/>
    <x v="2"/>
    <s v="Search"/>
    <x v="2"/>
    <s v="UAE"/>
    <n v="55867"/>
    <n v="1681"/>
    <n v="3.0099999999999998E-2"/>
    <n v="1.98"/>
    <n v="3328.38"/>
    <n v="32"/>
    <n v="104.01"/>
    <n v="3790.94"/>
    <n v="462.55999999999995"/>
    <n v="0.13897451613097059"/>
    <n v="1.1399999999999999"/>
  </r>
  <r>
    <d v="2024-05-19T00:00:00"/>
    <x v="8"/>
    <x v="0"/>
    <s v="Display"/>
    <x v="0"/>
    <s v="UK"/>
    <n v="64567"/>
    <n v="1439"/>
    <n v="2.23E-2"/>
    <n v="2.29"/>
    <n v="3295.31"/>
    <n v="64"/>
    <n v="51.49"/>
    <n v="4231.38"/>
    <n v="936.07000000000016"/>
    <n v="0.28406128710197226"/>
    <n v="1.28"/>
  </r>
  <r>
    <d v="2024-07-02T00:00:00"/>
    <x v="10"/>
    <x v="1"/>
    <s v="Shopping"/>
    <x v="3"/>
    <s v="Canada"/>
    <n v="97254"/>
    <n v="3374"/>
    <n v="3.4700000000000002E-2"/>
    <n v="1.65"/>
    <n v="5567.1"/>
    <n v="63"/>
    <n v="88.37"/>
    <n v="17255.150000000001"/>
    <n v="11688.050000000001"/>
    <n v="2.0994862675360602"/>
    <n v="3.1"/>
  </r>
  <r>
    <d v="2024-01-20T00:00:00"/>
    <x v="0"/>
    <x v="2"/>
    <s v="Shopping"/>
    <x v="2"/>
    <s v="UK"/>
    <n v="147897"/>
    <n v="2144"/>
    <n v="1.4500000000000001E-2"/>
    <n v="1.94"/>
    <n v="4159.3599999999997"/>
    <n v="24"/>
    <n v="173.31"/>
    <n v="3826.61"/>
    <n v="-332.74999999999955"/>
    <n v="-8.0000288505923889E-2"/>
    <n v="0.92"/>
  </r>
  <r>
    <d v="2024-09-13T00:00:00"/>
    <x v="7"/>
    <x v="2"/>
    <s v="Display"/>
    <x v="2"/>
    <s v="Germany"/>
    <n v="115379"/>
    <n v="5134"/>
    <n v="4.4499999999999998E-2"/>
    <n v="2.41"/>
    <n v="12372.94"/>
    <n v="391"/>
    <n v="31.64"/>
    <n v="109895.16"/>
    <n v="97522.22"/>
    <n v="7.8818954912898631"/>
    <n v="8.8800000000000008"/>
  </r>
  <r>
    <d v="2024-03-03T00:00:00"/>
    <x v="11"/>
    <x v="0"/>
    <s v="Search"/>
    <x v="0"/>
    <s v="UK"/>
    <n v="51566"/>
    <n v="1531"/>
    <n v="2.9700000000000001E-2"/>
    <n v="1.39"/>
    <n v="2128.09"/>
    <n v="112"/>
    <n v="19"/>
    <n v="6716.48"/>
    <n v="4588.3899999999994"/>
    <n v="2.1561071195297186"/>
    <n v="3.16"/>
  </r>
  <r>
    <d v="2024-06-18T00:00:00"/>
    <x v="1"/>
    <x v="0"/>
    <s v="Search"/>
    <x v="2"/>
    <s v="UAE"/>
    <n v="184889"/>
    <n v="6212"/>
    <n v="3.3599999999999998E-2"/>
    <n v="2.17"/>
    <n v="13480.04"/>
    <n v="73"/>
    <n v="184.66"/>
    <n v="2434.91"/>
    <n v="-11045.130000000001"/>
    <n v="-0.81936923035836695"/>
    <n v="0.18"/>
  </r>
  <r>
    <d v="2024-04-17T00:00:00"/>
    <x v="5"/>
    <x v="1"/>
    <s v="Shopping"/>
    <x v="1"/>
    <s v="Australia"/>
    <n v="100028"/>
    <n v="7402"/>
    <n v="7.3999999999999996E-2"/>
    <n v="0.73"/>
    <n v="5403.46"/>
    <n v="100"/>
    <n v="54.03"/>
    <n v="7280.48"/>
    <n v="1877.0199999999995"/>
    <n v="0.34737371980175658"/>
    <n v="1.35"/>
  </r>
  <r>
    <d v="2024-07-31T00:00:00"/>
    <x v="10"/>
    <x v="1"/>
    <s v="Search"/>
    <x v="1"/>
    <s v="India"/>
    <n v="29741"/>
    <n v="1287"/>
    <n v="4.3299999999999998E-2"/>
    <n v="1.23"/>
    <n v="1583.01"/>
    <n v="55"/>
    <n v="28.78"/>
    <n v="6012.36"/>
    <n v="4429.3499999999995"/>
    <n v="2.7980556029336512"/>
    <n v="3.8"/>
  </r>
  <r>
    <d v="2024-03-12T00:00:00"/>
    <x v="11"/>
    <x v="0"/>
    <s v="Shopping"/>
    <x v="0"/>
    <s v="Australia"/>
    <n v="155033"/>
    <n v="5782"/>
    <n v="3.73E-2"/>
    <n v="2.17"/>
    <n v="12546.94"/>
    <n v="248"/>
    <n v="50.59"/>
    <n v="71470.23"/>
    <n v="58923.289999999994"/>
    <n v="4.6962279248964283"/>
    <n v="5.7"/>
  </r>
  <r>
    <d v="2024-08-15T00:00:00"/>
    <x v="4"/>
    <x v="1"/>
    <s v="Shopping"/>
    <x v="0"/>
    <s v="Canada"/>
    <n v="13562"/>
    <n v="790"/>
    <n v="5.8299999999999998E-2"/>
    <n v="1.18"/>
    <n v="932.2"/>
    <n v="40"/>
    <n v="23.3"/>
    <n v="7014.55"/>
    <n v="6082.35"/>
    <n v="6.5247264535507403"/>
    <n v="7.52"/>
  </r>
  <r>
    <d v="2024-01-18T00:00:00"/>
    <x v="0"/>
    <x v="2"/>
    <s v="Shopping"/>
    <x v="2"/>
    <s v="UAE"/>
    <n v="84830"/>
    <n v="2612"/>
    <n v="3.0800000000000001E-2"/>
    <n v="1.98"/>
    <n v="5171.76"/>
    <n v="84"/>
    <n v="61.57"/>
    <n v="6284.59"/>
    <n v="1112.83"/>
    <n v="0.21517433136881833"/>
    <n v="1.22"/>
  </r>
  <r>
    <d v="2024-05-21T00:00:00"/>
    <x v="8"/>
    <x v="2"/>
    <s v="Shopping"/>
    <x v="2"/>
    <s v="Germany"/>
    <n v="119427"/>
    <n v="1146"/>
    <n v="9.5999999999999992E-3"/>
    <n v="1.93"/>
    <n v="2211.7800000000002"/>
    <n v="27"/>
    <n v="81.92"/>
    <n v="5094.3599999999997"/>
    <n v="2882.5799999999995"/>
    <n v="1.3032851368580958"/>
    <n v="2.2999999999999998"/>
  </r>
  <r>
    <d v="2024-08-15T00:00:00"/>
    <x v="4"/>
    <x v="0"/>
    <s v="Shopping"/>
    <x v="1"/>
    <s v="India"/>
    <n v="175623"/>
    <n v="9483"/>
    <n v="5.3999999999999999E-2"/>
    <n v="0.97"/>
    <n v="9198.51"/>
    <n v="268"/>
    <n v="34.32"/>
    <n v="79311.56"/>
    <n v="70113.05"/>
    <n v="7.6222181635938862"/>
    <n v="8.6199999999999992"/>
  </r>
  <r>
    <d v="2024-07-25T00:00:00"/>
    <x v="10"/>
    <x v="0"/>
    <s v="Search"/>
    <x v="3"/>
    <s v="Australia"/>
    <n v="93919"/>
    <n v="4968"/>
    <n v="5.2900000000000003E-2"/>
    <n v="2.5499999999999998"/>
    <n v="12668.4"/>
    <n v="308"/>
    <n v="41.13"/>
    <n v="66254.75"/>
    <n v="53586.35"/>
    <n v="4.229922484291623"/>
    <n v="5.23"/>
  </r>
  <r>
    <d v="2024-11-04T00:00:00"/>
    <x v="6"/>
    <x v="1"/>
    <s v="Display"/>
    <x v="0"/>
    <s v="UAE"/>
    <n v="46190"/>
    <n v="3030"/>
    <n v="6.5600000000000006E-2"/>
    <n v="0.42"/>
    <n v="1272.5999999999999"/>
    <n v="183"/>
    <n v="6.95"/>
    <n v="38945.83"/>
    <n v="37673.230000000003"/>
    <n v="29.603355335533557"/>
    <n v="30.6"/>
  </r>
  <r>
    <d v="2024-10-29T00:00:00"/>
    <x v="3"/>
    <x v="2"/>
    <s v="Display"/>
    <x v="2"/>
    <s v="Australia"/>
    <n v="152996"/>
    <n v="3136"/>
    <n v="2.0500000000000001E-2"/>
    <n v="1.79"/>
    <n v="5613.44"/>
    <n v="82"/>
    <n v="68.459999999999994"/>
    <n v="6472.17"/>
    <n v="858.73000000000047"/>
    <n v="0.15297749686466774"/>
    <n v="1.1499999999999999"/>
  </r>
  <r>
    <d v="2024-06-03T00:00:00"/>
    <x v="1"/>
    <x v="1"/>
    <s v="Shopping"/>
    <x v="4"/>
    <s v="UAE"/>
    <n v="62600"/>
    <n v="3142"/>
    <n v="5.0200000000000002E-2"/>
    <n v="0.71"/>
    <n v="2230.8200000000002"/>
    <n v="245"/>
    <n v="9.11"/>
    <n v="17495.080000000002"/>
    <n v="15264.260000000002"/>
    <n v="6.8424435857666692"/>
    <n v="7.84"/>
  </r>
  <r>
    <d v="2024-02-29T00:00:00"/>
    <x v="2"/>
    <x v="2"/>
    <s v="Search"/>
    <x v="4"/>
    <s v="UAE"/>
    <n v="36127"/>
    <n v="610"/>
    <n v="1.6899999999999998E-2"/>
    <n v="1.1100000000000001"/>
    <n v="677.1"/>
    <n v="45"/>
    <n v="15.05"/>
    <n v="6906.4"/>
    <n v="6229.2999999999993"/>
    <n v="9.1999704622655436"/>
    <n v="10.199999999999999"/>
  </r>
  <r>
    <d v="2024-04-28T00:00:00"/>
    <x v="5"/>
    <x v="1"/>
    <s v="Video"/>
    <x v="1"/>
    <s v="India"/>
    <n v="110940"/>
    <n v="6512"/>
    <n v="5.8700000000000002E-2"/>
    <n v="1.41"/>
    <n v="9181.92"/>
    <n v="108"/>
    <n v="85.02"/>
    <n v="14612.87"/>
    <n v="5430.9500000000007"/>
    <n v="0.59148304494049186"/>
    <n v="1.59"/>
  </r>
  <r>
    <d v="2024-04-01T00:00:00"/>
    <x v="5"/>
    <x v="2"/>
    <s v="Search"/>
    <x v="4"/>
    <s v="UK"/>
    <n v="91332"/>
    <n v="3762"/>
    <n v="4.1200000000000001E-2"/>
    <n v="0.65"/>
    <n v="2445.3000000000002"/>
    <n v="125"/>
    <n v="19.559999999999999"/>
    <n v="31285.11"/>
    <n v="28839.81"/>
    <n v="11.793976199239356"/>
    <n v="12.79"/>
  </r>
  <r>
    <d v="2024-08-27T00:00:00"/>
    <x v="4"/>
    <x v="1"/>
    <s v="Video"/>
    <x v="1"/>
    <s v="UAE"/>
    <n v="149526"/>
    <n v="4321"/>
    <n v="2.8899999999999999E-2"/>
    <n v="0.78"/>
    <n v="3370.38"/>
    <n v="120"/>
    <n v="28.09"/>
    <n v="25118.55"/>
    <n v="21748.17"/>
    <n v="6.4527352998771645"/>
    <n v="7.45"/>
  </r>
  <r>
    <d v="2024-04-29T00:00:00"/>
    <x v="5"/>
    <x v="2"/>
    <s v="Search"/>
    <x v="2"/>
    <s v="USA"/>
    <n v="77746"/>
    <n v="2861"/>
    <n v="3.6799999999999999E-2"/>
    <n v="1.04"/>
    <n v="2975.44"/>
    <n v="82"/>
    <n v="36.29"/>
    <n v="21523.93"/>
    <n v="18548.490000000002"/>
    <n v="6.2338645712902974"/>
    <n v="7.23"/>
  </r>
  <r>
    <d v="2024-04-17T00:00:00"/>
    <x v="5"/>
    <x v="0"/>
    <s v="Video"/>
    <x v="2"/>
    <s v="UK"/>
    <n v="105804"/>
    <n v="3110"/>
    <n v="2.9399999999999999E-2"/>
    <n v="0.97"/>
    <n v="3016.7"/>
    <n v="200"/>
    <n v="15.08"/>
    <n v="49067.29"/>
    <n v="46050.590000000004"/>
    <n v="15.265220273809131"/>
    <n v="16.27"/>
  </r>
  <r>
    <d v="2024-09-15T00:00:00"/>
    <x v="7"/>
    <x v="2"/>
    <s v="Video"/>
    <x v="0"/>
    <s v="Germany"/>
    <n v="37599"/>
    <n v="1225"/>
    <n v="3.2599999999999997E-2"/>
    <n v="1.3"/>
    <n v="1592.5"/>
    <n v="73"/>
    <n v="21.82"/>
    <n v="19164.89"/>
    <n v="17572.39"/>
    <n v="11.034467817896388"/>
    <n v="12.03"/>
  </r>
  <r>
    <d v="2024-04-14T00:00:00"/>
    <x v="5"/>
    <x v="0"/>
    <s v="Shopping"/>
    <x v="4"/>
    <s v="India"/>
    <n v="9791"/>
    <n v="519"/>
    <n v="5.3100000000000001E-2"/>
    <n v="3.95"/>
    <n v="2050.0500000000002"/>
    <n v="40"/>
    <n v="51.25"/>
    <n v="2255.2399999999998"/>
    <n v="205.1899999999996"/>
    <n v="0.10009024170142171"/>
    <n v="1.1000000000000001"/>
  </r>
  <r>
    <d v="2024-02-29T00:00:00"/>
    <x v="2"/>
    <x v="0"/>
    <s v="Search"/>
    <x v="2"/>
    <s v="USA"/>
    <n v="34802"/>
    <n v="1708"/>
    <n v="4.9099999999999998E-2"/>
    <n v="2.9"/>
    <n v="4953.2"/>
    <n v="72"/>
    <n v="68.790000000000006"/>
    <n v="6827.25"/>
    <n v="1874.0500000000002"/>
    <n v="0.37835136881208115"/>
    <n v="1.38"/>
  </r>
  <r>
    <d v="2024-10-17T00:00:00"/>
    <x v="3"/>
    <x v="1"/>
    <s v="Display"/>
    <x v="2"/>
    <s v="India"/>
    <n v="81394"/>
    <n v="5192"/>
    <n v="6.3799999999999996E-2"/>
    <n v="0.94"/>
    <n v="4880.4799999999996"/>
    <n v="253"/>
    <n v="19.29"/>
    <n v="41499.01"/>
    <n v="36618.53"/>
    <n v="7.5030591253319354"/>
    <n v="8.5"/>
  </r>
  <r>
    <d v="2024-09-06T00:00:00"/>
    <x v="7"/>
    <x v="0"/>
    <s v="Shopping"/>
    <x v="4"/>
    <s v="Germany"/>
    <n v="101299"/>
    <n v="3504"/>
    <n v="3.4599999999999999E-2"/>
    <n v="1.8"/>
    <n v="6307.2"/>
    <n v="250"/>
    <n v="25.23"/>
    <n v="36776.35"/>
    <n v="30469.149999999998"/>
    <n v="4.8308520421106032"/>
    <n v="5.83"/>
  </r>
  <r>
    <d v="2024-08-30T00:00:00"/>
    <x v="4"/>
    <x v="2"/>
    <s v="Video"/>
    <x v="2"/>
    <s v="Germany"/>
    <n v="140431"/>
    <n v="1544"/>
    <n v="1.0999999999999999E-2"/>
    <n v="0.52"/>
    <n v="802.88"/>
    <n v="74"/>
    <n v="10.85"/>
    <n v="2904.54"/>
    <n v="2101.66"/>
    <n v="2.6176514547628535"/>
    <n v="3.62"/>
  </r>
  <r>
    <d v="2024-06-04T00:00:00"/>
    <x v="1"/>
    <x v="0"/>
    <s v="Video"/>
    <x v="3"/>
    <s v="Canada"/>
    <n v="113368"/>
    <n v="5260"/>
    <n v="4.6399999999999997E-2"/>
    <n v="1.31"/>
    <n v="6890.6"/>
    <n v="168"/>
    <n v="41.02"/>
    <n v="8983.58"/>
    <n v="2092.9799999999996"/>
    <n v="0.30374423127158728"/>
    <n v="1.3"/>
  </r>
  <r>
    <d v="2024-06-18T00:00:00"/>
    <x v="1"/>
    <x v="0"/>
    <s v="Display"/>
    <x v="4"/>
    <s v="Germany"/>
    <n v="89263"/>
    <n v="3695"/>
    <n v="4.1399999999999999E-2"/>
    <n v="1.77"/>
    <n v="6540.15"/>
    <n v="155"/>
    <n v="42.19"/>
    <n v="19291.23"/>
    <n v="12751.08"/>
    <n v="1.9496617050067659"/>
    <n v="2.95"/>
  </r>
  <r>
    <d v="2024-08-01T00:00:00"/>
    <x v="4"/>
    <x v="2"/>
    <s v="Display"/>
    <x v="4"/>
    <s v="USA"/>
    <n v="168947"/>
    <n v="4510"/>
    <n v="2.6700000000000002E-2"/>
    <n v="1.94"/>
    <n v="8749.4"/>
    <n v="179"/>
    <n v="48.88"/>
    <n v="48341.14"/>
    <n v="39591.74"/>
    <n v="4.5250805769538482"/>
    <n v="5.53"/>
  </r>
  <r>
    <d v="2024-06-13T00:00:00"/>
    <x v="1"/>
    <x v="1"/>
    <s v="Search"/>
    <x v="1"/>
    <s v="UAE"/>
    <n v="139511"/>
    <n v="8384"/>
    <n v="6.0100000000000001E-2"/>
    <n v="1.35"/>
    <n v="11318.4"/>
    <n v="209"/>
    <n v="54.16"/>
    <n v="26357.3"/>
    <n v="15038.9"/>
    <n v="1.3287125388747527"/>
    <n v="2.33"/>
  </r>
  <r>
    <d v="2024-09-12T00:00:00"/>
    <x v="7"/>
    <x v="0"/>
    <s v="Search"/>
    <x v="0"/>
    <s v="UK"/>
    <n v="25927"/>
    <n v="1501"/>
    <n v="5.79E-2"/>
    <n v="1.01"/>
    <n v="1516.01"/>
    <n v="44"/>
    <n v="34.450000000000003"/>
    <n v="4091.03"/>
    <n v="2575.0200000000004"/>
    <n v="1.6985508011160879"/>
    <n v="2.7"/>
  </r>
  <r>
    <d v="2024-11-20T00:00:00"/>
    <x v="6"/>
    <x v="2"/>
    <s v="Shopping"/>
    <x v="4"/>
    <s v="Germany"/>
    <n v="165322"/>
    <n v="4529"/>
    <n v="2.7400000000000001E-2"/>
    <n v="1.73"/>
    <n v="7835.17"/>
    <n v="167"/>
    <n v="46.92"/>
    <n v="38358.92"/>
    <n v="30523.75"/>
    <n v="3.8957355105249789"/>
    <n v="4.9000000000000004"/>
  </r>
  <r>
    <d v="2024-12-13T00:00:00"/>
    <x v="9"/>
    <x v="2"/>
    <s v="Video"/>
    <x v="2"/>
    <s v="India"/>
    <n v="149542"/>
    <n v="2497"/>
    <n v="1.67E-2"/>
    <n v="1.04"/>
    <n v="2596.88"/>
    <n v="70"/>
    <n v="37.1"/>
    <n v="12612.87"/>
    <n v="10015.990000000002"/>
    <n v="3.8569321647515484"/>
    <n v="4.8600000000000003"/>
  </r>
  <r>
    <d v="2024-09-17T00:00:00"/>
    <x v="7"/>
    <x v="2"/>
    <s v="Video"/>
    <x v="2"/>
    <s v="UK"/>
    <n v="20021"/>
    <n v="462"/>
    <n v="2.3099999999999999E-2"/>
    <n v="1.57"/>
    <n v="725.34"/>
    <n v="20"/>
    <n v="36.270000000000003"/>
    <n v="4554.08"/>
    <n v="3828.74"/>
    <n v="5.278545233959246"/>
    <n v="6.28"/>
  </r>
  <r>
    <d v="2024-01-16T00:00:00"/>
    <x v="0"/>
    <x v="0"/>
    <s v="Shopping"/>
    <x v="3"/>
    <s v="UAE"/>
    <n v="31783"/>
    <n v="781"/>
    <n v="2.46E-2"/>
    <n v="1.1599999999999999"/>
    <n v="905.96"/>
    <n v="49"/>
    <n v="18.489999999999998"/>
    <n v="4886.84"/>
    <n v="3980.88"/>
    <n v="4.394101284824937"/>
    <n v="5.39"/>
  </r>
  <r>
    <d v="2024-01-14T00:00:00"/>
    <x v="0"/>
    <x v="2"/>
    <s v="Display"/>
    <x v="1"/>
    <s v="India"/>
    <n v="171020"/>
    <n v="2616"/>
    <n v="1.5299999999999999E-2"/>
    <n v="0.44"/>
    <n v="1151.04"/>
    <n v="41"/>
    <n v="28.07"/>
    <n v="9636.8799999999992"/>
    <n v="8485.84"/>
    <n v="7.3723241590214075"/>
    <n v="8.3699999999999992"/>
  </r>
  <r>
    <d v="2024-01-24T00:00:00"/>
    <x v="0"/>
    <x v="0"/>
    <s v="Shopping"/>
    <x v="0"/>
    <s v="Australia"/>
    <n v="31325"/>
    <n v="858"/>
    <n v="2.7400000000000001E-2"/>
    <n v="2.12"/>
    <n v="1818.96"/>
    <n v="43"/>
    <n v="42.3"/>
    <n v="2004.67"/>
    <n v="185.71000000000004"/>
    <n v="0.10209680256850071"/>
    <n v="1.1000000000000001"/>
  </r>
  <r>
    <d v="2024-12-30T00:00:00"/>
    <x v="9"/>
    <x v="2"/>
    <s v="Display"/>
    <x v="3"/>
    <s v="Australia"/>
    <n v="49134"/>
    <n v="1026"/>
    <n v="2.0899999999999998E-2"/>
    <n v="0.8"/>
    <n v="820.8"/>
    <n v="16"/>
    <n v="51.3"/>
    <n v="1025.05"/>
    <n v="204.25"/>
    <n v="0.24884259259259262"/>
    <n v="1.25"/>
  </r>
  <r>
    <d v="2024-04-30T00:00:00"/>
    <x v="5"/>
    <x v="0"/>
    <s v="Display"/>
    <x v="3"/>
    <s v="India"/>
    <n v="114599"/>
    <n v="2028"/>
    <n v="1.77E-2"/>
    <n v="2.4300000000000002"/>
    <n v="4928.04"/>
    <n v="29"/>
    <n v="169.93"/>
    <n v="5366.72"/>
    <n v="438.68000000000029"/>
    <n v="8.9017134601180242E-2"/>
    <n v="1.0900000000000001"/>
  </r>
  <r>
    <d v="2024-10-08T00:00:00"/>
    <x v="3"/>
    <x v="2"/>
    <s v="Video"/>
    <x v="0"/>
    <s v="UK"/>
    <n v="198581"/>
    <n v="1985"/>
    <n v="0.01"/>
    <n v="1.76"/>
    <n v="3493.6"/>
    <n v="38"/>
    <n v="91.94"/>
    <n v="8029.71"/>
    <n v="4536.1100000000006"/>
    <n v="1.2984056560567898"/>
    <n v="2.2999999999999998"/>
  </r>
  <r>
    <d v="2024-07-21T00:00:00"/>
    <x v="10"/>
    <x v="0"/>
    <s v="Video"/>
    <x v="3"/>
    <s v="Canada"/>
    <n v="157890"/>
    <n v="9204"/>
    <n v="5.8299999999999998E-2"/>
    <n v="3.37"/>
    <n v="31017.48"/>
    <n v="321"/>
    <n v="96.63"/>
    <n v="10260.33"/>
    <n v="-20757.150000000001"/>
    <n v="-0.66920813683123204"/>
    <n v="0.33"/>
  </r>
  <r>
    <d v="2024-04-04T00:00:00"/>
    <x v="5"/>
    <x v="0"/>
    <s v="Search"/>
    <x v="1"/>
    <s v="Germany"/>
    <n v="161215"/>
    <n v="5948"/>
    <n v="3.6900000000000002E-2"/>
    <n v="2.27"/>
    <n v="13501.96"/>
    <n v="439"/>
    <n v="30.76"/>
    <n v="105685.25"/>
    <n v="92183.290000000008"/>
    <n v="6.8274006144293136"/>
    <n v="7.83"/>
  </r>
  <r>
    <d v="2024-01-30T00:00:00"/>
    <x v="0"/>
    <x v="1"/>
    <s v="Video"/>
    <x v="0"/>
    <s v="India"/>
    <n v="48147"/>
    <n v="3562"/>
    <n v="7.3999999999999996E-2"/>
    <n v="0.42"/>
    <n v="1496.04"/>
    <n v="163"/>
    <n v="9.18"/>
    <n v="41382.29"/>
    <n v="39886.25"/>
    <n v="26.661218951364937"/>
    <n v="27.66"/>
  </r>
  <r>
    <d v="2024-04-04T00:00:00"/>
    <x v="5"/>
    <x v="2"/>
    <s v="Video"/>
    <x v="1"/>
    <s v="USA"/>
    <n v="90818"/>
    <n v="3287"/>
    <n v="3.6200000000000003E-2"/>
    <n v="0.8"/>
    <n v="2629.6"/>
    <n v="123"/>
    <n v="21.38"/>
    <n v="11242.68"/>
    <n v="8613.08"/>
    <n v="3.2754335260115606"/>
    <n v="4.28"/>
  </r>
  <r>
    <d v="2024-06-28T00:00:00"/>
    <x v="1"/>
    <x v="0"/>
    <s v="Video"/>
    <x v="3"/>
    <s v="India"/>
    <n v="118415"/>
    <n v="6500"/>
    <n v="5.4899999999999997E-2"/>
    <n v="1.74"/>
    <n v="11310"/>
    <n v="458"/>
    <n v="24.69"/>
    <n v="110383.15"/>
    <n v="99073.15"/>
    <n v="8.7597833775419982"/>
    <n v="9.76"/>
  </r>
  <r>
    <d v="2024-11-13T00:00:00"/>
    <x v="6"/>
    <x v="1"/>
    <s v="Shopping"/>
    <x v="3"/>
    <s v="Germany"/>
    <n v="113886"/>
    <n v="4965"/>
    <n v="4.36E-2"/>
    <n v="1.34"/>
    <n v="6653.1"/>
    <n v="141"/>
    <n v="47.19"/>
    <n v="24007.439999999999"/>
    <n v="17354.339999999997"/>
    <n v="2.6084592145015097"/>
    <n v="3.61"/>
  </r>
  <r>
    <d v="2024-03-29T00:00:00"/>
    <x v="11"/>
    <x v="2"/>
    <s v="Display"/>
    <x v="2"/>
    <s v="USA"/>
    <n v="113668"/>
    <n v="2864"/>
    <n v="2.52E-2"/>
    <n v="1.57"/>
    <n v="4496.4799999999996"/>
    <n v="81"/>
    <n v="55.51"/>
    <n v="6109.21"/>
    <n v="1612.7300000000005"/>
    <n v="0.35866500017791708"/>
    <n v="1.36"/>
  </r>
  <r>
    <d v="2024-06-21T00:00:00"/>
    <x v="1"/>
    <x v="2"/>
    <s v="Shopping"/>
    <x v="2"/>
    <s v="Australia"/>
    <n v="76880"/>
    <n v="1798"/>
    <n v="2.3400000000000001E-2"/>
    <n v="1.18"/>
    <n v="2121.64"/>
    <n v="91"/>
    <n v="23.31"/>
    <n v="8926.11"/>
    <n v="6804.4700000000012"/>
    <n v="3.2071746384872086"/>
    <n v="4.21"/>
  </r>
  <r>
    <d v="2024-09-28T00:00:00"/>
    <x v="7"/>
    <x v="0"/>
    <s v="Search"/>
    <x v="1"/>
    <s v="Australia"/>
    <n v="138438"/>
    <n v="4734"/>
    <n v="3.4200000000000001E-2"/>
    <n v="3.54"/>
    <n v="16758.36"/>
    <n v="191"/>
    <n v="87.74"/>
    <n v="38220.879999999997"/>
    <n v="21462.519999999997"/>
    <n v="1.2807052718762455"/>
    <n v="2.2799999999999998"/>
  </r>
  <r>
    <d v="2024-11-10T00:00:00"/>
    <x v="6"/>
    <x v="0"/>
    <s v="Search"/>
    <x v="4"/>
    <s v="Germany"/>
    <n v="34764"/>
    <n v="1251"/>
    <n v="3.5999999999999997E-2"/>
    <n v="0.83"/>
    <n v="1038.33"/>
    <n v="83"/>
    <n v="12.51"/>
    <n v="3361.16"/>
    <n v="2322.83"/>
    <n v="2.2370826230581802"/>
    <n v="3.24"/>
  </r>
  <r>
    <d v="2024-03-27T00:00:00"/>
    <x v="11"/>
    <x v="2"/>
    <s v="Video"/>
    <x v="0"/>
    <s v="Canada"/>
    <n v="61387"/>
    <n v="1608"/>
    <n v="2.6200000000000001E-2"/>
    <n v="2.09"/>
    <n v="3360.72"/>
    <n v="96"/>
    <n v="35.01"/>
    <n v="12312.27"/>
    <n v="8951.5500000000011"/>
    <n v="2.6635810183532107"/>
    <n v="3.66"/>
  </r>
  <r>
    <d v="2024-11-01T00:00:00"/>
    <x v="6"/>
    <x v="1"/>
    <s v="Shopping"/>
    <x v="3"/>
    <s v="UAE"/>
    <n v="139607"/>
    <n v="10289"/>
    <n v="7.3700000000000002E-2"/>
    <n v="0.91"/>
    <n v="9362.99"/>
    <n v="580"/>
    <n v="16.14"/>
    <n v="94107.07"/>
    <n v="84744.08"/>
    <n v="9.0509634208730336"/>
    <n v="10.050000000000001"/>
  </r>
  <r>
    <d v="2024-02-03T00:00:00"/>
    <x v="2"/>
    <x v="2"/>
    <s v="Shopping"/>
    <x v="1"/>
    <s v="UK"/>
    <n v="48271"/>
    <n v="1182"/>
    <n v="2.4500000000000001E-2"/>
    <n v="1.94"/>
    <n v="2293.08"/>
    <n v="30"/>
    <n v="76.44"/>
    <n v="2529.5"/>
    <n v="236.42000000000007"/>
    <n v="0.10310150539885224"/>
    <n v="1.1000000000000001"/>
  </r>
  <r>
    <d v="2024-11-21T00:00:00"/>
    <x v="6"/>
    <x v="1"/>
    <s v="Search"/>
    <x v="1"/>
    <s v="Australia"/>
    <n v="181833"/>
    <n v="10018"/>
    <n v="5.5100000000000003E-2"/>
    <n v="0.48"/>
    <n v="4808.6400000000003"/>
    <n v="686"/>
    <n v="7.01"/>
    <n v="153650.81"/>
    <n v="148842.16999999998"/>
    <n v="30.953069890863109"/>
    <n v="31.95"/>
  </r>
  <r>
    <d v="2024-05-20T00:00:00"/>
    <x v="8"/>
    <x v="2"/>
    <s v="Video"/>
    <x v="4"/>
    <s v="USA"/>
    <n v="83678"/>
    <n v="2761"/>
    <n v="3.3000000000000002E-2"/>
    <n v="1.66"/>
    <n v="4583.26"/>
    <n v="35"/>
    <n v="130.94999999999999"/>
    <n v="4630.4799999999996"/>
    <n v="47.219999999999345"/>
    <n v="1.0302710297910078E-2"/>
    <n v="1.01"/>
  </r>
  <r>
    <d v="2024-04-25T00:00:00"/>
    <x v="5"/>
    <x v="0"/>
    <s v="Search"/>
    <x v="3"/>
    <s v="Australia"/>
    <n v="32898"/>
    <n v="1743"/>
    <n v="5.2999999999999999E-2"/>
    <n v="1.17"/>
    <n v="2039.31"/>
    <n v="130"/>
    <n v="15.69"/>
    <n v="31968.71"/>
    <n v="29929.399999999998"/>
    <n v="14.676238531660218"/>
    <n v="15.68"/>
  </r>
  <r>
    <d v="2024-09-03T00:00:00"/>
    <x v="7"/>
    <x v="2"/>
    <s v="Search"/>
    <x v="2"/>
    <s v="Germany"/>
    <n v="36153"/>
    <n v="882"/>
    <n v="2.4400000000000002E-2"/>
    <n v="1.68"/>
    <n v="1481.76"/>
    <n v="62"/>
    <n v="23.9"/>
    <n v="16744.05"/>
    <n v="15262.289999999999"/>
    <n v="10.300109329446064"/>
    <n v="11.3"/>
  </r>
  <r>
    <d v="2024-06-14T00:00:00"/>
    <x v="1"/>
    <x v="2"/>
    <s v="Search"/>
    <x v="2"/>
    <s v="USA"/>
    <n v="140372"/>
    <n v="4548"/>
    <n v="3.2399999999999998E-2"/>
    <n v="1.44"/>
    <n v="6549.12"/>
    <n v="125"/>
    <n v="52.39"/>
    <n v="23552.19"/>
    <n v="17003.07"/>
    <n v="2.5962373570800352"/>
    <n v="3.6"/>
  </r>
  <r>
    <d v="2024-01-27T00:00:00"/>
    <x v="0"/>
    <x v="1"/>
    <s v="Video"/>
    <x v="3"/>
    <s v="UAE"/>
    <n v="196889"/>
    <n v="9568"/>
    <n v="4.8599999999999997E-2"/>
    <n v="0.93"/>
    <n v="8898.24"/>
    <n v="137"/>
    <n v="64.95"/>
    <n v="34964.660000000003"/>
    <n v="26066.420000000006"/>
    <n v="2.9293905311612192"/>
    <n v="3.93"/>
  </r>
  <r>
    <d v="2024-02-11T00:00:00"/>
    <x v="2"/>
    <x v="1"/>
    <s v="Display"/>
    <x v="1"/>
    <s v="UK"/>
    <n v="77467"/>
    <n v="3300"/>
    <n v="4.2599999999999999E-2"/>
    <n v="1.01"/>
    <n v="3333"/>
    <n v="180"/>
    <n v="18.52"/>
    <n v="42781.66"/>
    <n v="39448.660000000003"/>
    <n v="11.835781578157818"/>
    <n v="12.84"/>
  </r>
  <r>
    <d v="2024-02-11T00:00:00"/>
    <x v="2"/>
    <x v="0"/>
    <s v="Shopping"/>
    <x v="0"/>
    <s v="UAE"/>
    <n v="29016"/>
    <n v="1088"/>
    <n v="3.7499999999999999E-2"/>
    <n v="2.06"/>
    <n v="2241.2800000000002"/>
    <n v="56"/>
    <n v="40.020000000000003"/>
    <n v="9936.27"/>
    <n v="7694.99"/>
    <n v="3.4333015062821239"/>
    <n v="4.43"/>
  </r>
  <r>
    <d v="2024-07-11T00:00:00"/>
    <x v="10"/>
    <x v="2"/>
    <s v="Shopping"/>
    <x v="2"/>
    <s v="Canada"/>
    <n v="117200"/>
    <n v="1699"/>
    <n v="1.4500000000000001E-2"/>
    <n v="1.94"/>
    <n v="3296.06"/>
    <n v="113"/>
    <n v="29.17"/>
    <n v="30970.48"/>
    <n v="27674.42"/>
    <n v="8.3962124475889386"/>
    <n v="9.4"/>
  </r>
  <r>
    <d v="2024-05-05T00:00:00"/>
    <x v="8"/>
    <x v="0"/>
    <s v="Shopping"/>
    <x v="3"/>
    <s v="Germany"/>
    <n v="134157"/>
    <n v="3407"/>
    <n v="2.5399999999999999E-2"/>
    <n v="2.41"/>
    <n v="8210.8700000000008"/>
    <n v="147"/>
    <n v="55.86"/>
    <n v="41434.67"/>
    <n v="33223.799999999996"/>
    <n v="4.0463190867715593"/>
    <n v="5.05"/>
  </r>
  <r>
    <d v="2024-03-26T00:00:00"/>
    <x v="11"/>
    <x v="0"/>
    <s v="Display"/>
    <x v="0"/>
    <s v="India"/>
    <n v="161434"/>
    <n v="6328"/>
    <n v="3.9199999999999999E-2"/>
    <n v="0.77"/>
    <n v="4872.5600000000004"/>
    <n v="263"/>
    <n v="18.53"/>
    <n v="25426.86"/>
    <n v="20554.3"/>
    <n v="4.2183780189469182"/>
    <n v="5.22"/>
  </r>
  <r>
    <d v="2024-07-14T00:00:00"/>
    <x v="10"/>
    <x v="1"/>
    <s v="Shopping"/>
    <x v="3"/>
    <s v="Canada"/>
    <n v="62888"/>
    <n v="3307"/>
    <n v="5.2600000000000001E-2"/>
    <n v="0.61"/>
    <n v="2017.27"/>
    <n v="55"/>
    <n v="36.68"/>
    <n v="12898.32"/>
    <n v="10881.05"/>
    <n v="5.3939482568025099"/>
    <n v="6.39"/>
  </r>
  <r>
    <d v="2024-05-13T00:00:00"/>
    <x v="8"/>
    <x v="0"/>
    <s v="Video"/>
    <x v="3"/>
    <s v="Canada"/>
    <n v="108187"/>
    <n v="2423"/>
    <n v="2.24E-2"/>
    <n v="2.67"/>
    <n v="6469.41"/>
    <n v="179"/>
    <n v="36.14"/>
    <n v="29012.87"/>
    <n v="22543.46"/>
    <n v="3.4846237910412232"/>
    <n v="4.4800000000000004"/>
  </r>
  <r>
    <d v="2024-08-19T00:00:00"/>
    <x v="4"/>
    <x v="2"/>
    <s v="Search"/>
    <x v="4"/>
    <s v="Canada"/>
    <n v="199363"/>
    <n v="3847"/>
    <n v="1.9300000000000001E-2"/>
    <n v="0.9"/>
    <n v="3462.3"/>
    <n v="73"/>
    <n v="47.43"/>
    <n v="11133.49"/>
    <n v="7671.19"/>
    <n v="2.2156341160500244"/>
    <n v="3.22"/>
  </r>
  <r>
    <d v="2024-04-29T00:00:00"/>
    <x v="5"/>
    <x v="2"/>
    <s v="Video"/>
    <x v="3"/>
    <s v="Australia"/>
    <n v="59160"/>
    <n v="958"/>
    <n v="1.6199999999999999E-2"/>
    <n v="1"/>
    <n v="958"/>
    <n v="35"/>
    <n v="27.37"/>
    <n v="7848.99"/>
    <n v="6890.99"/>
    <n v="7.1931002087682669"/>
    <n v="8.19"/>
  </r>
  <r>
    <d v="2024-11-21T00:00:00"/>
    <x v="6"/>
    <x v="0"/>
    <s v="Shopping"/>
    <x v="4"/>
    <s v="Australia"/>
    <n v="78551"/>
    <n v="2411"/>
    <n v="3.0700000000000002E-2"/>
    <n v="3.38"/>
    <n v="8149.18"/>
    <n v="92"/>
    <n v="88.58"/>
    <n v="8262.09"/>
    <n v="112.90999999999985"/>
    <n v="1.3855381768472392E-2"/>
    <n v="1.01"/>
  </r>
  <r>
    <d v="2024-10-03T00:00:00"/>
    <x v="3"/>
    <x v="2"/>
    <s v="Display"/>
    <x v="3"/>
    <s v="USA"/>
    <n v="186711"/>
    <n v="7748"/>
    <n v="4.1500000000000002E-2"/>
    <n v="0.57999999999999996"/>
    <n v="4493.84"/>
    <n v="536"/>
    <n v="8.3800000000000008"/>
    <n v="89187.58"/>
    <n v="84693.74"/>
    <n v="18.846630053584462"/>
    <n v="19.850000000000001"/>
  </r>
  <r>
    <d v="2024-10-04T00:00:00"/>
    <x v="3"/>
    <x v="2"/>
    <s v="Shopping"/>
    <x v="3"/>
    <s v="UK"/>
    <n v="5528"/>
    <n v="108"/>
    <n v="1.9599999999999999E-2"/>
    <n v="2.02"/>
    <n v="218.16"/>
    <n v="7"/>
    <n v="31.17"/>
    <n v="2000.84"/>
    <n v="1782.6799999999998"/>
    <n v="8.1714338100476702"/>
    <n v="9.17"/>
  </r>
  <r>
    <d v="2024-12-07T00:00:00"/>
    <x v="9"/>
    <x v="0"/>
    <s v="Shopping"/>
    <x v="3"/>
    <s v="Canada"/>
    <n v="144535"/>
    <n v="7588"/>
    <n v="5.2499999999999998E-2"/>
    <n v="3.1"/>
    <n v="23522.799999999999"/>
    <n v="445"/>
    <n v="52.86"/>
    <n v="105358.98"/>
    <n v="81836.179999999993"/>
    <n v="3.4790152532861733"/>
    <n v="4.4800000000000004"/>
  </r>
  <r>
    <d v="2024-08-08T00:00:00"/>
    <x v="4"/>
    <x v="2"/>
    <s v="Search"/>
    <x v="4"/>
    <s v="UAE"/>
    <n v="8188"/>
    <n v="272"/>
    <n v="3.3300000000000003E-2"/>
    <n v="1.1599999999999999"/>
    <n v="315.52"/>
    <n v="14"/>
    <n v="22.54"/>
    <n v="3745.84"/>
    <n v="3430.32"/>
    <n v="10.871957403651116"/>
    <n v="11.87"/>
  </r>
  <r>
    <d v="2024-08-05T00:00:00"/>
    <x v="4"/>
    <x v="0"/>
    <s v="Display"/>
    <x v="0"/>
    <s v="Canada"/>
    <n v="71151"/>
    <n v="4368"/>
    <n v="6.1400000000000003E-2"/>
    <n v="3.23"/>
    <n v="14108.64"/>
    <n v="202"/>
    <n v="69.84"/>
    <n v="51341.85"/>
    <n v="37233.21"/>
    <n v="2.6390360800190522"/>
    <n v="3.64"/>
  </r>
  <r>
    <d v="2024-03-06T00:00:00"/>
    <x v="11"/>
    <x v="2"/>
    <s v="Shopping"/>
    <x v="1"/>
    <s v="Germany"/>
    <n v="171797"/>
    <n v="5153"/>
    <n v="0.03"/>
    <n v="0.54"/>
    <n v="2782.62"/>
    <n v="255"/>
    <n v="10.91"/>
    <n v="52673.17"/>
    <n v="49890.549999999996"/>
    <n v="17.929343568291753"/>
    <n v="18.93"/>
  </r>
  <r>
    <d v="2024-02-18T00:00:00"/>
    <x v="2"/>
    <x v="1"/>
    <s v="Search"/>
    <x v="1"/>
    <s v="Australia"/>
    <n v="173050"/>
    <n v="8565"/>
    <n v="4.9500000000000002E-2"/>
    <n v="0.69"/>
    <n v="5909.85"/>
    <n v="414"/>
    <n v="14.28"/>
    <n v="118511.79"/>
    <n v="112601.93999999999"/>
    <n v="19.053265311302315"/>
    <n v="20.05"/>
  </r>
  <r>
    <d v="2024-09-04T00:00:00"/>
    <x v="7"/>
    <x v="1"/>
    <s v="Video"/>
    <x v="4"/>
    <s v="Canada"/>
    <n v="178269"/>
    <n v="8646"/>
    <n v="4.8500000000000001E-2"/>
    <n v="0.63"/>
    <n v="5446.98"/>
    <n v="93"/>
    <n v="58.57"/>
    <n v="10627.54"/>
    <n v="5180.5600000000013"/>
    <n v="0.95108849307322618"/>
    <n v="1.95"/>
  </r>
  <r>
    <d v="2024-12-21T00:00:00"/>
    <x v="9"/>
    <x v="0"/>
    <s v="Display"/>
    <x v="4"/>
    <s v="UAE"/>
    <n v="164028"/>
    <n v="5905"/>
    <n v="3.5999999999999997E-2"/>
    <n v="1"/>
    <n v="5905"/>
    <n v="377"/>
    <n v="15.66"/>
    <n v="25718.59"/>
    <n v="19813.59"/>
    <n v="3.3553920406435225"/>
    <n v="4.3600000000000003"/>
  </r>
  <r>
    <d v="2024-02-01T00:00:00"/>
    <x v="2"/>
    <x v="1"/>
    <s v="Video"/>
    <x v="2"/>
    <s v="Australia"/>
    <n v="184504"/>
    <n v="15479"/>
    <n v="8.3900000000000002E-2"/>
    <n v="0.8"/>
    <n v="12383.2"/>
    <n v="538"/>
    <n v="23.02"/>
    <n v="112251.74"/>
    <n v="99868.540000000008"/>
    <n v="8.0648410750048463"/>
    <n v="9.06"/>
  </r>
  <r>
    <d v="2024-10-19T00:00:00"/>
    <x v="3"/>
    <x v="1"/>
    <s v="Shopping"/>
    <x v="2"/>
    <s v="India"/>
    <n v="119515"/>
    <n v="6824"/>
    <n v="5.7099999999999998E-2"/>
    <n v="0.86"/>
    <n v="5868.64"/>
    <n v="89"/>
    <n v="65.94"/>
    <n v="25992.880000000001"/>
    <n v="20124.240000000002"/>
    <n v="3.4291147523105865"/>
    <n v="4.43"/>
  </r>
  <r>
    <d v="2024-10-18T00:00:00"/>
    <x v="3"/>
    <x v="2"/>
    <s v="Search"/>
    <x v="1"/>
    <s v="USA"/>
    <n v="108591"/>
    <n v="2084"/>
    <n v="1.9199999999999998E-2"/>
    <n v="2.16"/>
    <n v="4501.4399999999996"/>
    <n v="31"/>
    <n v="145.21"/>
    <n v="6469.19"/>
    <n v="1967.75"/>
    <n v="0.43713789365180922"/>
    <n v="1.44"/>
  </r>
  <r>
    <d v="2024-05-11T00:00:00"/>
    <x v="8"/>
    <x v="2"/>
    <s v="Shopping"/>
    <x v="1"/>
    <s v="UK"/>
    <n v="68472"/>
    <n v="2601"/>
    <n v="3.7999999999999999E-2"/>
    <n v="1.38"/>
    <n v="3589.38"/>
    <n v="63"/>
    <n v="56.97"/>
    <n v="17508.47"/>
    <n v="13919.09"/>
    <n v="3.8778535568816896"/>
    <n v="4.88"/>
  </r>
  <r>
    <d v="2024-09-21T00:00:00"/>
    <x v="7"/>
    <x v="1"/>
    <s v="Shopping"/>
    <x v="0"/>
    <s v="USA"/>
    <n v="170201"/>
    <n v="7931"/>
    <n v="4.6600000000000003E-2"/>
    <n v="1.05"/>
    <n v="8327.5499999999993"/>
    <n v="182"/>
    <n v="45.76"/>
    <n v="10360.549999999999"/>
    <n v="2033"/>
    <n v="0.24412942582152017"/>
    <n v="1.24"/>
  </r>
  <r>
    <d v="2024-03-09T00:00:00"/>
    <x v="11"/>
    <x v="0"/>
    <s v="Video"/>
    <x v="1"/>
    <s v="Australia"/>
    <n v="92340"/>
    <n v="2502"/>
    <n v="2.7099999999999999E-2"/>
    <n v="1.96"/>
    <n v="4903.92"/>
    <n v="153"/>
    <n v="32.049999999999997"/>
    <n v="27593.24"/>
    <n v="22689.32"/>
    <n v="4.6267720517463582"/>
    <n v="5.63"/>
  </r>
  <r>
    <d v="2024-04-11T00:00:00"/>
    <x v="5"/>
    <x v="1"/>
    <s v="Search"/>
    <x v="3"/>
    <s v="USA"/>
    <n v="136940"/>
    <n v="4683"/>
    <n v="3.4200000000000001E-2"/>
    <n v="0.69"/>
    <n v="3231.27"/>
    <n v="137"/>
    <n v="23.59"/>
    <n v="12153.39"/>
    <n v="8922.119999999999"/>
    <n v="2.7611805884373632"/>
    <n v="3.76"/>
  </r>
  <r>
    <d v="2024-12-24T00:00:00"/>
    <x v="9"/>
    <x v="0"/>
    <s v="Search"/>
    <x v="1"/>
    <s v="Australia"/>
    <n v="106311"/>
    <n v="5762"/>
    <n v="5.4199999999999998E-2"/>
    <n v="0.92"/>
    <n v="5301.04"/>
    <n v="434"/>
    <n v="12.21"/>
    <n v="55571.88"/>
    <n v="50270.84"/>
    <n v="9.4832032959570185"/>
    <n v="10.48"/>
  </r>
  <r>
    <d v="2024-03-15T00:00:00"/>
    <x v="11"/>
    <x v="1"/>
    <s v="Shopping"/>
    <x v="4"/>
    <s v="Canada"/>
    <n v="120016"/>
    <n v="3336"/>
    <n v="2.7799999999999998E-2"/>
    <n v="1.33"/>
    <n v="4436.88"/>
    <n v="43"/>
    <n v="103.18"/>
    <n v="5864.19"/>
    <n v="1427.3099999999995"/>
    <n v="0.32169227024395508"/>
    <n v="1.32"/>
  </r>
  <r>
    <d v="2024-10-22T00:00:00"/>
    <x v="3"/>
    <x v="2"/>
    <s v="Display"/>
    <x v="3"/>
    <s v="Germany"/>
    <n v="193946"/>
    <n v="7854"/>
    <n v="4.0500000000000001E-2"/>
    <n v="1.89"/>
    <n v="14844.06"/>
    <n v="461"/>
    <n v="32.200000000000003"/>
    <n v="86871.54"/>
    <n v="72027.48"/>
    <n v="4.8522762640409702"/>
    <n v="5.85"/>
  </r>
  <r>
    <d v="2024-09-24T00:00:00"/>
    <x v="7"/>
    <x v="1"/>
    <s v="Shopping"/>
    <x v="4"/>
    <s v="Australia"/>
    <n v="138780"/>
    <n v="4135"/>
    <n v="2.98E-2"/>
    <n v="0.85"/>
    <n v="3514.75"/>
    <n v="86"/>
    <n v="40.869999999999997"/>
    <n v="7373.66"/>
    <n v="3858.91"/>
    <n v="1.0979187708940892"/>
    <n v="2.1"/>
  </r>
  <r>
    <d v="2024-07-27T00:00:00"/>
    <x v="10"/>
    <x v="2"/>
    <s v="Display"/>
    <x v="3"/>
    <s v="UK"/>
    <n v="51365"/>
    <n v="873"/>
    <n v="1.7000000000000001E-2"/>
    <n v="0.7"/>
    <n v="611.1"/>
    <n v="19"/>
    <n v="32.159999999999997"/>
    <n v="2655.69"/>
    <n v="2044.5900000000001"/>
    <n v="3.3457535591556211"/>
    <n v="4.3499999999999996"/>
  </r>
  <r>
    <d v="2024-03-06T00:00:00"/>
    <x v="11"/>
    <x v="0"/>
    <s v="Shopping"/>
    <x v="2"/>
    <s v="UK"/>
    <n v="185903"/>
    <n v="4647"/>
    <n v="2.5000000000000001E-2"/>
    <n v="2.96"/>
    <n v="13755.12"/>
    <n v="342"/>
    <n v="40.22"/>
    <n v="58276.63"/>
    <n v="44521.509999999995"/>
    <n v="3.2367227621423873"/>
    <n v="4.24"/>
  </r>
  <r>
    <d v="2024-03-01T00:00:00"/>
    <x v="11"/>
    <x v="1"/>
    <s v="Display"/>
    <x v="3"/>
    <s v="Australia"/>
    <n v="61232"/>
    <n v="2951"/>
    <n v="4.82E-2"/>
    <n v="0.75"/>
    <n v="2213.25"/>
    <n v="51"/>
    <n v="43.4"/>
    <n v="15061.62"/>
    <n v="12848.37"/>
    <n v="5.8052050152490686"/>
    <n v="6.81"/>
  </r>
  <r>
    <d v="2024-10-06T00:00:00"/>
    <x v="3"/>
    <x v="1"/>
    <s v="Display"/>
    <x v="3"/>
    <s v="USA"/>
    <n v="122286"/>
    <n v="7642"/>
    <n v="6.25E-2"/>
    <n v="1.47"/>
    <n v="11233.74"/>
    <n v="201"/>
    <n v="55.89"/>
    <n v="60002.91"/>
    <n v="48769.170000000006"/>
    <n v="4.3413119762429968"/>
    <n v="5.34"/>
  </r>
  <r>
    <d v="2024-03-06T00:00:00"/>
    <x v="11"/>
    <x v="1"/>
    <s v="Shopping"/>
    <x v="2"/>
    <s v="UK"/>
    <n v="60114"/>
    <n v="4917"/>
    <n v="8.1799999999999998E-2"/>
    <n v="1.35"/>
    <n v="6637.95"/>
    <n v="279"/>
    <n v="23.79"/>
    <n v="15410.94"/>
    <n v="8772.9900000000016"/>
    <n v="1.3216414706347595"/>
    <n v="2.3199999999999998"/>
  </r>
  <r>
    <d v="2024-02-04T00:00:00"/>
    <x v="2"/>
    <x v="2"/>
    <s v="Display"/>
    <x v="2"/>
    <s v="Australia"/>
    <n v="124004"/>
    <n v="2083"/>
    <n v="1.6799999999999999E-2"/>
    <n v="1.51"/>
    <n v="3145.33"/>
    <n v="49"/>
    <n v="64.19"/>
    <n v="9959.3700000000008"/>
    <n v="6814.0400000000009"/>
    <n v="2.1663990741829955"/>
    <n v="3.17"/>
  </r>
  <r>
    <d v="2024-02-05T00:00:00"/>
    <x v="2"/>
    <x v="1"/>
    <s v="Search"/>
    <x v="4"/>
    <s v="UK"/>
    <n v="168322"/>
    <n v="4965"/>
    <n v="2.9499999999999998E-2"/>
    <n v="0.91"/>
    <n v="4518.1499999999996"/>
    <n v="228"/>
    <n v="19.82"/>
    <n v="49052.14"/>
    <n v="44533.99"/>
    <n v="9.8566869183183385"/>
    <n v="10.86"/>
  </r>
  <r>
    <d v="2024-05-09T00:00:00"/>
    <x v="8"/>
    <x v="2"/>
    <s v="Display"/>
    <x v="2"/>
    <s v="Germany"/>
    <n v="113957"/>
    <n v="3008"/>
    <n v="2.64E-2"/>
    <n v="2.33"/>
    <n v="7008.64"/>
    <n v="127"/>
    <n v="55.19"/>
    <n v="17960.45"/>
    <n v="10951.810000000001"/>
    <n v="1.5626155716372936"/>
    <n v="2.56"/>
  </r>
  <r>
    <d v="2024-02-04T00:00:00"/>
    <x v="2"/>
    <x v="0"/>
    <s v="Search"/>
    <x v="3"/>
    <s v="USA"/>
    <n v="137290"/>
    <n v="5011"/>
    <n v="3.6499999999999998E-2"/>
    <n v="1.56"/>
    <n v="7817.16"/>
    <n v="323"/>
    <n v="24.2"/>
    <n v="28440.57"/>
    <n v="20623.41"/>
    <n v="2.6382228328446646"/>
    <n v="3.64"/>
  </r>
  <r>
    <d v="2024-05-21T00:00:00"/>
    <x v="8"/>
    <x v="2"/>
    <s v="Video"/>
    <x v="0"/>
    <s v="UAE"/>
    <n v="12253"/>
    <n v="468"/>
    <n v="3.8199999999999998E-2"/>
    <n v="0.77"/>
    <n v="360.36"/>
    <n v="9"/>
    <n v="40.04"/>
    <n v="1433.96"/>
    <n v="1073.5999999999999"/>
    <n v="2.9792429792429789"/>
    <n v="3.98"/>
  </r>
  <r>
    <d v="2024-12-21T00:00:00"/>
    <x v="9"/>
    <x v="0"/>
    <s v="Video"/>
    <x v="1"/>
    <s v="Australia"/>
    <n v="109216"/>
    <n v="5777"/>
    <n v="5.2900000000000003E-2"/>
    <n v="3.06"/>
    <n v="17677.62"/>
    <n v="140"/>
    <n v="126.27"/>
    <n v="11237.04"/>
    <n v="-6440.5799999999981"/>
    <n v="-0.36433524422405272"/>
    <n v="0.64"/>
  </r>
  <r>
    <d v="2024-03-03T00:00:00"/>
    <x v="11"/>
    <x v="0"/>
    <s v="Shopping"/>
    <x v="0"/>
    <s v="Canada"/>
    <n v="166215"/>
    <n v="9158"/>
    <n v="5.5100000000000003E-2"/>
    <n v="0.72"/>
    <n v="6593.76"/>
    <n v="112"/>
    <n v="58.87"/>
    <n v="29121.09"/>
    <n v="22527.33"/>
    <n v="3.4164619276406785"/>
    <n v="4.42"/>
  </r>
  <r>
    <d v="2024-11-29T00:00:00"/>
    <x v="6"/>
    <x v="2"/>
    <s v="Shopping"/>
    <x v="3"/>
    <s v="India"/>
    <n v="140678"/>
    <n v="5655"/>
    <n v="4.02E-2"/>
    <n v="2.0699999999999998"/>
    <n v="11705.85"/>
    <n v="154"/>
    <n v="76.010000000000005"/>
    <n v="7932.09"/>
    <n v="-3773.76"/>
    <n v="-0.32238239854431761"/>
    <n v="0.68"/>
  </r>
  <r>
    <d v="2024-07-19T00:00:00"/>
    <x v="10"/>
    <x v="0"/>
    <s v="Search"/>
    <x v="4"/>
    <s v="UAE"/>
    <n v="176066"/>
    <n v="5264"/>
    <n v="2.9899999999999999E-2"/>
    <n v="1.58"/>
    <n v="8317.1200000000008"/>
    <n v="119"/>
    <n v="69.89"/>
    <n v="28182.41"/>
    <n v="19865.29"/>
    <n v="2.3884818302489323"/>
    <n v="3.39"/>
  </r>
  <r>
    <d v="2024-04-29T00:00:00"/>
    <x v="5"/>
    <x v="0"/>
    <s v="Search"/>
    <x v="2"/>
    <s v="Canada"/>
    <n v="59418"/>
    <n v="1996"/>
    <n v="3.3599999999999998E-2"/>
    <n v="1.65"/>
    <n v="3293.4"/>
    <n v="80"/>
    <n v="41.17"/>
    <n v="3528.5"/>
    <n v="235.09999999999991"/>
    <n v="7.138519463168759E-2"/>
    <n v="1.07"/>
  </r>
  <r>
    <d v="2024-01-27T00:00:00"/>
    <x v="0"/>
    <x v="0"/>
    <s v="Search"/>
    <x v="1"/>
    <s v="UAE"/>
    <n v="143183"/>
    <n v="5784"/>
    <n v="4.0399999999999998E-2"/>
    <n v="0.86"/>
    <n v="4974.24"/>
    <n v="432"/>
    <n v="11.51"/>
    <n v="88233.11"/>
    <n v="83258.87"/>
    <n v="16.738008218340891"/>
    <n v="17.739999999999998"/>
  </r>
  <r>
    <d v="2024-07-19T00:00:00"/>
    <x v="10"/>
    <x v="2"/>
    <s v="Shopping"/>
    <x v="4"/>
    <s v="India"/>
    <n v="194059"/>
    <n v="3434"/>
    <n v="1.77E-2"/>
    <n v="1.36"/>
    <n v="4670.24"/>
    <n v="193"/>
    <n v="24.2"/>
    <n v="7460.79"/>
    <n v="2790.55"/>
    <n v="0.59751747233546892"/>
    <n v="1.6"/>
  </r>
  <r>
    <d v="2024-08-02T00:00:00"/>
    <x v="4"/>
    <x v="0"/>
    <s v="Shopping"/>
    <x v="3"/>
    <s v="UAE"/>
    <n v="98899"/>
    <n v="2185"/>
    <n v="2.2100000000000002E-2"/>
    <n v="3.16"/>
    <n v="6904.6"/>
    <n v="171"/>
    <n v="40.380000000000003"/>
    <n v="45859.64"/>
    <n v="38955.040000000001"/>
    <n v="5.6418967065434638"/>
    <n v="6.64"/>
  </r>
  <r>
    <d v="2024-02-25T00:00:00"/>
    <x v="2"/>
    <x v="2"/>
    <s v="Search"/>
    <x v="4"/>
    <s v="UK"/>
    <n v="129494"/>
    <n v="1631"/>
    <n v="1.26E-2"/>
    <n v="2.14"/>
    <n v="3490.34"/>
    <n v="108"/>
    <n v="32.32"/>
    <n v="28288.04"/>
    <n v="24797.7"/>
    <n v="7.1046660210753103"/>
    <n v="8.1"/>
  </r>
  <r>
    <d v="2024-03-03T00:00:00"/>
    <x v="11"/>
    <x v="1"/>
    <s v="Shopping"/>
    <x v="3"/>
    <s v="UAE"/>
    <n v="191443"/>
    <n v="6872"/>
    <n v="3.5900000000000001E-2"/>
    <n v="1.67"/>
    <n v="11476.24"/>
    <n v="422"/>
    <n v="27.19"/>
    <n v="108198.8"/>
    <n v="96722.559999999998"/>
    <n v="8.4280705178699638"/>
    <n v="9.43"/>
  </r>
  <r>
    <d v="2024-12-30T00:00:00"/>
    <x v="9"/>
    <x v="1"/>
    <s v="Search"/>
    <x v="3"/>
    <s v="Australia"/>
    <n v="61950"/>
    <n v="4076"/>
    <n v="6.5799999999999997E-2"/>
    <n v="0.3"/>
    <n v="1222.8"/>
    <n v="97"/>
    <n v="12.61"/>
    <n v="26763.8"/>
    <n v="25541"/>
    <n v="20.887307818122341"/>
    <n v="21.89"/>
  </r>
  <r>
    <d v="2024-11-08T00:00:00"/>
    <x v="6"/>
    <x v="0"/>
    <s v="Shopping"/>
    <x v="3"/>
    <s v="UK"/>
    <n v="34605"/>
    <n v="809"/>
    <n v="2.3400000000000001E-2"/>
    <n v="1.76"/>
    <n v="1423.84"/>
    <n v="40"/>
    <n v="35.6"/>
    <n v="5146.88"/>
    <n v="3723.04"/>
    <n v="2.6147881784470166"/>
    <n v="3.61"/>
  </r>
  <r>
    <d v="2024-01-31T00:00:00"/>
    <x v="0"/>
    <x v="1"/>
    <s v="Shopping"/>
    <x v="0"/>
    <s v="UAE"/>
    <n v="127790"/>
    <n v="7015"/>
    <n v="5.4899999999999997E-2"/>
    <n v="1.23"/>
    <n v="8628.4500000000007"/>
    <n v="422"/>
    <n v="20.45"/>
    <n v="90118.48"/>
    <n v="81490.03"/>
    <n v="9.4443416836164076"/>
    <n v="10.44"/>
  </r>
  <r>
    <d v="2024-01-09T00:00:00"/>
    <x v="0"/>
    <x v="1"/>
    <s v="Search"/>
    <x v="2"/>
    <s v="Germany"/>
    <n v="96310"/>
    <n v="6905"/>
    <n v="7.17E-2"/>
    <n v="1.28"/>
    <n v="8838.4"/>
    <n v="247"/>
    <n v="35.78"/>
    <n v="8632.99"/>
    <n v="-205.40999999999985"/>
    <n v="-2.3240631788559001E-2"/>
    <n v="0.98"/>
  </r>
  <r>
    <d v="2024-09-05T00:00:00"/>
    <x v="7"/>
    <x v="0"/>
    <s v="Shopping"/>
    <x v="0"/>
    <s v="India"/>
    <n v="197589"/>
    <n v="4781"/>
    <n v="2.4199999999999999E-2"/>
    <n v="1.6"/>
    <n v="7649.6"/>
    <n v="225"/>
    <n v="34"/>
    <n v="12329.91"/>
    <n v="4680.3099999999995"/>
    <n v="0.6118372202468102"/>
    <n v="1.61"/>
  </r>
  <r>
    <d v="2024-02-17T00:00:00"/>
    <x v="2"/>
    <x v="2"/>
    <s v="Video"/>
    <x v="4"/>
    <s v="USA"/>
    <n v="118566"/>
    <n v="3711"/>
    <n v="3.1300000000000001E-2"/>
    <n v="1.1299999999999999"/>
    <n v="4193.43"/>
    <n v="58"/>
    <n v="72.3"/>
    <n v="14643.53"/>
    <n v="10450.1"/>
    <n v="2.4920172746415226"/>
    <n v="3.49"/>
  </r>
  <r>
    <d v="2024-09-25T00:00:00"/>
    <x v="7"/>
    <x v="2"/>
    <s v="Shopping"/>
    <x v="2"/>
    <s v="Germany"/>
    <n v="199451"/>
    <n v="3989"/>
    <n v="0.02"/>
    <n v="1.28"/>
    <n v="5105.92"/>
    <n v="110"/>
    <n v="46.42"/>
    <n v="8236.16"/>
    <n v="3130.24"/>
    <n v="0.6130609175231887"/>
    <n v="1.61"/>
  </r>
  <r>
    <d v="2024-10-23T00:00:00"/>
    <x v="3"/>
    <x v="0"/>
    <s v="Display"/>
    <x v="3"/>
    <s v="UAE"/>
    <n v="88251"/>
    <n v="5965"/>
    <n v="6.7599999999999993E-2"/>
    <n v="0.82"/>
    <n v="4891.3"/>
    <n v="133"/>
    <n v="36.78"/>
    <n v="14897.06"/>
    <n v="10005.759999999998"/>
    <n v="2.0456238627767664"/>
    <n v="3.05"/>
  </r>
  <r>
    <d v="2024-01-15T00:00:00"/>
    <x v="0"/>
    <x v="0"/>
    <s v="Display"/>
    <x v="0"/>
    <s v="Canada"/>
    <n v="55406"/>
    <n v="2648"/>
    <n v="4.7800000000000002E-2"/>
    <n v="1.9"/>
    <n v="5031.2"/>
    <n v="149"/>
    <n v="33.770000000000003"/>
    <n v="22127.3"/>
    <n v="17096.099999999999"/>
    <n v="3.3980163778025121"/>
    <n v="4.4000000000000004"/>
  </r>
  <r>
    <d v="2024-02-16T00:00:00"/>
    <x v="2"/>
    <x v="1"/>
    <s v="Display"/>
    <x v="0"/>
    <s v="Australia"/>
    <n v="141447"/>
    <n v="9873"/>
    <n v="6.9800000000000001E-2"/>
    <n v="1.39"/>
    <n v="13723.47"/>
    <n v="588"/>
    <n v="23.34"/>
    <n v="86774.51"/>
    <n v="73051.039999999994"/>
    <n v="5.3230735375236726"/>
    <n v="6.32"/>
  </r>
  <r>
    <d v="2024-02-06T00:00:00"/>
    <x v="2"/>
    <x v="0"/>
    <s v="Video"/>
    <x v="1"/>
    <s v="UK"/>
    <n v="73591"/>
    <n v="2649"/>
    <n v="3.5999999999999997E-2"/>
    <n v="2.83"/>
    <n v="7496.67"/>
    <n v="161"/>
    <n v="46.56"/>
    <n v="45161.9"/>
    <n v="37665.230000000003"/>
    <n v="5.0242614387454703"/>
    <n v="6.02"/>
  </r>
  <r>
    <d v="2024-02-25T00:00:00"/>
    <x v="2"/>
    <x v="0"/>
    <s v="Video"/>
    <x v="0"/>
    <s v="India"/>
    <n v="66477"/>
    <n v="2718"/>
    <n v="4.0899999999999999E-2"/>
    <n v="2.86"/>
    <n v="7773.48"/>
    <n v="160"/>
    <n v="48.58"/>
    <n v="16856.48"/>
    <n v="9083"/>
    <n v="1.1684599432943805"/>
    <n v="2.17"/>
  </r>
  <r>
    <d v="2024-08-28T00:00:00"/>
    <x v="4"/>
    <x v="2"/>
    <s v="Video"/>
    <x v="4"/>
    <s v="UAE"/>
    <n v="196386"/>
    <n v="6794"/>
    <n v="3.4599999999999999E-2"/>
    <n v="0.81"/>
    <n v="5503.14"/>
    <n v="506"/>
    <n v="10.88"/>
    <n v="34412.06"/>
    <n v="28908.92"/>
    <n v="5.2531681912508121"/>
    <n v="6.25"/>
  </r>
  <r>
    <d v="2024-10-28T00:00:00"/>
    <x v="3"/>
    <x v="0"/>
    <s v="Display"/>
    <x v="0"/>
    <s v="Canada"/>
    <n v="78927"/>
    <n v="3172"/>
    <n v="4.02E-2"/>
    <n v="3.2"/>
    <n v="10150.4"/>
    <n v="62"/>
    <n v="163.72"/>
    <n v="7568.63"/>
    <n v="-2581.7699999999995"/>
    <n v="-0.25435155264817144"/>
    <n v="0.75"/>
  </r>
  <r>
    <d v="2024-12-10T00:00:00"/>
    <x v="9"/>
    <x v="0"/>
    <s v="Display"/>
    <x v="3"/>
    <s v="Canada"/>
    <n v="184857"/>
    <n v="3419"/>
    <n v="1.8499999999999999E-2"/>
    <n v="2.57"/>
    <n v="8786.83"/>
    <n v="248"/>
    <n v="35.43"/>
    <n v="70137.509999999995"/>
    <n v="61350.679999999993"/>
    <n v="6.9821175554779131"/>
    <n v="7.98"/>
  </r>
  <r>
    <d v="2024-08-30T00:00:00"/>
    <x v="4"/>
    <x v="1"/>
    <s v="Display"/>
    <x v="1"/>
    <s v="India"/>
    <n v="122174"/>
    <n v="6499"/>
    <n v="5.3199999999999997E-2"/>
    <n v="0.88"/>
    <n v="5719.12"/>
    <n v="413"/>
    <n v="13.85"/>
    <n v="58791.38"/>
    <n v="53072.259999999995"/>
    <n v="9.2797947936046103"/>
    <n v="10.28"/>
  </r>
  <r>
    <d v="2024-07-26T00:00:00"/>
    <x v="10"/>
    <x v="0"/>
    <s v="Search"/>
    <x v="3"/>
    <s v="Germany"/>
    <n v="108719"/>
    <n v="4207"/>
    <n v="3.8699999999999998E-2"/>
    <n v="3.2"/>
    <n v="13462.4"/>
    <n v="121"/>
    <n v="111.26"/>
    <n v="21018.47"/>
    <n v="7556.0700000000015"/>
    <n v="0.56127213572617085"/>
    <n v="1.56"/>
  </r>
  <r>
    <d v="2024-11-08T00:00:00"/>
    <x v="6"/>
    <x v="2"/>
    <s v="Shopping"/>
    <x v="2"/>
    <s v="Australia"/>
    <n v="186949"/>
    <n v="3140"/>
    <n v="1.6799999999999999E-2"/>
    <n v="0.6"/>
    <n v="1884"/>
    <n v="186"/>
    <n v="10.130000000000001"/>
    <n v="30294.1"/>
    <n v="28410.1"/>
    <n v="15.079670912951167"/>
    <n v="16.079999999999998"/>
  </r>
  <r>
    <d v="2024-09-12T00:00:00"/>
    <x v="7"/>
    <x v="0"/>
    <s v="Video"/>
    <x v="4"/>
    <s v="UK"/>
    <n v="193869"/>
    <n v="13124"/>
    <n v="6.7699999999999996E-2"/>
    <n v="2.93"/>
    <n v="38453.32"/>
    <n v="264"/>
    <n v="145.66"/>
    <n v="67604.89"/>
    <n v="29151.57"/>
    <n v="0.75810281140874181"/>
    <n v="1.76"/>
  </r>
  <r>
    <d v="2024-07-28T00:00:00"/>
    <x v="10"/>
    <x v="0"/>
    <s v="Search"/>
    <x v="1"/>
    <s v="Australia"/>
    <n v="158535"/>
    <n v="3836"/>
    <n v="2.4199999999999999E-2"/>
    <n v="2.16"/>
    <n v="8285.76"/>
    <n v="120"/>
    <n v="69.05"/>
    <n v="12930.51"/>
    <n v="4644.75"/>
    <n v="0.56057018306105899"/>
    <n v="1.56"/>
  </r>
  <r>
    <d v="2024-12-14T00:00:00"/>
    <x v="9"/>
    <x v="1"/>
    <s v="Search"/>
    <x v="1"/>
    <s v="UAE"/>
    <n v="148949"/>
    <n v="12332"/>
    <n v="8.2799999999999999E-2"/>
    <n v="1.01"/>
    <n v="12455.32"/>
    <n v="546"/>
    <n v="22.81"/>
    <n v="95805.85"/>
    <n v="83350.53"/>
    <n v="6.6919621495071988"/>
    <n v="7.69"/>
  </r>
  <r>
    <d v="2024-07-19T00:00:00"/>
    <x v="10"/>
    <x v="0"/>
    <s v="Display"/>
    <x v="0"/>
    <s v="USA"/>
    <n v="184810"/>
    <n v="7447"/>
    <n v="4.0300000000000002E-2"/>
    <n v="3.12"/>
    <n v="23234.639999999999"/>
    <n v="334"/>
    <n v="69.56"/>
    <n v="51289.24"/>
    <n v="28054.6"/>
    <n v="1.2074471564870384"/>
    <n v="2.21"/>
  </r>
  <r>
    <d v="2024-07-16T00:00:00"/>
    <x v="10"/>
    <x v="2"/>
    <s v="Video"/>
    <x v="4"/>
    <s v="USA"/>
    <n v="85989"/>
    <n v="997"/>
    <n v="1.1599999999999999E-2"/>
    <n v="1.69"/>
    <n v="1684.93"/>
    <n v="37"/>
    <n v="45.54"/>
    <n v="4865.84"/>
    <n v="3180.91"/>
    <n v="1.8878588428005909"/>
    <n v="2.89"/>
  </r>
  <r>
    <d v="2024-02-16T00:00:00"/>
    <x v="2"/>
    <x v="2"/>
    <s v="Shopping"/>
    <x v="0"/>
    <s v="Canada"/>
    <n v="35755"/>
    <n v="654"/>
    <n v="1.83E-2"/>
    <n v="1.6"/>
    <n v="1046.4000000000001"/>
    <n v="40"/>
    <n v="26.16"/>
    <n v="11846.71"/>
    <n v="10800.31"/>
    <n v="10.321397171253821"/>
    <n v="11.32"/>
  </r>
  <r>
    <d v="2024-10-25T00:00:00"/>
    <x v="3"/>
    <x v="2"/>
    <s v="Video"/>
    <x v="0"/>
    <s v="UK"/>
    <n v="184298"/>
    <n v="7758"/>
    <n v="4.2099999999999999E-2"/>
    <n v="1.55"/>
    <n v="12024.9"/>
    <n v="351"/>
    <n v="34.26"/>
    <n v="91198.92"/>
    <n v="79174.02"/>
    <n v="6.5841728413541905"/>
    <n v="7.58"/>
  </r>
  <r>
    <d v="2024-03-17T00:00:00"/>
    <x v="11"/>
    <x v="2"/>
    <s v="Video"/>
    <x v="3"/>
    <s v="India"/>
    <n v="22878"/>
    <n v="619"/>
    <n v="2.7099999999999999E-2"/>
    <n v="1.01"/>
    <n v="625.19000000000005"/>
    <n v="43"/>
    <n v="14.54"/>
    <n v="8615.57"/>
    <n v="7990.3799999999992"/>
    <n v="12.780722660311262"/>
    <n v="13.78"/>
  </r>
  <r>
    <d v="2024-11-16T00:00:00"/>
    <x v="6"/>
    <x v="2"/>
    <s v="Search"/>
    <x v="0"/>
    <s v="UK"/>
    <n v="151539"/>
    <n v="3455"/>
    <n v="2.2800000000000001E-2"/>
    <n v="2.0499999999999998"/>
    <n v="7082.75"/>
    <n v="135"/>
    <n v="52.46"/>
    <n v="4666.78"/>
    <n v="-2415.9700000000003"/>
    <n v="-0.34110620874660269"/>
    <n v="0.66"/>
  </r>
  <r>
    <d v="2024-10-26T00:00:00"/>
    <x v="3"/>
    <x v="0"/>
    <s v="Display"/>
    <x v="2"/>
    <s v="Australia"/>
    <n v="180365"/>
    <n v="6114"/>
    <n v="3.39E-2"/>
    <n v="3.46"/>
    <n v="21154.44"/>
    <n v="400"/>
    <n v="52.89"/>
    <n v="111623.05"/>
    <n v="90468.61"/>
    <n v="4.2765778720684642"/>
    <n v="5.28"/>
  </r>
  <r>
    <d v="2024-08-22T00:00:00"/>
    <x v="4"/>
    <x v="2"/>
    <s v="Video"/>
    <x v="0"/>
    <s v="Australia"/>
    <n v="30168"/>
    <n v="1080"/>
    <n v="3.5799999999999998E-2"/>
    <n v="0.46"/>
    <n v="496.8"/>
    <n v="34"/>
    <n v="14.61"/>
    <n v="5163.2700000000004"/>
    <n v="4666.47"/>
    <n v="9.3930555555555557"/>
    <n v="10.39"/>
  </r>
  <r>
    <d v="2024-05-12T00:00:00"/>
    <x v="8"/>
    <x v="0"/>
    <s v="Display"/>
    <x v="0"/>
    <s v="UAE"/>
    <n v="26352"/>
    <n v="1697"/>
    <n v="6.4399999999999999E-2"/>
    <n v="1.71"/>
    <n v="2901.87"/>
    <n v="126"/>
    <n v="23.03"/>
    <n v="31980.19"/>
    <n v="29078.32"/>
    <n v="10.020545372466721"/>
    <n v="11.02"/>
  </r>
  <r>
    <d v="2024-01-23T00:00:00"/>
    <x v="0"/>
    <x v="0"/>
    <s v="Search"/>
    <x v="2"/>
    <s v="India"/>
    <n v="57979"/>
    <n v="2081"/>
    <n v="3.5900000000000001E-2"/>
    <n v="1.89"/>
    <n v="3933.09"/>
    <n v="148"/>
    <n v="26.57"/>
    <n v="18788.47"/>
    <n v="14855.380000000001"/>
    <n v="3.7770251888464288"/>
    <n v="4.78"/>
  </r>
  <r>
    <d v="2024-10-12T00:00:00"/>
    <x v="3"/>
    <x v="0"/>
    <s v="Video"/>
    <x v="0"/>
    <s v="Australia"/>
    <n v="173769"/>
    <n v="6759"/>
    <n v="3.8899999999999997E-2"/>
    <n v="2.86"/>
    <n v="19330.740000000002"/>
    <n v="158"/>
    <n v="122.35"/>
    <n v="21350.44"/>
    <n v="2019.6999999999971"/>
    <n v="0.10448125627885932"/>
    <n v="1.1000000000000001"/>
  </r>
  <r>
    <d v="2024-09-01T00:00:00"/>
    <x v="7"/>
    <x v="1"/>
    <s v="Shopping"/>
    <x v="3"/>
    <s v="Germany"/>
    <n v="131206"/>
    <n v="8279"/>
    <n v="6.3100000000000003E-2"/>
    <n v="1.53"/>
    <n v="12666.87"/>
    <n v="553"/>
    <n v="22.91"/>
    <n v="61485.88"/>
    <n v="48819.009999999995"/>
    <n v="3.8540705004472291"/>
    <n v="4.8499999999999996"/>
  </r>
  <r>
    <d v="2024-05-20T00:00:00"/>
    <x v="8"/>
    <x v="2"/>
    <s v="Display"/>
    <x v="1"/>
    <s v="UK"/>
    <n v="64799"/>
    <n v="842"/>
    <n v="1.2999999999999999E-2"/>
    <n v="1.75"/>
    <n v="1473.5"/>
    <n v="52"/>
    <n v="28.34"/>
    <n v="15157.93"/>
    <n v="13684.43"/>
    <n v="9.2870240922972513"/>
    <n v="10.29"/>
  </r>
  <r>
    <d v="2024-01-16T00:00:00"/>
    <x v="0"/>
    <x v="2"/>
    <s v="Shopping"/>
    <x v="4"/>
    <s v="UK"/>
    <n v="167893"/>
    <n v="4432"/>
    <n v="2.64E-2"/>
    <n v="0.57999999999999996"/>
    <n v="2570.56"/>
    <n v="66"/>
    <n v="38.950000000000003"/>
    <n v="15989.78"/>
    <n v="13419.220000000001"/>
    <n v="5.2203488733972367"/>
    <n v="6.22"/>
  </r>
  <r>
    <d v="2024-04-29T00:00:00"/>
    <x v="5"/>
    <x v="0"/>
    <s v="Display"/>
    <x v="1"/>
    <s v="Australia"/>
    <n v="72474"/>
    <n v="4022"/>
    <n v="5.5500000000000001E-2"/>
    <n v="3.11"/>
    <n v="12508.42"/>
    <n v="142"/>
    <n v="88.09"/>
    <n v="38937.53"/>
    <n v="26429.11"/>
    <n v="2.1129055468236597"/>
    <n v="3.11"/>
  </r>
  <r>
    <d v="2024-10-25T00:00:00"/>
    <x v="3"/>
    <x v="2"/>
    <s v="Video"/>
    <x v="1"/>
    <s v="Canada"/>
    <n v="138678"/>
    <n v="1802"/>
    <n v="1.2999999999999999E-2"/>
    <n v="1.9"/>
    <n v="3423.8"/>
    <n v="61"/>
    <n v="56.13"/>
    <n v="2147.0300000000002"/>
    <n v="-1276.77"/>
    <n v="-0.37291021671826624"/>
    <n v="0.63"/>
  </r>
  <r>
    <d v="2024-07-06T00:00:00"/>
    <x v="10"/>
    <x v="1"/>
    <s v="Search"/>
    <x v="2"/>
    <s v="UAE"/>
    <n v="70195"/>
    <n v="4239"/>
    <n v="6.0400000000000002E-2"/>
    <n v="1.42"/>
    <n v="6019.38"/>
    <n v="234"/>
    <n v="25.72"/>
    <n v="38776.78"/>
    <n v="32757.399999999998"/>
    <n v="5.4419890420608095"/>
    <n v="6.44"/>
  </r>
  <r>
    <d v="2024-08-28T00:00:00"/>
    <x v="4"/>
    <x v="2"/>
    <s v="Search"/>
    <x v="1"/>
    <s v="USA"/>
    <n v="73513"/>
    <n v="2073"/>
    <n v="2.8199999999999999E-2"/>
    <n v="2.2200000000000002"/>
    <n v="4602.0600000000004"/>
    <n v="31"/>
    <n v="148.44999999999999"/>
    <n v="3401.33"/>
    <n v="-1200.7300000000005"/>
    <n v="-0.26091141793023132"/>
    <n v="0.74"/>
  </r>
  <r>
    <d v="2024-06-02T00:00:00"/>
    <x v="1"/>
    <x v="0"/>
    <s v="Search"/>
    <x v="3"/>
    <s v="Germany"/>
    <n v="162786"/>
    <n v="7406"/>
    <n v="4.5499999999999999E-2"/>
    <n v="1.45"/>
    <n v="10738.7"/>
    <n v="513"/>
    <n v="20.93"/>
    <n v="67523.570000000007"/>
    <n v="56784.87000000001"/>
    <n v="5.2878719025580381"/>
    <n v="6.29"/>
  </r>
  <r>
    <d v="2024-09-23T00:00:00"/>
    <x v="7"/>
    <x v="0"/>
    <s v="Video"/>
    <x v="2"/>
    <s v="USA"/>
    <n v="133909"/>
    <n v="5664"/>
    <n v="4.2299999999999997E-2"/>
    <n v="2.88"/>
    <n v="16312.32"/>
    <n v="117"/>
    <n v="139.41999999999999"/>
    <n v="11886.29"/>
    <n v="-4426.0299999999988"/>
    <n v="-0.27133050357030752"/>
    <n v="0.73"/>
  </r>
  <r>
    <d v="2024-01-25T00:00:00"/>
    <x v="0"/>
    <x v="0"/>
    <s v="Search"/>
    <x v="4"/>
    <s v="Australia"/>
    <n v="92185"/>
    <n v="3779"/>
    <n v="4.1000000000000002E-2"/>
    <n v="1.62"/>
    <n v="6121.98"/>
    <n v="82"/>
    <n v="74.66"/>
    <n v="11861.33"/>
    <n v="5739.35"/>
    <n v="0.93749897908846502"/>
    <n v="1.94"/>
  </r>
  <r>
    <d v="2024-06-16T00:00:00"/>
    <x v="1"/>
    <x v="2"/>
    <s v="Search"/>
    <x v="4"/>
    <s v="Australia"/>
    <n v="136637"/>
    <n v="4399"/>
    <n v="3.2199999999999999E-2"/>
    <n v="1.31"/>
    <n v="5762.69"/>
    <n v="254"/>
    <n v="22.69"/>
    <n v="21909.38"/>
    <n v="16146.690000000002"/>
    <n v="2.8019362485228259"/>
    <n v="3.8"/>
  </r>
  <r>
    <d v="2024-06-04T00:00:00"/>
    <x v="1"/>
    <x v="2"/>
    <s v="Display"/>
    <x v="4"/>
    <s v="India"/>
    <n v="56986"/>
    <n v="1270"/>
    <n v="2.23E-2"/>
    <n v="0.93"/>
    <n v="1181.0999999999999"/>
    <n v="13"/>
    <n v="90.85"/>
    <n v="3679.26"/>
    <n v="2498.1600000000003"/>
    <n v="2.1151130302260608"/>
    <n v="3.12"/>
  </r>
  <r>
    <d v="2024-02-20T00:00:00"/>
    <x v="2"/>
    <x v="2"/>
    <s v="Display"/>
    <x v="3"/>
    <s v="UK"/>
    <n v="148859"/>
    <n v="3840"/>
    <n v="2.58E-2"/>
    <n v="1.8"/>
    <n v="6912"/>
    <n v="250"/>
    <n v="27.65"/>
    <n v="22027.39"/>
    <n v="15115.39"/>
    <n v="2.1868330439814816"/>
    <n v="3.19"/>
  </r>
  <r>
    <d v="2024-08-03T00:00:00"/>
    <x v="4"/>
    <x v="0"/>
    <s v="Search"/>
    <x v="1"/>
    <s v="USA"/>
    <n v="151900"/>
    <n v="5270"/>
    <n v="3.4700000000000002E-2"/>
    <n v="1.1100000000000001"/>
    <n v="5849.7"/>
    <n v="291"/>
    <n v="20.100000000000001"/>
    <n v="47553.46"/>
    <n v="41703.760000000002"/>
    <n v="7.1292134639383224"/>
    <n v="8.1300000000000008"/>
  </r>
  <r>
    <d v="2024-10-08T00:00:00"/>
    <x v="3"/>
    <x v="2"/>
    <s v="Shopping"/>
    <x v="1"/>
    <s v="UAE"/>
    <n v="155555"/>
    <n v="4588"/>
    <n v="2.9499999999999998E-2"/>
    <n v="1.55"/>
    <n v="7111.4"/>
    <n v="332"/>
    <n v="21.42"/>
    <n v="12719.4"/>
    <n v="5608"/>
    <n v="0.78859296341086149"/>
    <n v="1.79"/>
  </r>
  <r>
    <d v="2024-10-11T00:00:00"/>
    <x v="3"/>
    <x v="2"/>
    <s v="Display"/>
    <x v="3"/>
    <s v="Germany"/>
    <n v="198979"/>
    <n v="2089"/>
    <n v="1.0500000000000001E-2"/>
    <n v="1.7"/>
    <n v="3551.3"/>
    <n v="66"/>
    <n v="53.81"/>
    <n v="7694.86"/>
    <n v="4143.5599999999995"/>
    <n v="1.1667727311125502"/>
    <n v="2.17"/>
  </r>
  <r>
    <d v="2024-12-04T00:00:00"/>
    <x v="9"/>
    <x v="2"/>
    <s v="Search"/>
    <x v="4"/>
    <s v="India"/>
    <n v="186740"/>
    <n v="4182"/>
    <n v="2.24E-2"/>
    <n v="0.56000000000000005"/>
    <n v="2341.92"/>
    <n v="47"/>
    <n v="49.83"/>
    <n v="8643.08"/>
    <n v="6301.16"/>
    <n v="2.6905957504953197"/>
    <n v="3.69"/>
  </r>
  <r>
    <d v="2024-07-04T00:00:00"/>
    <x v="10"/>
    <x v="0"/>
    <s v="Shopping"/>
    <x v="0"/>
    <s v="Australia"/>
    <n v="126246"/>
    <n v="4203"/>
    <n v="3.3300000000000003E-2"/>
    <n v="2.0499999999999998"/>
    <n v="8616.15"/>
    <n v="290"/>
    <n v="29.71"/>
    <n v="31939.46"/>
    <n v="23323.309999999998"/>
    <n v="2.7069294290373307"/>
    <n v="3.71"/>
  </r>
  <r>
    <d v="2024-02-15T00:00:00"/>
    <x v="2"/>
    <x v="0"/>
    <s v="Search"/>
    <x v="0"/>
    <s v="Germany"/>
    <n v="30835"/>
    <n v="925"/>
    <n v="0.03"/>
    <n v="1.96"/>
    <n v="1813"/>
    <n v="14"/>
    <n v="129.5"/>
    <n v="3805.56"/>
    <n v="1992.56"/>
    <n v="1.0990402647545505"/>
    <n v="2.1"/>
  </r>
  <r>
    <d v="2024-12-22T00:00:00"/>
    <x v="9"/>
    <x v="1"/>
    <s v="Video"/>
    <x v="1"/>
    <s v="Canada"/>
    <n v="112938"/>
    <n v="3263"/>
    <n v="2.8899999999999999E-2"/>
    <n v="0.39"/>
    <n v="1272.57"/>
    <n v="80"/>
    <n v="15.91"/>
    <n v="22895.07"/>
    <n v="21622.5"/>
    <n v="16.991206770550932"/>
    <n v="17.989999999999998"/>
  </r>
  <r>
    <d v="2024-12-16T00:00:00"/>
    <x v="9"/>
    <x v="0"/>
    <s v="Display"/>
    <x v="3"/>
    <s v="Canada"/>
    <n v="143573"/>
    <n v="3474"/>
    <n v="2.4199999999999999E-2"/>
    <n v="1.63"/>
    <n v="5662.62"/>
    <n v="131"/>
    <n v="43.23"/>
    <n v="11434.82"/>
    <n v="5772.2"/>
    <n v="1.0193514662823921"/>
    <n v="2.02"/>
  </r>
  <r>
    <d v="2024-07-14T00:00:00"/>
    <x v="10"/>
    <x v="1"/>
    <s v="Display"/>
    <x v="4"/>
    <s v="Canada"/>
    <n v="113621"/>
    <n v="10112"/>
    <n v="8.8999999999999996E-2"/>
    <n v="0.99"/>
    <n v="10010.879999999999"/>
    <n v="472"/>
    <n v="21.21"/>
    <n v="84899.73"/>
    <n v="74888.849999999991"/>
    <n v="7.4807459484081313"/>
    <n v="8.48"/>
  </r>
  <r>
    <d v="2024-08-31T00:00:00"/>
    <x v="4"/>
    <x v="2"/>
    <s v="Search"/>
    <x v="2"/>
    <s v="UK"/>
    <n v="125155"/>
    <n v="5256"/>
    <n v="4.2000000000000003E-2"/>
    <n v="1.07"/>
    <n v="5623.92"/>
    <n v="247"/>
    <n v="22.77"/>
    <n v="26802.91"/>
    <n v="21178.989999999998"/>
    <n v="3.7658768261283941"/>
    <n v="4.7699999999999996"/>
  </r>
  <r>
    <d v="2024-06-26T00:00:00"/>
    <x v="1"/>
    <x v="2"/>
    <s v="Shopping"/>
    <x v="0"/>
    <s v="USA"/>
    <n v="52940"/>
    <n v="1281"/>
    <n v="2.4199999999999999E-2"/>
    <n v="1.5"/>
    <n v="1921.5"/>
    <n v="37"/>
    <n v="51.93"/>
    <n v="8409.06"/>
    <n v="6487.5599999999995"/>
    <n v="3.3762997658079623"/>
    <n v="4.38"/>
  </r>
  <r>
    <d v="2024-09-01T00:00:00"/>
    <x v="7"/>
    <x v="1"/>
    <s v="Display"/>
    <x v="3"/>
    <s v="USA"/>
    <n v="106069"/>
    <n v="3139"/>
    <n v="2.9600000000000001E-2"/>
    <n v="0.5"/>
    <n v="1569.5"/>
    <n v="78"/>
    <n v="20.12"/>
    <n v="6648.74"/>
    <n v="5079.24"/>
    <n v="3.2362153552086652"/>
    <n v="4.24"/>
  </r>
  <r>
    <d v="2024-03-24T00:00:00"/>
    <x v="11"/>
    <x v="0"/>
    <s v="Video"/>
    <x v="1"/>
    <s v="Canada"/>
    <n v="185523"/>
    <n v="6029"/>
    <n v="3.2500000000000001E-2"/>
    <n v="1.38"/>
    <n v="8320.02"/>
    <n v="252"/>
    <n v="33.020000000000003"/>
    <n v="12404.91"/>
    <n v="4084.8899999999994"/>
    <n v="0.4909711755500587"/>
    <n v="1.49"/>
  </r>
  <r>
    <d v="2024-11-11T00:00:00"/>
    <x v="6"/>
    <x v="1"/>
    <s v="Shopping"/>
    <x v="1"/>
    <s v="India"/>
    <n v="184969"/>
    <n v="15407"/>
    <n v="8.3299999999999999E-2"/>
    <n v="1.34"/>
    <n v="20645.38"/>
    <n v="352"/>
    <n v="58.65"/>
    <n v="52669.94"/>
    <n v="32024.560000000001"/>
    <n v="1.5511731922589944"/>
    <n v="2.5499999999999998"/>
  </r>
  <r>
    <d v="2024-12-24T00:00:00"/>
    <x v="9"/>
    <x v="0"/>
    <s v="Video"/>
    <x v="2"/>
    <s v="Canada"/>
    <n v="118005"/>
    <n v="5003"/>
    <n v="4.24E-2"/>
    <n v="1.8"/>
    <n v="9005.4"/>
    <n v="63"/>
    <n v="142.94"/>
    <n v="6740.12"/>
    <n v="-2265.2799999999997"/>
    <n v="-0.25154684966797697"/>
    <n v="0.75"/>
  </r>
  <r>
    <d v="2024-09-06T00:00:00"/>
    <x v="7"/>
    <x v="0"/>
    <s v="Video"/>
    <x v="3"/>
    <s v="India"/>
    <n v="47176"/>
    <n v="1278"/>
    <n v="2.7099999999999999E-2"/>
    <n v="1.43"/>
    <n v="1827.54"/>
    <n v="62"/>
    <n v="29.48"/>
    <n v="2278.75"/>
    <n v="451.21000000000004"/>
    <n v="0.24689473281022578"/>
    <n v="1.25"/>
  </r>
  <r>
    <d v="2024-12-10T00:00:00"/>
    <x v="9"/>
    <x v="2"/>
    <s v="Video"/>
    <x v="0"/>
    <s v="UK"/>
    <n v="8512"/>
    <n v="251"/>
    <n v="2.9600000000000001E-2"/>
    <n v="0.64"/>
    <n v="160.63999999999999"/>
    <n v="11"/>
    <n v="14.6"/>
    <n v="1671.09"/>
    <n v="1510.4499999999998"/>
    <n v="9.4027016932270922"/>
    <n v="10.4"/>
  </r>
  <r>
    <d v="2024-06-17T00:00:00"/>
    <x v="1"/>
    <x v="2"/>
    <s v="Shopping"/>
    <x v="1"/>
    <s v="Australia"/>
    <n v="83591"/>
    <n v="2499"/>
    <n v="2.9899999999999999E-2"/>
    <n v="1.68"/>
    <n v="4198.32"/>
    <n v="84"/>
    <n v="49.98"/>
    <n v="18620.43"/>
    <n v="14422.11"/>
    <n v="3.4352097982049967"/>
    <n v="4.4400000000000004"/>
  </r>
  <r>
    <d v="2024-06-25T00:00:00"/>
    <x v="1"/>
    <x v="0"/>
    <s v="Search"/>
    <x v="4"/>
    <s v="UAE"/>
    <n v="88323"/>
    <n v="3965"/>
    <n v="4.4900000000000002E-2"/>
    <n v="2.36"/>
    <n v="9357.4"/>
    <n v="95"/>
    <n v="98.5"/>
    <n v="8337.4"/>
    <n v="-1020"/>
    <n v="-0.10900463804048134"/>
    <n v="0.89"/>
  </r>
  <r>
    <d v="2024-11-28T00:00:00"/>
    <x v="6"/>
    <x v="0"/>
    <s v="Video"/>
    <x v="2"/>
    <s v="Germany"/>
    <n v="24755"/>
    <n v="811"/>
    <n v="3.2800000000000003E-2"/>
    <n v="2.48"/>
    <n v="2011.28"/>
    <n v="8"/>
    <n v="251.41"/>
    <n v="1786.84"/>
    <n v="-224.44000000000005"/>
    <n v="-0.11159062885326759"/>
    <n v="0.89"/>
  </r>
  <r>
    <d v="2024-03-04T00:00:00"/>
    <x v="11"/>
    <x v="0"/>
    <s v="Video"/>
    <x v="4"/>
    <s v="UAE"/>
    <n v="99410"/>
    <n v="4195"/>
    <n v="4.2200000000000001E-2"/>
    <n v="0.83"/>
    <n v="3481.85"/>
    <n v="196"/>
    <n v="17.760000000000002"/>
    <n v="56004.19"/>
    <n v="52522.340000000004"/>
    <n v="15.08460732082083"/>
    <n v="16.079999999999998"/>
  </r>
  <r>
    <d v="2024-01-12T00:00:00"/>
    <x v="0"/>
    <x v="2"/>
    <s v="Video"/>
    <x v="3"/>
    <s v="Australia"/>
    <n v="176250"/>
    <n v="6204"/>
    <n v="3.5200000000000002E-2"/>
    <n v="0.65"/>
    <n v="4032.6"/>
    <n v="312"/>
    <n v="12.92"/>
    <n v="84311.3"/>
    <n v="80278.7"/>
    <n v="19.90742944998264"/>
    <n v="20.91"/>
  </r>
  <r>
    <d v="2024-01-04T00:00:00"/>
    <x v="0"/>
    <x v="2"/>
    <s v="Shopping"/>
    <x v="1"/>
    <s v="UK"/>
    <n v="184729"/>
    <n v="2586"/>
    <n v="1.4E-2"/>
    <n v="0.9"/>
    <n v="2327.4"/>
    <n v="201"/>
    <n v="11.58"/>
    <n v="16864.93"/>
    <n v="14537.53"/>
    <n v="6.246253329896021"/>
    <n v="7.25"/>
  </r>
  <r>
    <d v="2024-01-16T00:00:00"/>
    <x v="0"/>
    <x v="0"/>
    <s v="Search"/>
    <x v="2"/>
    <s v="UK"/>
    <n v="175381"/>
    <n v="4226"/>
    <n v="2.41E-2"/>
    <n v="0.91"/>
    <n v="3845.66"/>
    <n v="204"/>
    <n v="18.850000000000001"/>
    <n v="11471.83"/>
    <n v="7626.17"/>
    <n v="1.9830588247530985"/>
    <n v="2.98"/>
  </r>
  <r>
    <d v="2024-10-29T00:00:00"/>
    <x v="3"/>
    <x v="0"/>
    <s v="Video"/>
    <x v="3"/>
    <s v="UK"/>
    <n v="174741"/>
    <n v="7129"/>
    <n v="4.0800000000000003E-2"/>
    <n v="2.17"/>
    <n v="15469.93"/>
    <n v="326"/>
    <n v="47.45"/>
    <n v="58786.78"/>
    <n v="43316.85"/>
    <n v="2.8000676150441532"/>
    <n v="3.8"/>
  </r>
  <r>
    <d v="2024-01-17T00:00:00"/>
    <x v="0"/>
    <x v="2"/>
    <s v="Shopping"/>
    <x v="4"/>
    <s v="Germany"/>
    <n v="62033"/>
    <n v="2667"/>
    <n v="4.2999999999999997E-2"/>
    <n v="1.1000000000000001"/>
    <n v="2933.7"/>
    <n v="135"/>
    <n v="21.73"/>
    <n v="14288.2"/>
    <n v="11354.5"/>
    <n v="3.8703684766676894"/>
    <n v="4.87"/>
  </r>
  <r>
    <d v="2024-04-18T00:00:00"/>
    <x v="5"/>
    <x v="1"/>
    <s v="Search"/>
    <x v="0"/>
    <s v="Canada"/>
    <n v="6067"/>
    <n v="201"/>
    <n v="3.32E-2"/>
    <n v="0.63"/>
    <n v="126.63"/>
    <n v="12"/>
    <n v="10.55"/>
    <n v="2449.2800000000002"/>
    <n v="2322.65"/>
    <n v="18.342020058437971"/>
    <n v="19.34"/>
  </r>
  <r>
    <d v="2024-06-06T00:00:00"/>
    <x v="1"/>
    <x v="0"/>
    <s v="Search"/>
    <x v="3"/>
    <s v="UAE"/>
    <n v="187941"/>
    <n v="9303"/>
    <n v="4.9500000000000002E-2"/>
    <n v="2.33"/>
    <n v="21675.99"/>
    <n v="528"/>
    <n v="41.05"/>
    <n v="92564.99"/>
    <n v="70889"/>
    <n v="3.270392724853628"/>
    <n v="4.2699999999999996"/>
  </r>
  <r>
    <d v="2024-10-23T00:00:00"/>
    <x v="3"/>
    <x v="1"/>
    <s v="Shopping"/>
    <x v="1"/>
    <s v="UAE"/>
    <n v="16094"/>
    <n v="535"/>
    <n v="3.3300000000000003E-2"/>
    <n v="1.81"/>
    <n v="968.35"/>
    <n v="8"/>
    <n v="121.04"/>
    <n v="469.8"/>
    <n v="-498.55"/>
    <n v="-0.51484483915939483"/>
    <n v="0.49"/>
  </r>
  <r>
    <d v="2024-09-27T00:00:00"/>
    <x v="7"/>
    <x v="2"/>
    <s v="Display"/>
    <x v="1"/>
    <s v="India"/>
    <n v="8599"/>
    <n v="258"/>
    <n v="3.0099999999999998E-2"/>
    <n v="0.65"/>
    <n v="167.7"/>
    <n v="6"/>
    <n v="27.95"/>
    <n v="594.69000000000005"/>
    <n v="426.99000000000007"/>
    <n v="2.5461538461538469"/>
    <n v="3.55"/>
  </r>
  <r>
    <d v="2024-01-07T00:00:00"/>
    <x v="0"/>
    <x v="0"/>
    <s v="Video"/>
    <x v="0"/>
    <s v="UAE"/>
    <n v="32476"/>
    <n v="1136"/>
    <n v="3.5000000000000003E-2"/>
    <n v="1.64"/>
    <n v="1863.04"/>
    <n v="86"/>
    <n v="21.66"/>
    <n v="21754.11"/>
    <n v="19891.07"/>
    <n v="10.676673608725524"/>
    <n v="11.68"/>
  </r>
  <r>
    <d v="2024-01-31T00:00:00"/>
    <x v="0"/>
    <x v="0"/>
    <s v="Display"/>
    <x v="0"/>
    <s v="Canada"/>
    <n v="64739"/>
    <n v="1599"/>
    <n v="2.47E-2"/>
    <n v="3.26"/>
    <n v="5212.74"/>
    <n v="109"/>
    <n v="47.82"/>
    <n v="22723.24"/>
    <n v="17510.5"/>
    <n v="3.3591738701719249"/>
    <n v="4.3600000000000003"/>
  </r>
  <r>
    <d v="2024-05-06T00:00:00"/>
    <x v="8"/>
    <x v="0"/>
    <s v="Search"/>
    <x v="1"/>
    <s v="UK"/>
    <n v="51666"/>
    <n v="2965"/>
    <n v="5.74E-2"/>
    <n v="2.92"/>
    <n v="8657.7999999999993"/>
    <n v="80"/>
    <n v="108.22"/>
    <n v="16836.59"/>
    <n v="8178.7900000000009"/>
    <n v="0.94467301161958017"/>
    <n v="1.94"/>
  </r>
  <r>
    <d v="2024-11-03T00:00:00"/>
    <x v="6"/>
    <x v="2"/>
    <s v="Shopping"/>
    <x v="3"/>
    <s v="India"/>
    <n v="39723"/>
    <n v="1116"/>
    <n v="2.81E-2"/>
    <n v="0.95"/>
    <n v="1060.2"/>
    <n v="14"/>
    <n v="75.73"/>
    <n v="582.59"/>
    <n v="-477.61"/>
    <n v="-0.45049047349556687"/>
    <n v="0.55000000000000004"/>
  </r>
  <r>
    <d v="2024-12-12T00:00:00"/>
    <x v="9"/>
    <x v="1"/>
    <s v="Search"/>
    <x v="2"/>
    <s v="Canada"/>
    <n v="163984"/>
    <n v="12971"/>
    <n v="7.9100000000000004E-2"/>
    <n v="1.68"/>
    <n v="21791.279999999999"/>
    <n v="962"/>
    <n v="22.65"/>
    <n v="170813.74"/>
    <n v="149022.46"/>
    <n v="6.8386281117951766"/>
    <n v="7.84"/>
  </r>
  <r>
    <d v="2024-01-10T00:00:00"/>
    <x v="0"/>
    <x v="2"/>
    <s v="Video"/>
    <x v="0"/>
    <s v="Australia"/>
    <n v="51698"/>
    <n v="1307"/>
    <n v="2.53E-2"/>
    <n v="1.96"/>
    <n v="2561.7199999999998"/>
    <n v="91"/>
    <n v="28.15"/>
    <n v="15551.2"/>
    <n v="12989.480000000001"/>
    <n v="5.0706088097059796"/>
    <n v="6.07"/>
  </r>
  <r>
    <d v="2024-02-16T00:00:00"/>
    <x v="2"/>
    <x v="0"/>
    <s v="Shopping"/>
    <x v="3"/>
    <s v="UAE"/>
    <n v="50206"/>
    <n v="2399"/>
    <n v="4.7800000000000002E-2"/>
    <n v="2.02"/>
    <n v="4845.9799999999996"/>
    <n v="163"/>
    <n v="29.73"/>
    <n v="5571.38"/>
    <n v="725.40000000000055"/>
    <n v="0.14969108415635241"/>
    <n v="1.1499999999999999"/>
  </r>
  <r>
    <d v="2024-10-08T00:00:00"/>
    <x v="3"/>
    <x v="0"/>
    <s v="Video"/>
    <x v="0"/>
    <s v="UAE"/>
    <n v="194099"/>
    <n v="4774"/>
    <n v="2.46E-2"/>
    <n v="2.4900000000000002"/>
    <n v="11887.26"/>
    <n v="134"/>
    <n v="88.71"/>
    <n v="8446.2099999999991"/>
    <n v="-3441.0500000000011"/>
    <n v="-0.2894737727617635"/>
    <n v="0.71"/>
  </r>
  <r>
    <d v="2024-12-29T00:00:00"/>
    <x v="9"/>
    <x v="1"/>
    <s v="Video"/>
    <x v="4"/>
    <s v="USA"/>
    <n v="11820"/>
    <n v="366"/>
    <n v="3.1E-2"/>
    <n v="1.72"/>
    <n v="629.52"/>
    <n v="12"/>
    <n v="52.46"/>
    <n v="2301.9899999999998"/>
    <n v="1672.4699999999998"/>
    <n v="2.656738467403736"/>
    <n v="3.66"/>
  </r>
  <r>
    <d v="2024-12-16T00:00:00"/>
    <x v="9"/>
    <x v="1"/>
    <s v="Search"/>
    <x v="3"/>
    <s v="USA"/>
    <n v="56782"/>
    <n v="3264"/>
    <n v="5.7500000000000002E-2"/>
    <n v="0.8"/>
    <n v="2611.1999999999998"/>
    <n v="154"/>
    <n v="16.96"/>
    <n v="15749.58"/>
    <n v="13138.380000000001"/>
    <n v="5.0315487132352947"/>
    <n v="6.03"/>
  </r>
  <r>
    <d v="2024-08-13T00:00:00"/>
    <x v="4"/>
    <x v="1"/>
    <s v="Video"/>
    <x v="3"/>
    <s v="UK"/>
    <n v="191894"/>
    <n v="7138"/>
    <n v="3.7199999999999997E-2"/>
    <n v="0.77"/>
    <n v="5496.26"/>
    <n v="380"/>
    <n v="14.46"/>
    <n v="85112.1"/>
    <n v="79615.840000000011"/>
    <n v="14.485457383748223"/>
    <n v="15.49"/>
  </r>
  <r>
    <d v="2024-01-19T00:00:00"/>
    <x v="0"/>
    <x v="0"/>
    <s v="Shopping"/>
    <x v="0"/>
    <s v="UK"/>
    <n v="55075"/>
    <n v="3056"/>
    <n v="5.5500000000000001E-2"/>
    <n v="2.36"/>
    <n v="7212.16"/>
    <n v="156"/>
    <n v="46.23"/>
    <n v="5145.3100000000004"/>
    <n v="-2066.8499999999995"/>
    <n v="-0.2865785007542816"/>
    <n v="0.71"/>
  </r>
  <r>
    <d v="2024-04-28T00:00:00"/>
    <x v="5"/>
    <x v="0"/>
    <s v="Shopping"/>
    <x v="1"/>
    <s v="India"/>
    <n v="81830"/>
    <n v="4091"/>
    <n v="0.05"/>
    <n v="1.45"/>
    <n v="5931.95"/>
    <n v="49"/>
    <n v="121.06"/>
    <n v="7206.83"/>
    <n v="1274.8800000000001"/>
    <n v="0.21491752290562127"/>
    <n v="1.21"/>
  </r>
  <r>
    <d v="2024-12-17T00:00:00"/>
    <x v="9"/>
    <x v="2"/>
    <s v="Search"/>
    <x v="1"/>
    <s v="USA"/>
    <n v="87911"/>
    <n v="1116"/>
    <n v="1.2699999999999999E-2"/>
    <n v="0.48"/>
    <n v="535.67999999999995"/>
    <n v="61"/>
    <n v="8.7799999999999994"/>
    <n v="16688.84"/>
    <n v="16153.16"/>
    <n v="30.154495221027481"/>
    <n v="31.15"/>
  </r>
  <r>
    <d v="2024-09-15T00:00:00"/>
    <x v="7"/>
    <x v="2"/>
    <s v="Search"/>
    <x v="3"/>
    <s v="Canada"/>
    <n v="9521"/>
    <n v="237"/>
    <n v="2.4899999999999999E-2"/>
    <n v="1.77"/>
    <n v="419.49"/>
    <n v="17"/>
    <n v="24.68"/>
    <n v="1502.31"/>
    <n v="1082.82"/>
    <n v="2.5812772652506615"/>
    <n v="3.58"/>
  </r>
  <r>
    <d v="2024-04-14T00:00:00"/>
    <x v="5"/>
    <x v="1"/>
    <s v="Search"/>
    <x v="4"/>
    <s v="UK"/>
    <n v="88115"/>
    <n v="5383"/>
    <n v="6.1100000000000002E-2"/>
    <n v="0.68"/>
    <n v="3660.44"/>
    <n v="121"/>
    <n v="30.25"/>
    <n v="28357.39"/>
    <n v="24696.95"/>
    <n v="6.7469894329643436"/>
    <n v="7.75"/>
  </r>
  <r>
    <d v="2024-06-24T00:00:00"/>
    <x v="1"/>
    <x v="0"/>
    <s v="Shopping"/>
    <x v="4"/>
    <s v="Germany"/>
    <n v="184030"/>
    <n v="5649"/>
    <n v="3.0700000000000002E-2"/>
    <n v="2.23"/>
    <n v="12597.27"/>
    <n v="90"/>
    <n v="139.97"/>
    <n v="23192.98"/>
    <n v="10595.71"/>
    <n v="0.84111160592731593"/>
    <n v="1.84"/>
  </r>
  <r>
    <d v="2024-08-21T00:00:00"/>
    <x v="4"/>
    <x v="2"/>
    <s v="Video"/>
    <x v="1"/>
    <s v="UK"/>
    <n v="151729"/>
    <n v="4491"/>
    <n v="2.9600000000000001E-2"/>
    <n v="1.85"/>
    <n v="8308.35"/>
    <n v="228"/>
    <n v="36.44"/>
    <n v="48165.440000000002"/>
    <n v="39857.090000000004"/>
    <n v="4.7972329042469326"/>
    <n v="5.8"/>
  </r>
  <r>
    <d v="2024-02-24T00:00:00"/>
    <x v="2"/>
    <x v="1"/>
    <s v="Video"/>
    <x v="3"/>
    <s v="India"/>
    <n v="68176"/>
    <n v="2679"/>
    <n v="3.9300000000000002E-2"/>
    <n v="1.24"/>
    <n v="3321.96"/>
    <n v="173"/>
    <n v="19.2"/>
    <n v="19288.91"/>
    <n v="15966.95"/>
    <n v="4.8064847258847188"/>
    <n v="5.81"/>
  </r>
  <r>
    <d v="2024-10-12T00:00:00"/>
    <x v="3"/>
    <x v="2"/>
    <s v="Shopping"/>
    <x v="2"/>
    <s v="UAE"/>
    <n v="160136"/>
    <n v="6581"/>
    <n v="4.1099999999999998E-2"/>
    <n v="0.4"/>
    <n v="2632.4"/>
    <n v="393"/>
    <n v="6.7"/>
    <n v="81942.570000000007"/>
    <n v="79310.170000000013"/>
    <n v="30.128464519070054"/>
    <n v="31.13"/>
  </r>
  <r>
    <d v="2024-04-22T00:00:00"/>
    <x v="5"/>
    <x v="0"/>
    <s v="Video"/>
    <x v="2"/>
    <s v="Canada"/>
    <n v="164504"/>
    <n v="3322"/>
    <n v="2.0199999999999999E-2"/>
    <n v="2.0699999999999998"/>
    <n v="6876.54"/>
    <n v="96"/>
    <n v="71.63"/>
    <n v="10570.76"/>
    <n v="3694.2200000000003"/>
    <n v="0.53722075346031584"/>
    <n v="1.54"/>
  </r>
  <r>
    <d v="2024-04-20T00:00:00"/>
    <x v="5"/>
    <x v="1"/>
    <s v="Display"/>
    <x v="2"/>
    <s v="Australia"/>
    <n v="111399"/>
    <n v="4155"/>
    <n v="3.73E-2"/>
    <n v="1.22"/>
    <n v="5069.1000000000004"/>
    <n v="176"/>
    <n v="28.8"/>
    <n v="18559.099999999999"/>
    <n v="13489.999999999998"/>
    <n v="2.6612219131601265"/>
    <n v="3.66"/>
  </r>
  <r>
    <d v="2024-07-29T00:00:00"/>
    <x v="10"/>
    <x v="0"/>
    <s v="Search"/>
    <x v="4"/>
    <s v="Germany"/>
    <n v="135011"/>
    <n v="3496"/>
    <n v="2.5899999999999999E-2"/>
    <n v="1.89"/>
    <n v="6607.44"/>
    <n v="254"/>
    <n v="26.01"/>
    <n v="69461.440000000002"/>
    <n v="62854"/>
    <n v="9.5126100274841701"/>
    <n v="10.51"/>
  </r>
  <r>
    <d v="2024-08-04T00:00:00"/>
    <x v="4"/>
    <x v="0"/>
    <s v="Display"/>
    <x v="2"/>
    <s v="USA"/>
    <n v="24359"/>
    <n v="1461"/>
    <n v="0.06"/>
    <n v="2.34"/>
    <n v="3418.74"/>
    <n v="35"/>
    <n v="97.68"/>
    <n v="4110.3900000000003"/>
    <n v="691.65000000000055"/>
    <n v="0.20231137787605977"/>
    <n v="1.2"/>
  </r>
  <r>
    <d v="2024-05-23T00:00:00"/>
    <x v="8"/>
    <x v="2"/>
    <s v="Shopping"/>
    <x v="2"/>
    <s v="UK"/>
    <n v="130611"/>
    <n v="2207"/>
    <n v="1.6899999999999998E-2"/>
    <n v="0.73"/>
    <n v="1611.11"/>
    <n v="44"/>
    <n v="36.619999999999997"/>
    <n v="9567.41"/>
    <n v="7956.3"/>
    <n v="4.9383965092389719"/>
    <n v="5.94"/>
  </r>
  <r>
    <d v="2024-12-03T00:00:00"/>
    <x v="9"/>
    <x v="1"/>
    <s v="Search"/>
    <x v="3"/>
    <s v="UK"/>
    <n v="156601"/>
    <n v="8628"/>
    <n v="5.5100000000000003E-2"/>
    <n v="0.31"/>
    <n v="2674.68"/>
    <n v="362"/>
    <n v="7.39"/>
    <n v="23745.71"/>
    <n v="21071.03"/>
    <n v="7.8779629712713293"/>
    <n v="8.8800000000000008"/>
  </r>
  <r>
    <d v="2024-11-29T00:00:00"/>
    <x v="6"/>
    <x v="2"/>
    <s v="Search"/>
    <x v="3"/>
    <s v="Germany"/>
    <n v="172967"/>
    <n v="5016"/>
    <n v="2.9000000000000001E-2"/>
    <n v="2.08"/>
    <n v="10433.280000000001"/>
    <n v="331"/>
    <n v="31.52"/>
    <n v="75767.62"/>
    <n v="65334.34"/>
    <n v="6.2621093270764314"/>
    <n v="7.26"/>
  </r>
  <r>
    <d v="2024-04-13T00:00:00"/>
    <x v="5"/>
    <x v="0"/>
    <s v="Shopping"/>
    <x v="3"/>
    <s v="Canada"/>
    <n v="165104"/>
    <n v="7958"/>
    <n v="4.82E-2"/>
    <n v="3.09"/>
    <n v="24590.22"/>
    <n v="105"/>
    <n v="234.19"/>
    <n v="29946.1"/>
    <n v="5355.8799999999974"/>
    <n v="0.2178052900706052"/>
    <n v="1.22"/>
  </r>
  <r>
    <d v="2024-01-17T00:00:00"/>
    <x v="0"/>
    <x v="0"/>
    <s v="Video"/>
    <x v="0"/>
    <s v="Canada"/>
    <n v="49109"/>
    <n v="1203"/>
    <n v="2.4500000000000001E-2"/>
    <n v="3.26"/>
    <n v="3921.78"/>
    <n v="25"/>
    <n v="156.87"/>
    <n v="4734.6099999999997"/>
    <n v="812.82999999999947"/>
    <n v="0.20726047866020006"/>
    <n v="1.21"/>
  </r>
  <r>
    <d v="2024-12-25T00:00:00"/>
    <x v="9"/>
    <x v="2"/>
    <s v="Shopping"/>
    <x v="3"/>
    <s v="UK"/>
    <n v="46291"/>
    <n v="1976"/>
    <n v="4.2700000000000002E-2"/>
    <n v="0.73"/>
    <n v="1442.48"/>
    <n v="74"/>
    <n v="19.489999999999998"/>
    <n v="2307.39"/>
    <n v="864.90999999999985"/>
    <n v="0.59959930120348282"/>
    <n v="1.6"/>
  </r>
  <r>
    <d v="2024-08-02T00:00:00"/>
    <x v="4"/>
    <x v="0"/>
    <s v="Video"/>
    <x v="0"/>
    <s v="Germany"/>
    <n v="33750"/>
    <n v="1410"/>
    <n v="4.1799999999999997E-2"/>
    <n v="1.91"/>
    <n v="2693.1"/>
    <n v="106"/>
    <n v="25.41"/>
    <n v="5682.79"/>
    <n v="2989.69"/>
    <n v="1.110129590434815"/>
    <n v="2.11"/>
  </r>
  <r>
    <d v="2024-01-26T00:00:00"/>
    <x v="0"/>
    <x v="2"/>
    <s v="Search"/>
    <x v="2"/>
    <s v="USA"/>
    <n v="177593"/>
    <n v="1811"/>
    <n v="1.0200000000000001E-2"/>
    <n v="0.79"/>
    <n v="1430.69"/>
    <n v="128"/>
    <n v="11.18"/>
    <n v="17092.48"/>
    <n v="15661.789999999999"/>
    <n v="10.947018571458527"/>
    <n v="11.95"/>
  </r>
  <r>
    <d v="2024-03-23T00:00:00"/>
    <x v="11"/>
    <x v="0"/>
    <s v="Display"/>
    <x v="3"/>
    <s v="India"/>
    <n v="150465"/>
    <n v="5311"/>
    <n v="3.5299999999999998E-2"/>
    <n v="3.13"/>
    <n v="16623.43"/>
    <n v="295"/>
    <n v="56.35"/>
    <n v="57602.12"/>
    <n v="40978.69"/>
    <n v="2.4651164049777936"/>
    <n v="3.47"/>
  </r>
  <r>
    <d v="2024-12-08T00:00:00"/>
    <x v="9"/>
    <x v="1"/>
    <s v="Shopping"/>
    <x v="3"/>
    <s v="Canada"/>
    <n v="25860"/>
    <n v="1569"/>
    <n v="6.0699999999999997E-2"/>
    <n v="1.08"/>
    <n v="1694.52"/>
    <n v="79"/>
    <n v="21.45"/>
    <n v="13162.62"/>
    <n v="11468.1"/>
    <n v="6.7677572409885984"/>
    <n v="7.77"/>
  </r>
  <r>
    <d v="2024-08-17T00:00:00"/>
    <x v="4"/>
    <x v="0"/>
    <s v="Display"/>
    <x v="3"/>
    <s v="Germany"/>
    <n v="41375"/>
    <n v="2350"/>
    <n v="5.6800000000000003E-2"/>
    <n v="2.2000000000000002"/>
    <n v="5170"/>
    <n v="148"/>
    <n v="34.93"/>
    <n v="14702.27"/>
    <n v="9532.27"/>
    <n v="1.8437659574468086"/>
    <n v="2.84"/>
  </r>
  <r>
    <d v="2024-04-28T00:00:00"/>
    <x v="5"/>
    <x v="2"/>
    <s v="Display"/>
    <x v="3"/>
    <s v="UAE"/>
    <n v="26159"/>
    <n v="782"/>
    <n v="2.9899999999999999E-2"/>
    <n v="1.51"/>
    <n v="1180.82"/>
    <n v="52"/>
    <n v="22.71"/>
    <n v="8689.2900000000009"/>
    <n v="7508.4700000000012"/>
    <n v="6.3586914178282905"/>
    <n v="7.36"/>
  </r>
  <r>
    <d v="2024-02-06T00:00:00"/>
    <x v="2"/>
    <x v="2"/>
    <s v="Display"/>
    <x v="1"/>
    <s v="India"/>
    <n v="184541"/>
    <n v="3063"/>
    <n v="1.66E-2"/>
    <n v="1.72"/>
    <n v="5268.36"/>
    <n v="215"/>
    <n v="24.5"/>
    <n v="16566.88"/>
    <n v="11298.52"/>
    <n v="2.1445990782710371"/>
    <n v="3.14"/>
  </r>
  <r>
    <d v="2024-08-31T00:00:00"/>
    <x v="4"/>
    <x v="2"/>
    <s v="Video"/>
    <x v="4"/>
    <s v="UAE"/>
    <n v="196373"/>
    <n v="5184"/>
    <n v="2.64E-2"/>
    <n v="0.86"/>
    <n v="4458.24"/>
    <n v="173"/>
    <n v="25.77"/>
    <n v="36583.06"/>
    <n v="32124.82"/>
    <n v="7.2057179514786105"/>
    <n v="8.2100000000000009"/>
  </r>
  <r>
    <d v="2024-01-10T00:00:00"/>
    <x v="0"/>
    <x v="0"/>
    <s v="Video"/>
    <x v="2"/>
    <s v="Australia"/>
    <n v="131031"/>
    <n v="6092"/>
    <n v="4.65E-2"/>
    <n v="2.94"/>
    <n v="17910.48"/>
    <n v="482"/>
    <n v="37.159999999999997"/>
    <n v="116431.98"/>
    <n v="98521.5"/>
    <n v="5.5007738486070723"/>
    <n v="6.5"/>
  </r>
  <r>
    <d v="2024-01-15T00:00:00"/>
    <x v="0"/>
    <x v="2"/>
    <s v="Search"/>
    <x v="1"/>
    <s v="Germany"/>
    <n v="113269"/>
    <n v="3182"/>
    <n v="2.81E-2"/>
    <n v="1.53"/>
    <n v="4868.46"/>
    <n v="185"/>
    <n v="26.32"/>
    <n v="53909.5"/>
    <n v="49041.04"/>
    <n v="10.073214116989767"/>
    <n v="11.07"/>
  </r>
  <r>
    <d v="2024-11-27T00:00:00"/>
    <x v="6"/>
    <x v="1"/>
    <s v="Video"/>
    <x v="3"/>
    <s v="USA"/>
    <n v="92346"/>
    <n v="6815"/>
    <n v="7.3800000000000004E-2"/>
    <n v="0.82"/>
    <n v="5588.3"/>
    <n v="469"/>
    <n v="11.92"/>
    <n v="125930.93"/>
    <n v="120342.62999999999"/>
    <n v="21.534747597659393"/>
    <n v="22.53"/>
  </r>
  <r>
    <d v="2024-10-05T00:00:00"/>
    <x v="3"/>
    <x v="0"/>
    <s v="Search"/>
    <x v="0"/>
    <s v="Australia"/>
    <n v="143241"/>
    <n v="7133"/>
    <n v="4.9799999999999997E-2"/>
    <n v="2.06"/>
    <n v="14693.98"/>
    <n v="272"/>
    <n v="54.02"/>
    <n v="60208.51"/>
    <n v="45514.53"/>
    <n v="3.0974950285763287"/>
    <n v="4.0999999999999996"/>
  </r>
  <r>
    <d v="2024-07-11T00:00:00"/>
    <x v="10"/>
    <x v="2"/>
    <s v="Video"/>
    <x v="3"/>
    <s v="UK"/>
    <n v="194137"/>
    <n v="2640"/>
    <n v="1.3599999999999999E-2"/>
    <n v="2.41"/>
    <n v="6362.4"/>
    <n v="49"/>
    <n v="129.84"/>
    <n v="6668.85"/>
    <n v="306.45000000000073"/>
    <n v="4.8165786495662131E-2"/>
    <n v="1.05"/>
  </r>
  <r>
    <d v="2024-01-24T00:00:00"/>
    <x v="0"/>
    <x v="1"/>
    <s v="Shopping"/>
    <x v="1"/>
    <s v="UK"/>
    <n v="79967"/>
    <n v="2327"/>
    <n v="2.9100000000000001E-2"/>
    <n v="1.05"/>
    <n v="2443.35"/>
    <n v="43"/>
    <n v="56.82"/>
    <n v="11334.87"/>
    <n v="8891.52"/>
    <n v="3.6390693105776908"/>
    <n v="4.6399999999999997"/>
  </r>
  <r>
    <d v="2024-08-31T00:00:00"/>
    <x v="4"/>
    <x v="2"/>
    <s v="Video"/>
    <x v="4"/>
    <s v="UAE"/>
    <n v="60919"/>
    <n v="1851"/>
    <n v="3.04E-2"/>
    <n v="1.79"/>
    <n v="3313.29"/>
    <n v="131"/>
    <n v="25.29"/>
    <n v="19210.72"/>
    <n v="15897.43"/>
    <n v="4.7980798541630829"/>
    <n v="5.8"/>
  </r>
  <r>
    <d v="2024-09-27T00:00:00"/>
    <x v="7"/>
    <x v="1"/>
    <s v="Search"/>
    <x v="3"/>
    <s v="Canada"/>
    <n v="40886"/>
    <n v="1782"/>
    <n v="4.36E-2"/>
    <n v="0.55000000000000004"/>
    <n v="980.1"/>
    <n v="132"/>
    <n v="7.42"/>
    <n v="28189.38"/>
    <n v="27209.280000000002"/>
    <n v="27.761738598102237"/>
    <n v="28.76"/>
  </r>
  <r>
    <d v="2024-03-30T00:00:00"/>
    <x v="11"/>
    <x v="1"/>
    <s v="Shopping"/>
    <x v="3"/>
    <s v="India"/>
    <n v="37646"/>
    <n v="1874"/>
    <n v="4.9799999999999997E-2"/>
    <n v="1.1000000000000001"/>
    <n v="2061.4"/>
    <n v="144"/>
    <n v="14.32"/>
    <n v="16795.87"/>
    <n v="14734.47"/>
    <n v="7.1477976132725329"/>
    <n v="8.15"/>
  </r>
  <r>
    <d v="2024-03-15T00:00:00"/>
    <x v="11"/>
    <x v="2"/>
    <s v="Search"/>
    <x v="1"/>
    <s v="Germany"/>
    <n v="117529"/>
    <n v="4266"/>
    <n v="3.6299999999999999E-2"/>
    <n v="1.03"/>
    <n v="4393.9799999999996"/>
    <n v="308"/>
    <n v="14.27"/>
    <n v="62119.33"/>
    <n v="57725.350000000006"/>
    <n v="13.137372040837695"/>
    <n v="14.14"/>
  </r>
  <r>
    <d v="2024-05-28T00:00:00"/>
    <x v="8"/>
    <x v="1"/>
    <s v="Video"/>
    <x v="0"/>
    <s v="India"/>
    <n v="150250"/>
    <n v="7196"/>
    <n v="4.7899999999999998E-2"/>
    <n v="0.67"/>
    <n v="4821.32"/>
    <n v="534"/>
    <n v="9.0299999999999994"/>
    <n v="36153.629999999997"/>
    <n v="31332.309999999998"/>
    <n v="6.4986995262708138"/>
    <n v="7.5"/>
  </r>
  <r>
    <d v="2024-05-31T00:00:00"/>
    <x v="8"/>
    <x v="2"/>
    <s v="Video"/>
    <x v="4"/>
    <s v="Germany"/>
    <n v="196929"/>
    <n v="2382"/>
    <n v="1.21E-2"/>
    <n v="1.3"/>
    <n v="3096.6"/>
    <n v="143"/>
    <n v="21.65"/>
    <n v="38447.589999999997"/>
    <n v="35350.99"/>
    <n v="11.416066007879609"/>
    <n v="12.42"/>
  </r>
  <r>
    <d v="2024-10-20T00:00:00"/>
    <x v="3"/>
    <x v="0"/>
    <s v="Search"/>
    <x v="2"/>
    <s v="Germany"/>
    <n v="91491"/>
    <n v="4053"/>
    <n v="4.4299999999999999E-2"/>
    <n v="1.74"/>
    <n v="7052.22"/>
    <n v="140"/>
    <n v="50.37"/>
    <n v="19432.37"/>
    <n v="12380.149999999998"/>
    <n v="1.755496850637104"/>
    <n v="2.76"/>
  </r>
  <r>
    <d v="2024-12-04T00:00:00"/>
    <x v="9"/>
    <x v="0"/>
    <s v="Video"/>
    <x v="4"/>
    <s v="UK"/>
    <n v="154741"/>
    <n v="6019"/>
    <n v="3.8899999999999997E-2"/>
    <n v="1.04"/>
    <n v="6259.76"/>
    <n v="220"/>
    <n v="28.45"/>
    <n v="38586.699999999997"/>
    <n v="32326.939999999995"/>
    <n v="5.1642459135813503"/>
    <n v="6.16"/>
  </r>
  <r>
    <d v="2024-10-27T00:00:00"/>
    <x v="3"/>
    <x v="1"/>
    <s v="Display"/>
    <x v="4"/>
    <s v="India"/>
    <n v="72963"/>
    <n v="5618"/>
    <n v="7.6999999999999999E-2"/>
    <n v="0.48"/>
    <n v="2696.64"/>
    <n v="412"/>
    <n v="6.55"/>
    <n v="16464.009999999998"/>
    <n v="13767.369999999999"/>
    <n v="5.105379286816186"/>
    <n v="6.11"/>
  </r>
  <r>
    <d v="2024-09-15T00:00:00"/>
    <x v="7"/>
    <x v="0"/>
    <s v="Video"/>
    <x v="0"/>
    <s v="USA"/>
    <n v="194281"/>
    <n v="5906"/>
    <n v="3.04E-2"/>
    <n v="2.5"/>
    <n v="14765"/>
    <n v="371"/>
    <n v="39.799999999999997"/>
    <n v="20958.57"/>
    <n v="6193.57"/>
    <n v="0.41947646461225868"/>
    <n v="1.42"/>
  </r>
  <r>
    <d v="2024-09-28T00:00:00"/>
    <x v="7"/>
    <x v="2"/>
    <s v="Display"/>
    <x v="4"/>
    <s v="UAE"/>
    <n v="92844"/>
    <n v="3277"/>
    <n v="3.5299999999999998E-2"/>
    <n v="1.81"/>
    <n v="5931.37"/>
    <n v="63"/>
    <n v="94.15"/>
    <n v="10318.61"/>
    <n v="4387.2400000000007"/>
    <n v="0.73966722696442821"/>
    <n v="1.74"/>
  </r>
  <r>
    <d v="2024-05-11T00:00:00"/>
    <x v="8"/>
    <x v="0"/>
    <s v="Video"/>
    <x v="3"/>
    <s v="UAE"/>
    <n v="132441"/>
    <n v="2436"/>
    <n v="1.84E-2"/>
    <n v="2.09"/>
    <n v="5091.24"/>
    <n v="135"/>
    <n v="37.71"/>
    <n v="8958.33"/>
    <n v="3867.09"/>
    <n v="0.75955759304216663"/>
    <n v="1.76"/>
  </r>
  <r>
    <d v="2024-10-08T00:00:00"/>
    <x v="3"/>
    <x v="2"/>
    <s v="Search"/>
    <x v="1"/>
    <s v="Germany"/>
    <n v="110977"/>
    <n v="2829"/>
    <n v="2.5499999999999998E-2"/>
    <n v="0.66"/>
    <n v="1867.14"/>
    <n v="48"/>
    <n v="38.9"/>
    <n v="10643.48"/>
    <n v="8776.34"/>
    <n v="4.7004188223700414"/>
    <n v="5.7"/>
  </r>
  <r>
    <d v="2024-09-30T00:00:00"/>
    <x v="7"/>
    <x v="0"/>
    <s v="Search"/>
    <x v="2"/>
    <s v="UAE"/>
    <n v="50076"/>
    <n v="2964"/>
    <n v="5.9200000000000003E-2"/>
    <n v="3.4"/>
    <n v="10077.6"/>
    <n v="94"/>
    <n v="107.21"/>
    <n v="28058.66"/>
    <n v="17981.059999999998"/>
    <n v="1.7842601413034846"/>
    <n v="2.78"/>
  </r>
  <r>
    <d v="2024-10-30T00:00:00"/>
    <x v="3"/>
    <x v="0"/>
    <s v="Search"/>
    <x v="3"/>
    <s v="Australia"/>
    <n v="180590"/>
    <n v="4857"/>
    <n v="2.69E-2"/>
    <n v="1.51"/>
    <n v="7334.07"/>
    <n v="333"/>
    <n v="22.02"/>
    <n v="91782.77"/>
    <n v="84448.700000000012"/>
    <n v="11.514575126771359"/>
    <n v="12.51"/>
  </r>
  <r>
    <d v="2024-06-19T00:00:00"/>
    <x v="1"/>
    <x v="2"/>
    <s v="Search"/>
    <x v="0"/>
    <s v="UAE"/>
    <n v="153530"/>
    <n v="3899"/>
    <n v="2.5399999999999999E-2"/>
    <n v="2.31"/>
    <n v="9006.69"/>
    <n v="302"/>
    <n v="29.82"/>
    <n v="21392.38"/>
    <n v="12385.69"/>
    <n v="1.3751655713697262"/>
    <n v="2.38"/>
  </r>
  <r>
    <d v="2024-01-05T00:00:00"/>
    <x v="0"/>
    <x v="0"/>
    <s v="Video"/>
    <x v="3"/>
    <s v="India"/>
    <n v="135223"/>
    <n v="3285"/>
    <n v="2.4299999999999999E-2"/>
    <n v="3.02"/>
    <n v="9920.7000000000007"/>
    <n v="201"/>
    <n v="49.36"/>
    <n v="46154.22"/>
    <n v="36233.520000000004"/>
    <n v="3.6523148568145394"/>
    <n v="4.6500000000000004"/>
  </r>
  <r>
    <d v="2024-12-30T00:00:00"/>
    <x v="9"/>
    <x v="2"/>
    <s v="Display"/>
    <x v="1"/>
    <s v="USA"/>
    <n v="108152"/>
    <n v="4250"/>
    <n v="3.9300000000000002E-2"/>
    <n v="0.72"/>
    <n v="3060"/>
    <n v="160"/>
    <n v="19.12"/>
    <n v="12452.25"/>
    <n v="9392.25"/>
    <n v="3.0693627450980392"/>
    <n v="4.07"/>
  </r>
  <r>
    <d v="2024-03-03T00:00:00"/>
    <x v="11"/>
    <x v="0"/>
    <s v="Video"/>
    <x v="2"/>
    <s v="Germany"/>
    <n v="76442"/>
    <n v="2392"/>
    <n v="3.1300000000000001E-2"/>
    <n v="1.64"/>
    <n v="3922.88"/>
    <n v="160"/>
    <n v="24.52"/>
    <n v="14390.19"/>
    <n v="10467.310000000001"/>
    <n v="2.6682717799167959"/>
    <n v="3.67"/>
  </r>
  <r>
    <d v="2024-11-12T00:00:00"/>
    <x v="6"/>
    <x v="0"/>
    <s v="Video"/>
    <x v="1"/>
    <s v="Germany"/>
    <n v="57335"/>
    <n v="1869"/>
    <n v="3.2599999999999997E-2"/>
    <n v="2.75"/>
    <n v="5139.75"/>
    <n v="133"/>
    <n v="38.64"/>
    <n v="11136.73"/>
    <n v="5996.98"/>
    <n v="1.166784376672017"/>
    <n v="2.17"/>
  </r>
  <r>
    <d v="2024-11-25T00:00:00"/>
    <x v="6"/>
    <x v="1"/>
    <s v="Display"/>
    <x v="3"/>
    <s v="UK"/>
    <n v="82661"/>
    <n v="4769"/>
    <n v="5.7700000000000001E-2"/>
    <n v="1.33"/>
    <n v="6342.77"/>
    <n v="271"/>
    <n v="23.41"/>
    <n v="79985.87"/>
    <n v="73643.099999999991"/>
    <n v="11.610558163073859"/>
    <n v="12.61"/>
  </r>
  <r>
    <d v="2024-04-30T00:00:00"/>
    <x v="5"/>
    <x v="0"/>
    <s v="Shopping"/>
    <x v="0"/>
    <s v="India"/>
    <n v="72902"/>
    <n v="4942"/>
    <n v="6.7799999999999999E-2"/>
    <n v="3.3"/>
    <n v="16308.6"/>
    <n v="323"/>
    <n v="50.49"/>
    <n v="33499.379999999997"/>
    <n v="17190.78"/>
    <n v="1.0540929325631874"/>
    <n v="2.0499999999999998"/>
  </r>
  <r>
    <d v="2024-02-01T00:00:00"/>
    <x v="2"/>
    <x v="2"/>
    <s v="Search"/>
    <x v="4"/>
    <s v="UK"/>
    <n v="63528"/>
    <n v="711"/>
    <n v="1.12E-2"/>
    <n v="1.49"/>
    <n v="1059.3900000000001"/>
    <n v="23"/>
    <n v="46.06"/>
    <n v="4567.68"/>
    <n v="3508.29"/>
    <n v="3.3116132868915127"/>
    <n v="4.3099999999999996"/>
  </r>
  <r>
    <d v="2024-12-18T00:00:00"/>
    <x v="9"/>
    <x v="1"/>
    <s v="Shopping"/>
    <x v="0"/>
    <s v="USA"/>
    <n v="169238"/>
    <n v="6583"/>
    <n v="3.8899999999999997E-2"/>
    <n v="0.53"/>
    <n v="3488.99"/>
    <n v="507"/>
    <n v="6.88"/>
    <n v="146453.92000000001"/>
    <n v="142964.93000000002"/>
    <n v="40.976021714020398"/>
    <n v="41.98"/>
  </r>
  <r>
    <d v="2024-12-06T00:00:00"/>
    <x v="9"/>
    <x v="2"/>
    <s v="Display"/>
    <x v="3"/>
    <s v="Canada"/>
    <n v="14815"/>
    <n v="189"/>
    <n v="1.2800000000000001E-2"/>
    <n v="0.55000000000000004"/>
    <n v="103.95"/>
    <n v="3"/>
    <n v="34.65"/>
    <n v="142.69"/>
    <n v="38.739999999999995"/>
    <n v="0.37267917267917261"/>
    <n v="1.37"/>
  </r>
  <r>
    <d v="2024-08-21T00:00:00"/>
    <x v="4"/>
    <x v="1"/>
    <s v="Search"/>
    <x v="2"/>
    <s v="Germany"/>
    <n v="47278"/>
    <n v="2803"/>
    <n v="5.9299999999999999E-2"/>
    <n v="1.69"/>
    <n v="4737.07"/>
    <n v="201"/>
    <n v="23.57"/>
    <n v="39448.18"/>
    <n v="34711.11"/>
    <n v="7.3275484635017012"/>
    <n v="8.33"/>
  </r>
  <r>
    <d v="2024-02-17T00:00:00"/>
    <x v="2"/>
    <x v="0"/>
    <s v="Video"/>
    <x v="0"/>
    <s v="UAE"/>
    <n v="15046"/>
    <n v="400"/>
    <n v="2.6599999999999999E-2"/>
    <n v="1.18"/>
    <n v="472"/>
    <n v="4"/>
    <n v="118"/>
    <n v="142.71"/>
    <n v="-329.28999999999996"/>
    <n v="-0.69764830508474573"/>
    <n v="0.3"/>
  </r>
  <r>
    <d v="2024-08-04T00:00:00"/>
    <x v="4"/>
    <x v="2"/>
    <s v="Shopping"/>
    <x v="3"/>
    <s v="Canada"/>
    <n v="58968"/>
    <n v="1715"/>
    <n v="2.9100000000000001E-2"/>
    <n v="1.49"/>
    <n v="2555.35"/>
    <n v="127"/>
    <n v="20.12"/>
    <n v="13332.87"/>
    <n v="10777.52"/>
    <n v="4.2176296789089562"/>
    <n v="5.22"/>
  </r>
  <r>
    <d v="2024-02-21T00:00:00"/>
    <x v="2"/>
    <x v="0"/>
    <s v="Search"/>
    <x v="2"/>
    <s v="India"/>
    <n v="13083"/>
    <n v="707"/>
    <n v="5.4100000000000002E-2"/>
    <n v="2.38"/>
    <n v="1682.66"/>
    <n v="41"/>
    <n v="41.04"/>
    <n v="10442.74"/>
    <n v="8760.08"/>
    <n v="5.2060903569348529"/>
    <n v="6.21"/>
  </r>
  <r>
    <d v="2024-12-17T00:00:00"/>
    <x v="9"/>
    <x v="1"/>
    <s v="Search"/>
    <x v="3"/>
    <s v="Germany"/>
    <n v="109222"/>
    <n v="7306"/>
    <n v="6.6900000000000001E-2"/>
    <n v="1.0900000000000001"/>
    <n v="7963.54"/>
    <n v="124"/>
    <n v="64.22"/>
    <n v="12349.14"/>
    <n v="4385.5999999999995"/>
    <n v="0.55070986018780588"/>
    <n v="1.55"/>
  </r>
  <r>
    <d v="2024-04-04T00:00:00"/>
    <x v="5"/>
    <x v="1"/>
    <s v="Search"/>
    <x v="3"/>
    <s v="UK"/>
    <n v="45382"/>
    <n v="2246"/>
    <n v="4.9500000000000002E-2"/>
    <n v="1.59"/>
    <n v="3571.14"/>
    <n v="46"/>
    <n v="77.63"/>
    <n v="2662.9"/>
    <n v="-908.23999999999978"/>
    <n v="-0.25432774968217425"/>
    <n v="0.75"/>
  </r>
  <r>
    <d v="2024-09-15T00:00:00"/>
    <x v="7"/>
    <x v="2"/>
    <s v="Display"/>
    <x v="2"/>
    <s v="UAE"/>
    <n v="196432"/>
    <n v="6501"/>
    <n v="3.3099999999999997E-2"/>
    <n v="0.4"/>
    <n v="2600.4"/>
    <n v="462"/>
    <n v="5.63"/>
    <n v="52195.74"/>
    <n v="49595.34"/>
    <n v="19.072196585140745"/>
    <n v="20.07"/>
  </r>
  <r>
    <d v="2024-12-05T00:00:00"/>
    <x v="9"/>
    <x v="1"/>
    <s v="Search"/>
    <x v="1"/>
    <s v="India"/>
    <n v="71470"/>
    <n v="2065"/>
    <n v="2.8899999999999999E-2"/>
    <n v="1.18"/>
    <n v="2436.6999999999998"/>
    <n v="37"/>
    <n v="65.86"/>
    <n v="10377.15"/>
    <n v="7940.45"/>
    <n v="3.2586900316001151"/>
    <n v="4.26"/>
  </r>
  <r>
    <d v="2024-01-01T00:00:00"/>
    <x v="0"/>
    <x v="1"/>
    <s v="Display"/>
    <x v="3"/>
    <s v="USA"/>
    <n v="103026"/>
    <n v="9066"/>
    <n v="8.7999999999999995E-2"/>
    <n v="1.43"/>
    <n v="12964.38"/>
    <n v="278"/>
    <n v="46.63"/>
    <n v="46631"/>
    <n v="33666.620000000003"/>
    <n v="2.5968553837514796"/>
    <n v="3.6"/>
  </r>
  <r>
    <d v="2024-07-13T00:00:00"/>
    <x v="10"/>
    <x v="2"/>
    <s v="Display"/>
    <x v="0"/>
    <s v="India"/>
    <n v="140793"/>
    <n v="2886"/>
    <n v="2.0500000000000001E-2"/>
    <n v="1.52"/>
    <n v="4386.72"/>
    <n v="141"/>
    <n v="31.11"/>
    <n v="12104.44"/>
    <n v="7717.72"/>
    <n v="1.7593372724951672"/>
    <n v="2.76"/>
  </r>
  <r>
    <d v="2024-07-24T00:00:00"/>
    <x v="10"/>
    <x v="2"/>
    <s v="Search"/>
    <x v="0"/>
    <s v="Canada"/>
    <n v="8970"/>
    <n v="306"/>
    <n v="3.4200000000000001E-2"/>
    <n v="0.6"/>
    <n v="183.6"/>
    <n v="22"/>
    <n v="8.35"/>
    <n v="4976.05"/>
    <n v="4792.45"/>
    <n v="26.102668845315904"/>
    <n v="27.1"/>
  </r>
  <r>
    <d v="2024-12-18T00:00:00"/>
    <x v="9"/>
    <x v="2"/>
    <s v="Display"/>
    <x v="0"/>
    <s v="Germany"/>
    <n v="177825"/>
    <n v="4285"/>
    <n v="2.41E-2"/>
    <n v="0.78"/>
    <n v="3342.3"/>
    <n v="163"/>
    <n v="20.5"/>
    <n v="29602.7"/>
    <n v="26260.400000000001"/>
    <n v="7.8569847111270681"/>
    <n v="8.86"/>
  </r>
  <r>
    <d v="2024-12-07T00:00:00"/>
    <x v="9"/>
    <x v="2"/>
    <s v="Display"/>
    <x v="3"/>
    <s v="UAE"/>
    <n v="122512"/>
    <n v="4532"/>
    <n v="3.6999999999999998E-2"/>
    <n v="1.84"/>
    <n v="8338.8799999999992"/>
    <n v="61"/>
    <n v="136.69999999999999"/>
    <n v="5305.8"/>
    <n v="-3033.079999999999"/>
    <n v="-0.3637275029740204"/>
    <n v="0.64"/>
  </r>
  <r>
    <d v="2024-06-09T00:00:00"/>
    <x v="1"/>
    <x v="0"/>
    <s v="Search"/>
    <x v="1"/>
    <s v="Canada"/>
    <n v="107548"/>
    <n v="4258"/>
    <n v="3.9600000000000003E-2"/>
    <n v="3.2"/>
    <n v="13625.6"/>
    <n v="145"/>
    <n v="93.97"/>
    <n v="17656.919999999998"/>
    <n v="4031.3199999999979"/>
    <n v="0.29586366838891481"/>
    <n v="1.3"/>
  </r>
  <r>
    <d v="2024-07-06T00:00:00"/>
    <x v="10"/>
    <x v="1"/>
    <s v="Display"/>
    <x v="2"/>
    <s v="UK"/>
    <n v="89224"/>
    <n v="5255"/>
    <n v="5.8900000000000001E-2"/>
    <n v="1.99"/>
    <n v="10457.450000000001"/>
    <n v="336"/>
    <n v="31.12"/>
    <n v="94667.83"/>
    <n v="84210.38"/>
    <n v="8.0526686716168854"/>
    <n v="9.0500000000000007"/>
  </r>
  <r>
    <d v="2024-10-27T00:00:00"/>
    <x v="3"/>
    <x v="2"/>
    <s v="Display"/>
    <x v="4"/>
    <s v="UK"/>
    <n v="100561"/>
    <n v="3781"/>
    <n v="3.7600000000000001E-2"/>
    <n v="1.39"/>
    <n v="5255.59"/>
    <n v="124"/>
    <n v="42.38"/>
    <n v="34626.86"/>
    <n v="29371.27"/>
    <n v="5.5885771150337069"/>
    <n v="6.59"/>
  </r>
  <r>
    <d v="2024-05-31T00:00:00"/>
    <x v="8"/>
    <x v="0"/>
    <s v="Search"/>
    <x v="0"/>
    <s v="UAE"/>
    <n v="50111"/>
    <n v="2320"/>
    <n v="4.6300000000000001E-2"/>
    <n v="2.73"/>
    <n v="6333.6"/>
    <n v="153"/>
    <n v="41.4"/>
    <n v="30016.66"/>
    <n v="23683.059999999998"/>
    <n v="3.7392730832385999"/>
    <n v="4.74"/>
  </r>
  <r>
    <d v="2024-03-22T00:00:00"/>
    <x v="11"/>
    <x v="0"/>
    <s v="Display"/>
    <x v="3"/>
    <s v="Germany"/>
    <n v="65985"/>
    <n v="1445"/>
    <n v="2.1899999999999999E-2"/>
    <n v="0.82"/>
    <n v="1184.9000000000001"/>
    <n v="63"/>
    <n v="18.809999999999999"/>
    <n v="4237.8500000000004"/>
    <n v="3052.9500000000003"/>
    <n v="2.5765465440121531"/>
    <n v="3.58"/>
  </r>
  <r>
    <d v="2024-07-25T00:00:00"/>
    <x v="10"/>
    <x v="2"/>
    <s v="Video"/>
    <x v="4"/>
    <s v="Germany"/>
    <n v="93257"/>
    <n v="1930"/>
    <n v="2.07E-2"/>
    <n v="1.32"/>
    <n v="2547.6"/>
    <n v="102"/>
    <n v="24.98"/>
    <n v="26767.95"/>
    <n v="24220.350000000002"/>
    <n v="9.5071243523316067"/>
    <n v="10.51"/>
  </r>
  <r>
    <d v="2024-12-24T00:00:00"/>
    <x v="9"/>
    <x v="1"/>
    <s v="Search"/>
    <x v="3"/>
    <s v="India"/>
    <n v="102847"/>
    <n v="6458"/>
    <n v="6.2799999999999995E-2"/>
    <n v="1.17"/>
    <n v="7555.86"/>
    <n v="314"/>
    <n v="24.06"/>
    <n v="81199.399999999994"/>
    <n v="73643.539999999994"/>
    <n v="9.7465463891602013"/>
    <n v="10.75"/>
  </r>
  <r>
    <d v="2024-02-18T00:00:00"/>
    <x v="2"/>
    <x v="2"/>
    <s v="Search"/>
    <x v="3"/>
    <s v="UAE"/>
    <n v="161738"/>
    <n v="5046"/>
    <n v="3.1199999999999999E-2"/>
    <n v="1.66"/>
    <n v="8376.36"/>
    <n v="258"/>
    <n v="32.47"/>
    <n v="29417.67"/>
    <n v="21041.309999999998"/>
    <n v="2.5119873071357959"/>
    <n v="3.51"/>
  </r>
  <r>
    <d v="2024-05-07T00:00:00"/>
    <x v="8"/>
    <x v="2"/>
    <s v="Shopping"/>
    <x v="2"/>
    <s v="Australia"/>
    <n v="46516"/>
    <n v="772"/>
    <n v="1.66E-2"/>
    <n v="0.59"/>
    <n v="455.48"/>
    <n v="39"/>
    <n v="11.68"/>
    <n v="4874.74"/>
    <n v="4419.26"/>
    <n v="9.7024238166330026"/>
    <n v="10.7"/>
  </r>
  <r>
    <d v="2024-11-02T00:00:00"/>
    <x v="6"/>
    <x v="0"/>
    <s v="Video"/>
    <x v="3"/>
    <s v="Canada"/>
    <n v="7802"/>
    <n v="340"/>
    <n v="4.3700000000000003E-2"/>
    <n v="2.37"/>
    <n v="805.8"/>
    <n v="14"/>
    <n v="57.56"/>
    <n v="799.08"/>
    <n v="-6.7199999999999136"/>
    <n v="-8.3395383469842561E-3"/>
    <n v="0.99"/>
  </r>
  <r>
    <d v="2024-10-22T00:00:00"/>
    <x v="3"/>
    <x v="0"/>
    <s v="Search"/>
    <x v="1"/>
    <s v="USA"/>
    <n v="15960"/>
    <n v="750"/>
    <n v="4.7E-2"/>
    <n v="1.72"/>
    <n v="1290"/>
    <n v="40"/>
    <n v="32.25"/>
    <n v="6919.55"/>
    <n v="5629.55"/>
    <n v="4.3639922480620159"/>
    <n v="5.36"/>
  </r>
  <r>
    <d v="2024-01-16T00:00:00"/>
    <x v="0"/>
    <x v="1"/>
    <s v="Shopping"/>
    <x v="3"/>
    <s v="Australia"/>
    <n v="55701"/>
    <n v="4138"/>
    <n v="7.4300000000000005E-2"/>
    <n v="0.34"/>
    <n v="1406.92"/>
    <n v="229"/>
    <n v="6.14"/>
    <n v="20016.59"/>
    <n v="18609.669999999998"/>
    <n v="13.227241065590082"/>
    <n v="14.23"/>
  </r>
  <r>
    <d v="2024-06-30T00:00:00"/>
    <x v="1"/>
    <x v="0"/>
    <s v="Display"/>
    <x v="4"/>
    <s v="India"/>
    <n v="64757"/>
    <n v="3976"/>
    <n v="6.1400000000000003E-2"/>
    <n v="1.43"/>
    <n v="5685.68"/>
    <n v="58"/>
    <n v="98.03"/>
    <n v="4380.33"/>
    <n v="-1305.3500000000004"/>
    <n v="-0.2295855552897807"/>
    <n v="0.77"/>
  </r>
  <r>
    <d v="2024-04-04T00:00:00"/>
    <x v="5"/>
    <x v="1"/>
    <s v="Search"/>
    <x v="3"/>
    <s v="UK"/>
    <n v="199291"/>
    <n v="16660"/>
    <n v="8.3599999999999994E-2"/>
    <n v="1.1599999999999999"/>
    <n v="19325.599999999999"/>
    <n v="1016"/>
    <n v="19.02"/>
    <n v="207611.26"/>
    <n v="188285.66"/>
    <n v="9.7428105725048653"/>
    <n v="10.74"/>
  </r>
  <r>
    <d v="2024-09-18T00:00:00"/>
    <x v="7"/>
    <x v="1"/>
    <s v="Shopping"/>
    <x v="1"/>
    <s v="UK"/>
    <n v="116800"/>
    <n v="8351"/>
    <n v="7.1499999999999994E-2"/>
    <n v="0.7"/>
    <n v="5845.7"/>
    <n v="493"/>
    <n v="11.86"/>
    <n v="80828.759999999995"/>
    <n v="74983.06"/>
    <n v="12.827045520639102"/>
    <n v="13.83"/>
  </r>
  <r>
    <d v="2024-10-30T00:00:00"/>
    <x v="3"/>
    <x v="2"/>
    <s v="Shopping"/>
    <x v="2"/>
    <s v="Canada"/>
    <n v="88470"/>
    <n v="2459"/>
    <n v="2.7799999999999998E-2"/>
    <n v="0.99"/>
    <n v="2434.41"/>
    <n v="165"/>
    <n v="14.75"/>
    <n v="44145"/>
    <n v="41710.589999999997"/>
    <n v="17.133757255351398"/>
    <n v="18.13"/>
  </r>
  <r>
    <d v="2024-03-07T00:00:00"/>
    <x v="11"/>
    <x v="1"/>
    <s v="Display"/>
    <x v="2"/>
    <s v="Australia"/>
    <n v="186782"/>
    <n v="14270"/>
    <n v="7.6399999999999996E-2"/>
    <n v="1.08"/>
    <n v="15411.6"/>
    <n v="931"/>
    <n v="16.55"/>
    <n v="224929.42"/>
    <n v="209517.82"/>
    <n v="13.594812998001505"/>
    <n v="14.59"/>
  </r>
  <r>
    <d v="2024-12-08T00:00:00"/>
    <x v="9"/>
    <x v="0"/>
    <s v="Display"/>
    <x v="2"/>
    <s v="UAE"/>
    <n v="121832"/>
    <n v="6786"/>
    <n v="5.57E-2"/>
    <n v="1.18"/>
    <n v="8007.48"/>
    <n v="139"/>
    <n v="57.61"/>
    <n v="28929.72"/>
    <n v="20922.240000000002"/>
    <n v="2.6128369974074244"/>
    <n v="3.61"/>
  </r>
  <r>
    <d v="2024-09-11T00:00:00"/>
    <x v="7"/>
    <x v="0"/>
    <s v="Video"/>
    <x v="4"/>
    <s v="USA"/>
    <n v="88514"/>
    <n v="1610"/>
    <n v="1.8200000000000001E-2"/>
    <n v="0.86"/>
    <n v="1384.6"/>
    <n v="77"/>
    <n v="17.98"/>
    <n v="22165.040000000001"/>
    <n v="20780.440000000002"/>
    <n v="15.008262314025714"/>
    <n v="16.010000000000002"/>
  </r>
  <r>
    <d v="2024-10-14T00:00:00"/>
    <x v="3"/>
    <x v="2"/>
    <s v="Display"/>
    <x v="0"/>
    <s v="India"/>
    <n v="125424"/>
    <n v="3787"/>
    <n v="3.0200000000000001E-2"/>
    <n v="0.48"/>
    <n v="1817.76"/>
    <n v="253"/>
    <n v="7.18"/>
    <n v="36320.54"/>
    <n v="34502.78"/>
    <n v="18.980932576357713"/>
    <n v="19.98"/>
  </r>
  <r>
    <d v="2024-12-06T00:00:00"/>
    <x v="9"/>
    <x v="1"/>
    <s v="Video"/>
    <x v="2"/>
    <s v="UAE"/>
    <n v="23883"/>
    <n v="1332"/>
    <n v="5.5800000000000002E-2"/>
    <n v="1.56"/>
    <n v="2077.92"/>
    <n v="66"/>
    <n v="31.48"/>
    <n v="10903.46"/>
    <n v="8825.5399999999991"/>
    <n v="4.2472953722953717"/>
    <n v="5.25"/>
  </r>
  <r>
    <d v="2024-05-08T00:00:00"/>
    <x v="8"/>
    <x v="2"/>
    <s v="Shopping"/>
    <x v="4"/>
    <s v="Germany"/>
    <n v="49864"/>
    <n v="2074"/>
    <n v="4.1599999999999998E-2"/>
    <n v="1.75"/>
    <n v="3629.5"/>
    <n v="73"/>
    <n v="49.72"/>
    <n v="14018.44"/>
    <n v="10388.94"/>
    <n v="2.862361206777793"/>
    <n v="3.86"/>
  </r>
  <r>
    <d v="2024-07-27T00:00:00"/>
    <x v="10"/>
    <x v="0"/>
    <s v="Video"/>
    <x v="3"/>
    <s v="UAE"/>
    <n v="190890"/>
    <n v="7616"/>
    <n v="3.9899999999999998E-2"/>
    <n v="1.1599999999999999"/>
    <n v="8834.56"/>
    <n v="141"/>
    <n v="62.66"/>
    <n v="25751.07"/>
    <n v="16916.510000000002"/>
    <n v="1.9148106979860913"/>
    <n v="2.91"/>
  </r>
  <r>
    <d v="2024-11-02T00:00:00"/>
    <x v="6"/>
    <x v="0"/>
    <s v="Display"/>
    <x v="1"/>
    <s v="UK"/>
    <n v="146295"/>
    <n v="3394"/>
    <n v="2.3199999999999998E-2"/>
    <n v="3.41"/>
    <n v="11573.54"/>
    <n v="195"/>
    <n v="59.35"/>
    <n v="49666.69"/>
    <n v="38093.15"/>
    <n v="3.2914000383633701"/>
    <n v="4.29"/>
  </r>
  <r>
    <d v="2024-09-23T00:00:00"/>
    <x v="7"/>
    <x v="2"/>
    <s v="Search"/>
    <x v="3"/>
    <s v="India"/>
    <n v="29343"/>
    <n v="346"/>
    <n v="1.18E-2"/>
    <n v="2.0099999999999998"/>
    <n v="695.46"/>
    <n v="7"/>
    <n v="99.35"/>
    <n v="672.01"/>
    <n v="-23.450000000000045"/>
    <n v="-3.3718689788054014E-2"/>
    <n v="0.97"/>
  </r>
  <r>
    <d v="2024-09-25T00:00:00"/>
    <x v="7"/>
    <x v="1"/>
    <s v="Display"/>
    <x v="1"/>
    <s v="Australia"/>
    <n v="154712"/>
    <n v="10288"/>
    <n v="6.6500000000000004E-2"/>
    <n v="1.08"/>
    <n v="11111.04"/>
    <n v="439"/>
    <n v="25.31"/>
    <n v="80440.02"/>
    <n v="69328.98000000001"/>
    <n v="6.239648133748056"/>
    <n v="7.24"/>
  </r>
  <r>
    <d v="2024-04-06T00:00:00"/>
    <x v="5"/>
    <x v="1"/>
    <s v="Video"/>
    <x v="1"/>
    <s v="Germany"/>
    <n v="60438"/>
    <n v="5554"/>
    <n v="9.1899999999999996E-2"/>
    <n v="1.44"/>
    <n v="7997.76"/>
    <n v="286"/>
    <n v="27.96"/>
    <n v="35506.6"/>
    <n v="27508.839999999997"/>
    <n v="3.4395680790621368"/>
    <n v="4.4400000000000004"/>
  </r>
  <r>
    <d v="2024-06-01T00:00:00"/>
    <x v="1"/>
    <x v="0"/>
    <s v="Shopping"/>
    <x v="1"/>
    <s v="Australia"/>
    <n v="18149"/>
    <n v="918"/>
    <n v="5.0599999999999999E-2"/>
    <n v="1.62"/>
    <n v="1487.16"/>
    <n v="14"/>
    <n v="106.23"/>
    <n v="3557.93"/>
    <n v="2070.7699999999995"/>
    <n v="1.3924325560128026"/>
    <n v="2.39"/>
  </r>
  <r>
    <d v="2024-10-02T00:00:00"/>
    <x v="3"/>
    <x v="1"/>
    <s v="Shopping"/>
    <x v="3"/>
    <s v="Germany"/>
    <n v="39626"/>
    <n v="1172"/>
    <n v="2.9600000000000001E-2"/>
    <n v="0.57999999999999996"/>
    <n v="679.76"/>
    <n v="22"/>
    <n v="30.9"/>
    <n v="1100.5899999999999"/>
    <n v="420.82999999999993"/>
    <n v="0.61908614805225359"/>
    <n v="1.62"/>
  </r>
  <r>
    <d v="2024-04-20T00:00:00"/>
    <x v="5"/>
    <x v="1"/>
    <s v="Shopping"/>
    <x v="4"/>
    <s v="UAE"/>
    <n v="103730"/>
    <n v="4335"/>
    <n v="4.1799999999999997E-2"/>
    <n v="1.48"/>
    <n v="6415.8"/>
    <n v="104"/>
    <n v="61.69"/>
    <n v="27379.91"/>
    <n v="20964.11"/>
    <n v="3.2675753608279559"/>
    <n v="4.2699999999999996"/>
  </r>
  <r>
    <d v="2024-06-29T00:00:00"/>
    <x v="1"/>
    <x v="0"/>
    <s v="Display"/>
    <x v="2"/>
    <s v="USA"/>
    <n v="35346"/>
    <n v="1279"/>
    <n v="3.6200000000000003E-2"/>
    <n v="2.54"/>
    <n v="3248.66"/>
    <n v="48"/>
    <n v="67.680000000000007"/>
    <n v="1649.56"/>
    <n v="-1599.1"/>
    <n v="-0.49223372098034268"/>
    <n v="0.51"/>
  </r>
  <r>
    <d v="2024-01-30T00:00:00"/>
    <x v="0"/>
    <x v="2"/>
    <s v="Video"/>
    <x v="2"/>
    <s v="Australia"/>
    <n v="57776"/>
    <n v="1490"/>
    <n v="2.58E-2"/>
    <n v="1.18"/>
    <n v="1758.2"/>
    <n v="107"/>
    <n v="16.43"/>
    <n v="22435.51"/>
    <n v="20677.309999999998"/>
    <n v="11.760499374360139"/>
    <n v="12.76"/>
  </r>
  <r>
    <d v="2024-09-25T00:00:00"/>
    <x v="7"/>
    <x v="2"/>
    <s v="Shopping"/>
    <x v="3"/>
    <s v="UAE"/>
    <n v="178916"/>
    <n v="4723"/>
    <n v="2.64E-2"/>
    <n v="1.54"/>
    <n v="7273.42"/>
    <n v="147"/>
    <n v="49.48"/>
    <n v="29612.74"/>
    <n v="22339.32"/>
    <n v="3.0713639525835164"/>
    <n v="4.07"/>
  </r>
  <r>
    <d v="2024-12-15T00:00:00"/>
    <x v="9"/>
    <x v="2"/>
    <s v="Search"/>
    <x v="0"/>
    <s v="Canada"/>
    <n v="34778"/>
    <n v="705"/>
    <n v="2.0299999999999999E-2"/>
    <n v="1.56"/>
    <n v="1099.8"/>
    <n v="35"/>
    <n v="31.42"/>
    <n v="2280.29"/>
    <n v="1180.49"/>
    <n v="1.0733678850700128"/>
    <n v="2.0699999999999998"/>
  </r>
  <r>
    <d v="2024-06-05T00:00:00"/>
    <x v="1"/>
    <x v="1"/>
    <s v="Search"/>
    <x v="0"/>
    <s v="Australia"/>
    <n v="179120"/>
    <n v="8794"/>
    <n v="4.9099999999999998E-2"/>
    <n v="0.96"/>
    <n v="8442.24"/>
    <n v="646"/>
    <n v="13.07"/>
    <n v="31918.959999999999"/>
    <n v="23476.720000000001"/>
    <n v="2.7808638465620499"/>
    <n v="3.78"/>
  </r>
  <r>
    <d v="2024-06-19T00:00:00"/>
    <x v="1"/>
    <x v="2"/>
    <s v="Display"/>
    <x v="0"/>
    <s v="UAE"/>
    <n v="91706"/>
    <n v="1650"/>
    <n v="1.7999999999999999E-2"/>
    <n v="1.68"/>
    <n v="2772"/>
    <n v="80"/>
    <n v="34.65"/>
    <n v="8391.32"/>
    <n v="5619.32"/>
    <n v="2.0271717171717172"/>
    <n v="3.03"/>
  </r>
  <r>
    <d v="2024-09-16T00:00:00"/>
    <x v="7"/>
    <x v="2"/>
    <s v="Display"/>
    <x v="1"/>
    <s v="Germany"/>
    <n v="7056"/>
    <n v="227"/>
    <n v="3.2199999999999999E-2"/>
    <n v="0.82"/>
    <n v="186.14"/>
    <n v="6"/>
    <n v="31.02"/>
    <n v="1653.16"/>
    <n v="1467.02"/>
    <n v="7.8812721607392291"/>
    <n v="8.8800000000000008"/>
  </r>
  <r>
    <d v="2024-01-21T00:00:00"/>
    <x v="0"/>
    <x v="2"/>
    <s v="Display"/>
    <x v="4"/>
    <s v="Germany"/>
    <n v="161646"/>
    <n v="5253"/>
    <n v="3.2500000000000001E-2"/>
    <n v="1"/>
    <n v="5253"/>
    <n v="228"/>
    <n v="23.04"/>
    <n v="43732.39"/>
    <n v="38479.39"/>
    <n v="7.3252217780316009"/>
    <n v="8.33"/>
  </r>
  <r>
    <d v="2024-04-05T00:00:00"/>
    <x v="5"/>
    <x v="0"/>
    <s v="Video"/>
    <x v="3"/>
    <s v="Canada"/>
    <n v="177115"/>
    <n v="8005"/>
    <n v="4.5199999999999997E-2"/>
    <n v="2.9"/>
    <n v="23214.5"/>
    <n v="460"/>
    <n v="50.47"/>
    <n v="108688.43"/>
    <n v="85473.93"/>
    <n v="3.6819199207391931"/>
    <n v="4.68"/>
  </r>
  <r>
    <d v="2024-10-03T00:00:00"/>
    <x v="3"/>
    <x v="1"/>
    <s v="Search"/>
    <x v="2"/>
    <s v="Australia"/>
    <n v="141087"/>
    <n v="10609"/>
    <n v="7.5200000000000003E-2"/>
    <n v="0.44"/>
    <n v="4667.96"/>
    <n v="737"/>
    <n v="6.33"/>
    <n v="190244.62"/>
    <n v="185576.66"/>
    <n v="39.75540921516037"/>
    <n v="40.76"/>
  </r>
  <r>
    <d v="2024-11-03T00:00:00"/>
    <x v="6"/>
    <x v="1"/>
    <s v="Video"/>
    <x v="3"/>
    <s v="Australia"/>
    <n v="184745"/>
    <n v="12451"/>
    <n v="6.7400000000000002E-2"/>
    <n v="1.67"/>
    <n v="20793.169999999998"/>
    <n v="404"/>
    <n v="51.47"/>
    <n v="23357.33"/>
    <n v="2564.1600000000035"/>
    <n v="0.12331741624773922"/>
    <n v="1.1200000000000001"/>
  </r>
  <r>
    <d v="2024-09-10T00:00:00"/>
    <x v="7"/>
    <x v="0"/>
    <s v="Shopping"/>
    <x v="4"/>
    <s v="UAE"/>
    <n v="104969"/>
    <n v="5773"/>
    <n v="5.5E-2"/>
    <n v="1.42"/>
    <n v="8197.66"/>
    <n v="142"/>
    <n v="57.73"/>
    <n v="24245.52"/>
    <n v="16047.86"/>
    <n v="1.9576147339606669"/>
    <n v="2.96"/>
  </r>
  <r>
    <d v="2024-06-03T00:00:00"/>
    <x v="1"/>
    <x v="1"/>
    <s v="Shopping"/>
    <x v="0"/>
    <s v="India"/>
    <n v="80885"/>
    <n v="3995"/>
    <n v="4.9399999999999999E-2"/>
    <n v="0.44"/>
    <n v="1757.8"/>
    <n v="79"/>
    <n v="22.25"/>
    <n v="10692.34"/>
    <n v="8934.5400000000009"/>
    <n v="5.0827966776652644"/>
    <n v="6.08"/>
  </r>
  <r>
    <d v="2024-04-15T00:00:00"/>
    <x v="5"/>
    <x v="0"/>
    <s v="Video"/>
    <x v="4"/>
    <s v="Canada"/>
    <n v="33807"/>
    <n v="807"/>
    <n v="2.3900000000000001E-2"/>
    <n v="2.0299999999999998"/>
    <n v="1638.21"/>
    <n v="25"/>
    <n v="65.53"/>
    <n v="5072.7700000000004"/>
    <n v="3434.5600000000004"/>
    <n v="2.0965321906226921"/>
    <n v="3.1"/>
  </r>
  <r>
    <d v="2024-03-21T00:00:00"/>
    <x v="11"/>
    <x v="2"/>
    <s v="Search"/>
    <x v="3"/>
    <s v="India"/>
    <n v="198074"/>
    <n v="5783"/>
    <n v="2.92E-2"/>
    <n v="0.61"/>
    <n v="3527.63"/>
    <n v="263"/>
    <n v="13.41"/>
    <n v="60037.86"/>
    <n v="56510.23"/>
    <n v="16.019318919501195"/>
    <n v="17.02"/>
  </r>
  <r>
    <d v="2024-11-17T00:00:00"/>
    <x v="6"/>
    <x v="0"/>
    <s v="Search"/>
    <x v="1"/>
    <s v="UK"/>
    <n v="115282"/>
    <n v="4876"/>
    <n v="4.2299999999999997E-2"/>
    <n v="3.76"/>
    <n v="18333.759999999998"/>
    <n v="77"/>
    <n v="238.1"/>
    <n v="2427.15"/>
    <n v="-15906.609999999999"/>
    <n v="-0.86761308100466028"/>
    <n v="0.13"/>
  </r>
  <r>
    <d v="2024-02-27T00:00:00"/>
    <x v="2"/>
    <x v="0"/>
    <s v="Display"/>
    <x v="2"/>
    <s v="USA"/>
    <n v="45880"/>
    <n v="2817"/>
    <n v="6.1400000000000003E-2"/>
    <n v="1.1399999999999999"/>
    <n v="3211.38"/>
    <n v="62"/>
    <n v="51.8"/>
    <n v="2770.83"/>
    <n v="-440.55000000000018"/>
    <n v="-0.13718401434897151"/>
    <n v="0.86"/>
  </r>
  <r>
    <d v="2024-05-21T00:00:00"/>
    <x v="8"/>
    <x v="2"/>
    <s v="Search"/>
    <x v="2"/>
    <s v="Germany"/>
    <n v="20993"/>
    <n v="583"/>
    <n v="2.7799999999999998E-2"/>
    <n v="1.28"/>
    <n v="746.24"/>
    <n v="45"/>
    <n v="16.579999999999998"/>
    <n v="4493.83"/>
    <n v="3747.59"/>
    <n v="5.0219634433962268"/>
    <n v="6.02"/>
  </r>
  <r>
    <d v="2024-03-11T00:00:00"/>
    <x v="11"/>
    <x v="0"/>
    <s v="Video"/>
    <x v="3"/>
    <s v="Canada"/>
    <n v="183448"/>
    <n v="8053"/>
    <n v="4.3900000000000002E-2"/>
    <n v="2.08"/>
    <n v="16750.240000000002"/>
    <n v="351"/>
    <n v="47.72"/>
    <n v="74979.38"/>
    <n v="58229.14"/>
    <n v="3.4763167572524329"/>
    <n v="4.4800000000000004"/>
  </r>
  <r>
    <d v="2024-01-21T00:00:00"/>
    <x v="0"/>
    <x v="1"/>
    <s v="Shopping"/>
    <x v="1"/>
    <s v="UAE"/>
    <n v="119944"/>
    <n v="9331"/>
    <n v="7.7799999999999994E-2"/>
    <n v="0.61"/>
    <n v="5691.91"/>
    <n v="717"/>
    <n v="7.94"/>
    <n v="101587.49"/>
    <n v="95895.58"/>
    <n v="16.847697872945989"/>
    <n v="17.850000000000001"/>
  </r>
  <r>
    <d v="2024-01-27T00:00:00"/>
    <x v="0"/>
    <x v="1"/>
    <s v="Search"/>
    <x v="2"/>
    <s v="Canada"/>
    <n v="69198"/>
    <n v="3529"/>
    <n v="5.0999999999999997E-2"/>
    <n v="0.55000000000000004"/>
    <n v="1940.95"/>
    <n v="256"/>
    <n v="7.58"/>
    <n v="15199.33"/>
    <n v="13258.38"/>
    <n v="6.8308714804605986"/>
    <n v="7.83"/>
  </r>
  <r>
    <d v="2024-12-08T00:00:00"/>
    <x v="9"/>
    <x v="2"/>
    <s v="Search"/>
    <x v="2"/>
    <s v="UK"/>
    <n v="46936"/>
    <n v="2234"/>
    <n v="4.7600000000000003E-2"/>
    <n v="0.79"/>
    <n v="1764.86"/>
    <n v="55"/>
    <n v="32.090000000000003"/>
    <n v="5977.87"/>
    <n v="4213.01"/>
    <n v="2.3871638543567197"/>
    <n v="3.39"/>
  </r>
  <r>
    <d v="2024-07-04T00:00:00"/>
    <x v="10"/>
    <x v="1"/>
    <s v="Video"/>
    <x v="1"/>
    <s v="India"/>
    <n v="21689"/>
    <n v="895"/>
    <n v="4.1300000000000003E-2"/>
    <n v="0.95"/>
    <n v="850.25"/>
    <n v="22"/>
    <n v="38.65"/>
    <n v="4747.38"/>
    <n v="3897.13"/>
    <n v="4.583510732137607"/>
    <n v="5.58"/>
  </r>
  <r>
    <d v="2024-03-14T00:00:00"/>
    <x v="11"/>
    <x v="1"/>
    <s v="Search"/>
    <x v="1"/>
    <s v="India"/>
    <n v="24504"/>
    <n v="899"/>
    <n v="3.6700000000000003E-2"/>
    <n v="1.42"/>
    <n v="1276.58"/>
    <n v="41"/>
    <n v="31.14"/>
    <n v="3721.4"/>
    <n v="2444.8200000000002"/>
    <n v="1.9151326199689798"/>
    <n v="2.92"/>
  </r>
  <r>
    <d v="2024-04-16T00:00:00"/>
    <x v="5"/>
    <x v="2"/>
    <s v="Shopping"/>
    <x v="4"/>
    <s v="Canada"/>
    <n v="119053"/>
    <n v="4000"/>
    <n v="3.3599999999999998E-2"/>
    <n v="1.01"/>
    <n v="4040"/>
    <n v="152"/>
    <n v="26.58"/>
    <n v="25959.16"/>
    <n v="21919.16"/>
    <n v="5.4255346534653466"/>
    <n v="6.43"/>
  </r>
  <r>
    <d v="2024-01-21T00:00:00"/>
    <x v="0"/>
    <x v="1"/>
    <s v="Search"/>
    <x v="2"/>
    <s v="Canada"/>
    <n v="160522"/>
    <n v="5425"/>
    <n v="3.3799999999999997E-2"/>
    <n v="1.1100000000000001"/>
    <n v="6021.75"/>
    <n v="398"/>
    <n v="15.13"/>
    <n v="79057.929999999993"/>
    <n v="73036.179999999993"/>
    <n v="12.128730020342923"/>
    <n v="13.13"/>
  </r>
  <r>
    <d v="2024-08-04T00:00:00"/>
    <x v="4"/>
    <x v="0"/>
    <s v="Shopping"/>
    <x v="1"/>
    <s v="UK"/>
    <n v="158627"/>
    <n v="7725"/>
    <n v="4.87E-2"/>
    <n v="2.88"/>
    <n v="22248"/>
    <n v="299"/>
    <n v="74.41"/>
    <n v="66700.13"/>
    <n v="44452.130000000005"/>
    <n v="1.9980281373606619"/>
    <n v="3"/>
  </r>
  <r>
    <d v="2024-06-26T00:00:00"/>
    <x v="1"/>
    <x v="2"/>
    <s v="Video"/>
    <x v="3"/>
    <s v="Germany"/>
    <n v="157955"/>
    <n v="2780"/>
    <n v="1.7600000000000001E-2"/>
    <n v="0.62"/>
    <n v="1723.6"/>
    <n v="202"/>
    <n v="8.5299999999999994"/>
    <n v="49191.360000000001"/>
    <n v="47467.76"/>
    <n v="27.539893246692969"/>
    <n v="28.54"/>
  </r>
  <r>
    <d v="2024-03-16T00:00:00"/>
    <x v="11"/>
    <x v="2"/>
    <s v="Shopping"/>
    <x v="1"/>
    <s v="USA"/>
    <n v="196112"/>
    <n v="2647"/>
    <n v="1.35E-2"/>
    <n v="1.51"/>
    <n v="3996.97"/>
    <n v="187"/>
    <n v="21.37"/>
    <n v="16387.669999999998"/>
    <n v="12390.699999999999"/>
    <n v="3.1000232676252262"/>
    <n v="4.0999999999999996"/>
  </r>
  <r>
    <d v="2024-02-15T00:00:00"/>
    <x v="2"/>
    <x v="2"/>
    <s v="Display"/>
    <x v="1"/>
    <s v="Germany"/>
    <n v="67167"/>
    <n v="1907"/>
    <n v="2.8400000000000002E-2"/>
    <n v="1.43"/>
    <n v="2727.01"/>
    <n v="114"/>
    <n v="23.92"/>
    <n v="20596.75"/>
    <n v="17869.739999999998"/>
    <n v="6.5528692597386868"/>
    <n v="7.55"/>
  </r>
  <r>
    <d v="2024-08-07T00:00:00"/>
    <x v="4"/>
    <x v="0"/>
    <s v="Display"/>
    <x v="2"/>
    <s v="India"/>
    <n v="90550"/>
    <n v="3966"/>
    <n v="4.3799999999999999E-2"/>
    <n v="2.76"/>
    <n v="10946.16"/>
    <n v="207"/>
    <n v="52.88"/>
    <n v="7960.57"/>
    <n v="-2985.59"/>
    <n v="-0.27275227111608091"/>
    <n v="0.73"/>
  </r>
  <r>
    <d v="2024-09-07T00:00:00"/>
    <x v="7"/>
    <x v="0"/>
    <s v="Shopping"/>
    <x v="1"/>
    <s v="USA"/>
    <n v="91150"/>
    <n v="4119"/>
    <n v="4.5199999999999997E-2"/>
    <n v="3.83"/>
    <n v="15775.77"/>
    <n v="98"/>
    <n v="160.97999999999999"/>
    <n v="4547.95"/>
    <n v="-11227.82"/>
    <n v="-0.71171296234668735"/>
    <n v="0.28999999999999998"/>
  </r>
  <r>
    <d v="2024-04-20T00:00:00"/>
    <x v="5"/>
    <x v="0"/>
    <s v="Display"/>
    <x v="0"/>
    <s v="India"/>
    <n v="157832"/>
    <n v="4072"/>
    <n v="2.58E-2"/>
    <n v="2.38"/>
    <n v="9691.36"/>
    <n v="124"/>
    <n v="78.16"/>
    <n v="34560.39"/>
    <n v="24869.03"/>
    <n v="2.5661032094566703"/>
    <n v="3.57"/>
  </r>
  <r>
    <d v="2024-09-27T00:00:00"/>
    <x v="7"/>
    <x v="0"/>
    <s v="Video"/>
    <x v="0"/>
    <s v="India"/>
    <n v="28958"/>
    <n v="1355"/>
    <n v="4.6800000000000001E-2"/>
    <n v="2.87"/>
    <n v="3888.85"/>
    <n v="49"/>
    <n v="79.36"/>
    <n v="13909.3"/>
    <n v="10020.449999999999"/>
    <n v="2.5767129099862425"/>
    <n v="3.58"/>
  </r>
  <r>
    <d v="2024-11-09T00:00:00"/>
    <x v="6"/>
    <x v="2"/>
    <s v="Shopping"/>
    <x v="1"/>
    <s v="UAE"/>
    <n v="8487"/>
    <n v="271"/>
    <n v="3.2000000000000001E-2"/>
    <n v="0.91"/>
    <n v="246.61"/>
    <n v="14"/>
    <n v="17.62"/>
    <n v="4179.96"/>
    <n v="3933.35"/>
    <n v="15.949677628644418"/>
    <n v="16.95"/>
  </r>
  <r>
    <d v="2024-01-04T00:00:00"/>
    <x v="0"/>
    <x v="2"/>
    <s v="Shopping"/>
    <x v="2"/>
    <s v="Canada"/>
    <n v="91284"/>
    <n v="2126"/>
    <n v="2.3300000000000001E-2"/>
    <n v="0.92"/>
    <n v="1955.92"/>
    <n v="132"/>
    <n v="14.82"/>
    <n v="23916.94"/>
    <n v="21961.019999999997"/>
    <n v="11.227974559286677"/>
    <n v="12.23"/>
  </r>
  <r>
    <d v="2024-03-22T00:00:00"/>
    <x v="11"/>
    <x v="2"/>
    <s v="Video"/>
    <x v="0"/>
    <s v="Germany"/>
    <n v="84737"/>
    <n v="1415"/>
    <n v="1.67E-2"/>
    <n v="0.61"/>
    <n v="863.15"/>
    <n v="67"/>
    <n v="12.88"/>
    <n v="10044.57"/>
    <n v="9181.42"/>
    <n v="10.637108266234144"/>
    <n v="11.64"/>
  </r>
  <r>
    <d v="2024-11-26T00:00:00"/>
    <x v="6"/>
    <x v="2"/>
    <s v="Search"/>
    <x v="1"/>
    <s v="Australia"/>
    <n v="31547"/>
    <n v="772"/>
    <n v="2.4500000000000001E-2"/>
    <n v="1.99"/>
    <n v="1536.28"/>
    <n v="15"/>
    <n v="102.42"/>
    <n v="4188.5"/>
    <n v="2652.2200000000003"/>
    <n v="1.7263910224698624"/>
    <n v="2.73"/>
  </r>
  <r>
    <d v="2024-12-29T00:00:00"/>
    <x v="9"/>
    <x v="2"/>
    <s v="Video"/>
    <x v="3"/>
    <s v="Canada"/>
    <n v="162038"/>
    <n v="2722"/>
    <n v="1.6799999999999999E-2"/>
    <n v="0.77"/>
    <n v="2095.94"/>
    <n v="71"/>
    <n v="29.52"/>
    <n v="16951.259999999998"/>
    <n v="14855.319999999998"/>
    <n v="7.0876647232268084"/>
    <n v="8.09"/>
  </r>
  <r>
    <d v="2024-08-28T00:00:00"/>
    <x v="4"/>
    <x v="0"/>
    <s v="Video"/>
    <x v="1"/>
    <s v="UAE"/>
    <n v="145119"/>
    <n v="9998"/>
    <n v="6.8900000000000003E-2"/>
    <n v="1.46"/>
    <n v="14597.08"/>
    <n v="233"/>
    <n v="62.65"/>
    <n v="60859.85"/>
    <n v="46262.77"/>
    <n v="3.1693167400603408"/>
    <n v="4.17"/>
  </r>
  <r>
    <d v="2024-05-10T00:00:00"/>
    <x v="8"/>
    <x v="1"/>
    <s v="Display"/>
    <x v="2"/>
    <s v="Canada"/>
    <n v="92601"/>
    <n v="4065"/>
    <n v="4.3900000000000002E-2"/>
    <n v="0.52"/>
    <n v="2113.8000000000002"/>
    <n v="324"/>
    <n v="6.52"/>
    <n v="24076.73"/>
    <n v="21962.93"/>
    <n v="10.390259248746332"/>
    <n v="11.39"/>
  </r>
  <r>
    <d v="2024-12-30T00:00:00"/>
    <x v="9"/>
    <x v="0"/>
    <s v="Shopping"/>
    <x v="2"/>
    <s v="Canada"/>
    <n v="148041"/>
    <n v="8053"/>
    <n v="5.4399999999999997E-2"/>
    <n v="3.47"/>
    <n v="27943.91"/>
    <n v="98"/>
    <n v="285.14"/>
    <n v="4146.07"/>
    <n v="-23797.84"/>
    <n v="-0.85162885222576223"/>
    <n v="0.15"/>
  </r>
  <r>
    <d v="2024-09-25T00:00:00"/>
    <x v="7"/>
    <x v="0"/>
    <s v="Display"/>
    <x v="4"/>
    <s v="UK"/>
    <n v="25195"/>
    <n v="738"/>
    <n v="2.93E-2"/>
    <n v="2.61"/>
    <n v="1926.18"/>
    <n v="12"/>
    <n v="160.52000000000001"/>
    <n v="432.4"/>
    <n v="-1493.7800000000002"/>
    <n v="-0.77551423023808785"/>
    <n v="0.22"/>
  </r>
  <r>
    <d v="2024-01-21T00:00:00"/>
    <x v="0"/>
    <x v="0"/>
    <s v="Display"/>
    <x v="1"/>
    <s v="Australia"/>
    <n v="186465"/>
    <n v="8689"/>
    <n v="4.6600000000000003E-2"/>
    <n v="2.42"/>
    <n v="21027.38"/>
    <n v="367"/>
    <n v="57.3"/>
    <n v="57833.06"/>
    <n v="36805.679999999993"/>
    <n v="1.7503692804334154"/>
    <n v="2.75"/>
  </r>
  <r>
    <d v="2024-09-06T00:00:00"/>
    <x v="7"/>
    <x v="0"/>
    <s v="Shopping"/>
    <x v="0"/>
    <s v="Australia"/>
    <n v="136960"/>
    <n v="5382"/>
    <n v="3.9300000000000002E-2"/>
    <n v="1.42"/>
    <n v="7642.44"/>
    <n v="230"/>
    <n v="33.229999999999997"/>
    <n v="39826.629999999997"/>
    <n v="32184.19"/>
    <n v="4.2112453614290724"/>
    <n v="5.21"/>
  </r>
  <r>
    <d v="2024-04-21T00:00:00"/>
    <x v="5"/>
    <x v="0"/>
    <s v="Video"/>
    <x v="1"/>
    <s v="USA"/>
    <n v="193405"/>
    <n v="7852"/>
    <n v="4.0599999999999997E-2"/>
    <n v="0.96"/>
    <n v="7537.92"/>
    <n v="459"/>
    <n v="16.420000000000002"/>
    <n v="79715.61"/>
    <n v="72177.69"/>
    <n v="9.5752793874172184"/>
    <n v="10.58"/>
  </r>
  <r>
    <d v="2024-06-05T00:00:00"/>
    <x v="1"/>
    <x v="2"/>
    <s v="Video"/>
    <x v="2"/>
    <s v="USA"/>
    <n v="118591"/>
    <n v="4043"/>
    <n v="3.4099999999999998E-2"/>
    <n v="1.1499999999999999"/>
    <n v="4649.45"/>
    <n v="303"/>
    <n v="15.34"/>
    <n v="36581.129999999997"/>
    <n v="31931.679999999997"/>
    <n v="6.8678402821839137"/>
    <n v="7.87"/>
  </r>
  <r>
    <d v="2024-02-07T00:00:00"/>
    <x v="2"/>
    <x v="0"/>
    <s v="Search"/>
    <x v="0"/>
    <s v="Germany"/>
    <n v="163349"/>
    <n v="7906"/>
    <n v="4.8399999999999999E-2"/>
    <n v="2.68"/>
    <n v="21188.080000000002"/>
    <n v="360"/>
    <n v="58.86"/>
    <n v="44353.83"/>
    <n v="23165.75"/>
    <n v="1.0933388018168706"/>
    <n v="2.09"/>
  </r>
  <r>
    <d v="2024-08-31T00:00:00"/>
    <x v="4"/>
    <x v="0"/>
    <s v="Video"/>
    <x v="2"/>
    <s v="USA"/>
    <n v="166957"/>
    <n v="5476"/>
    <n v="3.2800000000000003E-2"/>
    <n v="1.22"/>
    <n v="6680.72"/>
    <n v="137"/>
    <n v="48.76"/>
    <n v="35345.21"/>
    <n v="28664.489999999998"/>
    <n v="4.2906288543749769"/>
    <n v="5.29"/>
  </r>
  <r>
    <d v="2024-06-28T00:00:00"/>
    <x v="1"/>
    <x v="2"/>
    <s v="Display"/>
    <x v="3"/>
    <s v="UK"/>
    <n v="169818"/>
    <n v="4992"/>
    <n v="2.9399999999999999E-2"/>
    <n v="1.9"/>
    <n v="9484.7999999999993"/>
    <n v="146"/>
    <n v="64.959999999999994"/>
    <n v="26864.23"/>
    <n v="17379.43"/>
    <n v="1.8323454369095817"/>
    <n v="2.83"/>
  </r>
  <r>
    <d v="2024-11-04T00:00:00"/>
    <x v="6"/>
    <x v="0"/>
    <s v="Display"/>
    <x v="1"/>
    <s v="India"/>
    <n v="158441"/>
    <n v="3976"/>
    <n v="2.5100000000000001E-2"/>
    <n v="2.72"/>
    <n v="10814.72"/>
    <n v="300"/>
    <n v="36.049999999999997"/>
    <n v="51868.85"/>
    <n v="41054.129999999997"/>
    <n v="3.7961343428216359"/>
    <n v="4.8"/>
  </r>
  <r>
    <d v="2024-12-25T00:00:00"/>
    <x v="9"/>
    <x v="0"/>
    <s v="Display"/>
    <x v="4"/>
    <s v="UK"/>
    <n v="10380"/>
    <n v="503"/>
    <n v="4.8500000000000001E-2"/>
    <n v="2"/>
    <n v="1006"/>
    <n v="15"/>
    <n v="67.069999999999993"/>
    <n v="1306.45"/>
    <n v="300.45000000000005"/>
    <n v="0.29865805168986087"/>
    <n v="1.3"/>
  </r>
  <r>
    <d v="2024-09-21T00:00:00"/>
    <x v="7"/>
    <x v="0"/>
    <s v="Shopping"/>
    <x v="3"/>
    <s v="Australia"/>
    <n v="27791"/>
    <n v="930"/>
    <n v="3.3500000000000002E-2"/>
    <n v="1.49"/>
    <n v="1385.7"/>
    <n v="73"/>
    <n v="18.98"/>
    <n v="10712.26"/>
    <n v="9326.56"/>
    <n v="6.7305766038825139"/>
    <n v="7.73"/>
  </r>
  <r>
    <d v="2024-03-28T00:00:00"/>
    <x v="11"/>
    <x v="2"/>
    <s v="Shopping"/>
    <x v="4"/>
    <s v="Australia"/>
    <n v="124870"/>
    <n v="2622"/>
    <n v="2.1000000000000001E-2"/>
    <n v="1.68"/>
    <n v="4404.96"/>
    <n v="140"/>
    <n v="31.46"/>
    <n v="13095.31"/>
    <n v="8690.3499999999985"/>
    <n v="1.9728555991427841"/>
    <n v="2.97"/>
  </r>
  <r>
    <d v="2024-08-30T00:00:00"/>
    <x v="4"/>
    <x v="2"/>
    <s v="Display"/>
    <x v="2"/>
    <s v="Australia"/>
    <n v="137053"/>
    <n v="5550"/>
    <n v="4.0500000000000001E-2"/>
    <n v="1.52"/>
    <n v="8436"/>
    <n v="381"/>
    <n v="22.14"/>
    <n v="43644.89"/>
    <n v="35208.89"/>
    <n v="4.1736474632527267"/>
    <n v="5.17"/>
  </r>
  <r>
    <d v="2024-04-21T00:00:00"/>
    <x v="5"/>
    <x v="2"/>
    <s v="Search"/>
    <x v="4"/>
    <s v="UAE"/>
    <n v="43062"/>
    <n v="1322"/>
    <n v="3.0700000000000002E-2"/>
    <n v="0.7"/>
    <n v="925.4"/>
    <n v="23"/>
    <n v="40.229999999999997"/>
    <n v="2104.08"/>
    <n v="1178.6799999999998"/>
    <n v="1.2736978603846985"/>
    <n v="2.27"/>
  </r>
  <r>
    <d v="2024-09-03T00:00:00"/>
    <x v="7"/>
    <x v="0"/>
    <s v="Video"/>
    <x v="3"/>
    <s v="USA"/>
    <n v="177472"/>
    <n v="9210"/>
    <n v="5.1900000000000002E-2"/>
    <n v="2.0299999999999998"/>
    <n v="18696.3"/>
    <n v="410"/>
    <n v="45.6"/>
    <n v="45066.38"/>
    <n v="26370.079999999998"/>
    <n v="1.4104437776458443"/>
    <n v="2.41"/>
  </r>
  <r>
    <d v="2024-05-26T00:00:00"/>
    <x v="8"/>
    <x v="0"/>
    <s v="Display"/>
    <x v="2"/>
    <s v="Australia"/>
    <n v="25967"/>
    <n v="656"/>
    <n v="2.53E-2"/>
    <n v="2.69"/>
    <n v="1764.64"/>
    <n v="24"/>
    <n v="73.53"/>
    <n v="1078.6199999999999"/>
    <n v="-686.02000000000021"/>
    <n v="-0.38875918034273288"/>
    <n v="0.61"/>
  </r>
  <r>
    <d v="2024-09-25T00:00:00"/>
    <x v="7"/>
    <x v="1"/>
    <s v="Shopping"/>
    <x v="3"/>
    <s v="Canada"/>
    <n v="139162"/>
    <n v="7152"/>
    <n v="5.1400000000000001E-2"/>
    <n v="1.39"/>
    <n v="9941.2800000000007"/>
    <n v="137"/>
    <n v="72.56"/>
    <n v="29124.09"/>
    <n v="19182.809999999998"/>
    <n v="1.9296116797836895"/>
    <n v="2.93"/>
  </r>
  <r>
    <d v="2024-12-22T00:00:00"/>
    <x v="9"/>
    <x v="0"/>
    <s v="Display"/>
    <x v="0"/>
    <s v="UK"/>
    <n v="45364"/>
    <n v="1628"/>
    <n v="3.5900000000000001E-2"/>
    <n v="1.23"/>
    <n v="2002.44"/>
    <n v="113"/>
    <n v="17.72"/>
    <n v="10930.4"/>
    <n v="8927.9599999999991"/>
    <n v="4.4585405804917997"/>
    <n v="5.46"/>
  </r>
  <r>
    <d v="2024-01-15T00:00:00"/>
    <x v="0"/>
    <x v="0"/>
    <s v="Display"/>
    <x v="4"/>
    <s v="UK"/>
    <n v="62320"/>
    <n v="3857"/>
    <n v="6.1899999999999997E-2"/>
    <n v="1.01"/>
    <n v="3895.57"/>
    <n v="158"/>
    <n v="24.66"/>
    <n v="17905.2"/>
    <n v="14009.630000000001"/>
    <n v="3.5962978460148323"/>
    <n v="4.5999999999999996"/>
  </r>
  <r>
    <d v="2024-11-15T00:00:00"/>
    <x v="6"/>
    <x v="2"/>
    <s v="Shopping"/>
    <x v="3"/>
    <s v="Canada"/>
    <n v="141436"/>
    <n v="3026"/>
    <n v="2.1399999999999999E-2"/>
    <n v="1.84"/>
    <n v="5567.84"/>
    <n v="108"/>
    <n v="51.55"/>
    <n v="24540.41"/>
    <n v="18972.57"/>
    <n v="3.4075278743642059"/>
    <n v="4.41"/>
  </r>
  <r>
    <d v="2024-10-18T00:00:00"/>
    <x v="3"/>
    <x v="2"/>
    <s v="Video"/>
    <x v="1"/>
    <s v="Germany"/>
    <n v="152318"/>
    <n v="4554"/>
    <n v="2.9899999999999999E-2"/>
    <n v="1.08"/>
    <n v="4918.32"/>
    <n v="296"/>
    <n v="16.62"/>
    <n v="64805.54"/>
    <n v="59887.22"/>
    <n v="12.176356967419771"/>
    <n v="13.18"/>
  </r>
  <r>
    <d v="2024-09-01T00:00:00"/>
    <x v="7"/>
    <x v="0"/>
    <s v="Search"/>
    <x v="3"/>
    <s v="USA"/>
    <n v="27778"/>
    <n v="1902"/>
    <n v="6.8500000000000005E-2"/>
    <n v="1.55"/>
    <n v="2948.1"/>
    <n v="125"/>
    <n v="23.58"/>
    <n v="15444.21"/>
    <n v="12496.109999999999"/>
    <n v="4.2386995013737661"/>
    <n v="5.24"/>
  </r>
  <r>
    <d v="2024-08-19T00:00:00"/>
    <x v="4"/>
    <x v="1"/>
    <s v="Video"/>
    <x v="4"/>
    <s v="UK"/>
    <n v="82400"/>
    <n v="3708"/>
    <n v="4.4999999999999998E-2"/>
    <n v="0.8"/>
    <n v="2966.4"/>
    <n v="139"/>
    <n v="21.34"/>
    <n v="31548.51"/>
    <n v="28582.109999999997"/>
    <n v="9.6352851941747559"/>
    <n v="10.64"/>
  </r>
  <r>
    <d v="2024-11-29T00:00:00"/>
    <x v="6"/>
    <x v="0"/>
    <s v="Search"/>
    <x v="2"/>
    <s v="UK"/>
    <n v="195606"/>
    <n v="10817"/>
    <n v="5.5300000000000002E-2"/>
    <n v="3.53"/>
    <n v="38184.01"/>
    <n v="122"/>
    <n v="312.98"/>
    <n v="7355.91"/>
    <n v="-30828.100000000002"/>
    <n v="-0.80735627295299783"/>
    <n v="0.19"/>
  </r>
  <r>
    <d v="2024-11-20T00:00:00"/>
    <x v="6"/>
    <x v="1"/>
    <s v="Shopping"/>
    <x v="0"/>
    <s v="Canada"/>
    <n v="18181"/>
    <n v="1179"/>
    <n v="6.4899999999999999E-2"/>
    <n v="0.64"/>
    <n v="754.56"/>
    <n v="24"/>
    <n v="31.44"/>
    <n v="4581.7"/>
    <n v="3827.14"/>
    <n v="5.0720154792196777"/>
    <n v="6.07"/>
  </r>
  <r>
    <d v="2024-04-26T00:00:00"/>
    <x v="5"/>
    <x v="0"/>
    <s v="Video"/>
    <x v="3"/>
    <s v="USA"/>
    <n v="86560"/>
    <n v="5323"/>
    <n v="6.1499999999999999E-2"/>
    <n v="0.91"/>
    <n v="4843.93"/>
    <n v="94"/>
    <n v="51.53"/>
    <n v="8283.6200000000008"/>
    <n v="3439.6900000000005"/>
    <n v="0.7101031600374077"/>
    <n v="1.71"/>
  </r>
  <r>
    <d v="2024-03-11T00:00:00"/>
    <x v="11"/>
    <x v="0"/>
    <s v="Video"/>
    <x v="0"/>
    <s v="USA"/>
    <n v="89845"/>
    <n v="2605"/>
    <n v="2.9000000000000001E-2"/>
    <n v="1.74"/>
    <n v="4532.7"/>
    <n v="155"/>
    <n v="29.24"/>
    <n v="14107.55"/>
    <n v="9574.8499999999985"/>
    <n v="2.1123943786264254"/>
    <n v="3.11"/>
  </r>
  <r>
    <d v="2024-06-08T00:00:00"/>
    <x v="1"/>
    <x v="2"/>
    <s v="Shopping"/>
    <x v="0"/>
    <s v="Germany"/>
    <n v="194121"/>
    <n v="6270"/>
    <n v="3.2300000000000002E-2"/>
    <n v="0.69"/>
    <n v="4326.3"/>
    <n v="133"/>
    <n v="32.53"/>
    <n v="11409.44"/>
    <n v="7083.14"/>
    <n v="1.6372281164043179"/>
    <n v="2.64"/>
  </r>
  <r>
    <d v="2024-10-23T00:00:00"/>
    <x v="3"/>
    <x v="2"/>
    <s v="Video"/>
    <x v="3"/>
    <s v="Canada"/>
    <n v="81313"/>
    <n v="1089"/>
    <n v="1.34E-2"/>
    <n v="1.43"/>
    <n v="1557.27"/>
    <n v="77"/>
    <n v="20.22"/>
    <n v="3549.91"/>
    <n v="1992.6399999999999"/>
    <n v="1.2795725853577093"/>
    <n v="2.2799999999999998"/>
  </r>
  <r>
    <d v="2024-08-15T00:00:00"/>
    <x v="4"/>
    <x v="0"/>
    <s v="Display"/>
    <x v="2"/>
    <s v="USA"/>
    <n v="95153"/>
    <n v="5404"/>
    <n v="5.6800000000000003E-2"/>
    <n v="1.7"/>
    <n v="9186.7999999999993"/>
    <n v="74"/>
    <n v="124.15"/>
    <n v="20688.95"/>
    <n v="11502.150000000001"/>
    <n v="1.2520300866460576"/>
    <n v="2.25"/>
  </r>
  <r>
    <d v="2024-02-17T00:00:00"/>
    <x v="2"/>
    <x v="2"/>
    <s v="Display"/>
    <x v="0"/>
    <s v="Germany"/>
    <n v="104926"/>
    <n v="3273"/>
    <n v="3.1199999999999999E-2"/>
    <n v="1.48"/>
    <n v="4844.04"/>
    <n v="65"/>
    <n v="74.52"/>
    <n v="12449.27"/>
    <n v="7605.2300000000005"/>
    <n v="1.570018001502878"/>
    <n v="2.57"/>
  </r>
  <r>
    <d v="2024-12-06T00:00:00"/>
    <x v="9"/>
    <x v="2"/>
    <s v="Shopping"/>
    <x v="3"/>
    <s v="Germany"/>
    <n v="16093"/>
    <n v="466"/>
    <n v="2.9000000000000001E-2"/>
    <n v="0.83"/>
    <n v="386.78"/>
    <n v="28"/>
    <n v="13.81"/>
    <n v="5468.73"/>
    <n v="5081.95"/>
    <n v="13.139123015667822"/>
    <n v="14.14"/>
  </r>
  <r>
    <d v="2024-11-27T00:00:00"/>
    <x v="6"/>
    <x v="0"/>
    <s v="Shopping"/>
    <x v="1"/>
    <s v="Canada"/>
    <n v="155338"/>
    <n v="10718"/>
    <n v="6.9000000000000006E-2"/>
    <n v="1.86"/>
    <n v="19935.48"/>
    <n v="411"/>
    <n v="48.5"/>
    <n v="112821.78"/>
    <n v="92886.3"/>
    <n v="4.6593460503584563"/>
    <n v="5.66"/>
  </r>
  <r>
    <d v="2024-11-13T00:00:00"/>
    <x v="6"/>
    <x v="0"/>
    <s v="Video"/>
    <x v="1"/>
    <s v="Canada"/>
    <n v="179877"/>
    <n v="4317"/>
    <n v="2.4E-2"/>
    <n v="2.54"/>
    <n v="10965.18"/>
    <n v="215"/>
    <n v="51"/>
    <n v="13004.03"/>
    <n v="2038.8500000000004"/>
    <n v="0.18593858012362774"/>
    <n v="1.19"/>
  </r>
  <r>
    <d v="2024-08-24T00:00:00"/>
    <x v="4"/>
    <x v="1"/>
    <s v="Video"/>
    <x v="4"/>
    <s v="Australia"/>
    <n v="185510"/>
    <n v="9739"/>
    <n v="5.2499999999999998E-2"/>
    <n v="2.0499999999999998"/>
    <n v="19964.95"/>
    <n v="461"/>
    <n v="43.31"/>
    <n v="116711.4"/>
    <n v="96746.45"/>
    <n v="4.8458147904202109"/>
    <n v="5.85"/>
  </r>
  <r>
    <d v="2024-08-20T00:00:00"/>
    <x v="4"/>
    <x v="1"/>
    <s v="Search"/>
    <x v="1"/>
    <s v="Germany"/>
    <n v="135992"/>
    <n v="8023"/>
    <n v="5.8999999999999997E-2"/>
    <n v="0.4"/>
    <n v="3209.2"/>
    <n v="640"/>
    <n v="5.01"/>
    <n v="50560.98"/>
    <n v="47351.780000000006"/>
    <n v="14.755010594540698"/>
    <n v="15.76"/>
  </r>
  <r>
    <d v="2024-01-16T00:00:00"/>
    <x v="0"/>
    <x v="0"/>
    <s v="Search"/>
    <x v="1"/>
    <s v="Germany"/>
    <n v="192593"/>
    <n v="4949"/>
    <n v="2.5700000000000001E-2"/>
    <n v="1.83"/>
    <n v="9056.67"/>
    <n v="172"/>
    <n v="52.66"/>
    <n v="20836.16"/>
    <n v="11779.49"/>
    <n v="1.3006425098849799"/>
    <n v="2.2999999999999998"/>
  </r>
  <r>
    <d v="2024-12-30T00:00:00"/>
    <x v="9"/>
    <x v="2"/>
    <s v="Search"/>
    <x v="1"/>
    <s v="UAE"/>
    <n v="18487"/>
    <n v="693"/>
    <n v="3.7499999999999999E-2"/>
    <n v="0.49"/>
    <n v="339.57"/>
    <n v="36"/>
    <n v="9.43"/>
    <n v="7765.15"/>
    <n v="7425.58"/>
    <n v="21.867597255352358"/>
    <n v="22.87"/>
  </r>
  <r>
    <d v="2024-11-24T00:00:00"/>
    <x v="6"/>
    <x v="2"/>
    <s v="Video"/>
    <x v="1"/>
    <s v="UK"/>
    <n v="88452"/>
    <n v="3361"/>
    <n v="3.7999999999999999E-2"/>
    <n v="1.63"/>
    <n v="5478.43"/>
    <n v="180"/>
    <n v="30.44"/>
    <n v="8119.45"/>
    <n v="2641.0199999999995"/>
    <n v="0.48207606923881463"/>
    <n v="1.48"/>
  </r>
  <r>
    <d v="2024-10-16T00:00:00"/>
    <x v="3"/>
    <x v="1"/>
    <s v="Display"/>
    <x v="0"/>
    <s v="USA"/>
    <n v="178714"/>
    <n v="7559"/>
    <n v="4.2299999999999997E-2"/>
    <n v="1.1399999999999999"/>
    <n v="8617.26"/>
    <n v="312"/>
    <n v="27.62"/>
    <n v="39985.980000000003"/>
    <n v="31368.720000000001"/>
    <n v="3.64021974502336"/>
    <n v="4.6399999999999997"/>
  </r>
  <r>
    <d v="2024-07-05T00:00:00"/>
    <x v="10"/>
    <x v="1"/>
    <s v="Display"/>
    <x v="3"/>
    <s v="UK"/>
    <n v="113190"/>
    <n v="3984"/>
    <n v="3.5200000000000002E-2"/>
    <n v="1.41"/>
    <n v="5617.44"/>
    <n v="172"/>
    <n v="32.659999999999997"/>
    <n v="10269.39"/>
    <n v="4651.95"/>
    <n v="0.82812633512774503"/>
    <n v="1.83"/>
  </r>
  <r>
    <d v="2024-04-13T00:00:00"/>
    <x v="5"/>
    <x v="2"/>
    <s v="Video"/>
    <x v="4"/>
    <s v="Australia"/>
    <n v="126103"/>
    <n v="4300"/>
    <n v="3.4099999999999998E-2"/>
    <n v="1.0900000000000001"/>
    <n v="4687"/>
    <n v="313"/>
    <n v="14.97"/>
    <n v="18027.88"/>
    <n v="13340.880000000001"/>
    <n v="2.8463580115212292"/>
    <n v="3.85"/>
  </r>
  <r>
    <d v="2024-12-21T00:00:00"/>
    <x v="9"/>
    <x v="0"/>
    <s v="Search"/>
    <x v="2"/>
    <s v="India"/>
    <n v="101355"/>
    <n v="4459"/>
    <n v="4.3999999999999997E-2"/>
    <n v="2.5499999999999998"/>
    <n v="11370.45"/>
    <n v="122"/>
    <n v="93.2"/>
    <n v="10455.25"/>
    <n v="-915.20000000000073"/>
    <n v="-8.0489338592579951E-2"/>
    <n v="0.92"/>
  </r>
  <r>
    <d v="2024-02-16T00:00:00"/>
    <x v="2"/>
    <x v="0"/>
    <s v="Display"/>
    <x v="1"/>
    <s v="Canada"/>
    <n v="197974"/>
    <n v="4375"/>
    <n v="2.2100000000000002E-2"/>
    <n v="2.4300000000000002"/>
    <n v="10631.25"/>
    <n v="347"/>
    <n v="30.64"/>
    <n v="73971.789999999994"/>
    <n v="63340.539999999994"/>
    <n v="5.9579579071134621"/>
    <n v="6.96"/>
  </r>
  <r>
    <d v="2024-04-07T00:00:00"/>
    <x v="5"/>
    <x v="2"/>
    <s v="Shopping"/>
    <x v="0"/>
    <s v="UK"/>
    <n v="49261"/>
    <n v="724"/>
    <n v="1.47E-2"/>
    <n v="0.62"/>
    <n v="448.88"/>
    <n v="31"/>
    <n v="14.48"/>
    <n v="1397.37"/>
    <n v="948.4899999999999"/>
    <n v="2.1130146141507749"/>
    <n v="3.11"/>
  </r>
  <r>
    <d v="2024-01-31T00:00:00"/>
    <x v="0"/>
    <x v="1"/>
    <s v="Shopping"/>
    <x v="3"/>
    <s v="India"/>
    <n v="174668"/>
    <n v="10916"/>
    <n v="6.25E-2"/>
    <n v="0.63"/>
    <n v="6877.08"/>
    <n v="310"/>
    <n v="22.18"/>
    <n v="37599.64"/>
    <n v="30722.559999999998"/>
    <n v="4.467384413152093"/>
    <n v="5.47"/>
  </r>
  <r>
    <d v="2024-10-16T00:00:00"/>
    <x v="3"/>
    <x v="0"/>
    <s v="Shopping"/>
    <x v="0"/>
    <s v="USA"/>
    <n v="163178"/>
    <n v="5172"/>
    <n v="3.1699999999999999E-2"/>
    <n v="2.21"/>
    <n v="11430.12"/>
    <n v="325"/>
    <n v="35.17"/>
    <n v="14305.21"/>
    <n v="2875.0899999999983"/>
    <n v="0.25153629183245652"/>
    <n v="1.25"/>
  </r>
  <r>
    <d v="2024-11-17T00:00:00"/>
    <x v="6"/>
    <x v="1"/>
    <s v="Search"/>
    <x v="1"/>
    <s v="USA"/>
    <n v="105726"/>
    <n v="8542"/>
    <n v="8.0799999999999997E-2"/>
    <n v="1.4"/>
    <n v="11958.8"/>
    <n v="662"/>
    <n v="18.059999999999999"/>
    <n v="104498.78"/>
    <n v="92539.98"/>
    <n v="7.7382329330702078"/>
    <n v="8.74"/>
  </r>
  <r>
    <d v="2024-02-12T00:00:00"/>
    <x v="2"/>
    <x v="1"/>
    <s v="Display"/>
    <x v="2"/>
    <s v="UAE"/>
    <n v="74285"/>
    <n v="2094"/>
    <n v="2.8199999999999999E-2"/>
    <n v="0.63"/>
    <n v="1319.22"/>
    <n v="92"/>
    <n v="14.34"/>
    <n v="18972.8"/>
    <n v="17653.579999999998"/>
    <n v="13.381831688421945"/>
    <n v="14.38"/>
  </r>
  <r>
    <d v="2024-01-29T00:00:00"/>
    <x v="0"/>
    <x v="0"/>
    <s v="Display"/>
    <x v="1"/>
    <s v="USA"/>
    <n v="168471"/>
    <n v="6014"/>
    <n v="3.5700000000000003E-2"/>
    <n v="0.97"/>
    <n v="5833.58"/>
    <n v="117"/>
    <n v="49.86"/>
    <n v="25231.33"/>
    <n v="19397.75"/>
    <n v="3.3251879634804014"/>
    <n v="4.33"/>
  </r>
  <r>
    <d v="2024-10-09T00:00:00"/>
    <x v="3"/>
    <x v="1"/>
    <s v="Search"/>
    <x v="4"/>
    <s v="UK"/>
    <n v="128295"/>
    <n v="4695"/>
    <n v="3.6600000000000001E-2"/>
    <n v="0.84"/>
    <n v="3943.8"/>
    <n v="276"/>
    <n v="14.29"/>
    <n v="42279.01"/>
    <n v="38335.21"/>
    <n v="9.7203737512044217"/>
    <n v="10.72"/>
  </r>
  <r>
    <d v="2024-11-26T00:00:00"/>
    <x v="6"/>
    <x v="2"/>
    <s v="Search"/>
    <x v="2"/>
    <s v="Australia"/>
    <n v="109777"/>
    <n v="2722"/>
    <n v="2.4799999999999999E-2"/>
    <n v="1.44"/>
    <n v="3919.68"/>
    <n v="170"/>
    <n v="23.06"/>
    <n v="47040.47"/>
    <n v="43120.79"/>
    <n v="11.001099579557515"/>
    <n v="12"/>
  </r>
  <r>
    <d v="2024-09-17T00:00:00"/>
    <x v="7"/>
    <x v="1"/>
    <s v="Video"/>
    <x v="2"/>
    <s v="UAE"/>
    <n v="153537"/>
    <n v="7277"/>
    <n v="4.7399999999999998E-2"/>
    <n v="1"/>
    <n v="7277"/>
    <n v="175"/>
    <n v="41.58"/>
    <n v="48117.42"/>
    <n v="40840.42"/>
    <n v="5.6122605469286793"/>
    <n v="6.61"/>
  </r>
  <r>
    <d v="2024-08-30T00:00:00"/>
    <x v="4"/>
    <x v="0"/>
    <s v="Shopping"/>
    <x v="0"/>
    <s v="Germany"/>
    <n v="20915"/>
    <n v="913"/>
    <n v="4.3700000000000003E-2"/>
    <n v="1.03"/>
    <n v="940.39"/>
    <n v="37"/>
    <n v="25.42"/>
    <n v="3637.08"/>
    <n v="2696.69"/>
    <n v="2.8676293878071863"/>
    <n v="3.87"/>
  </r>
  <r>
    <d v="2024-07-26T00:00:00"/>
    <x v="10"/>
    <x v="2"/>
    <s v="Search"/>
    <x v="1"/>
    <s v="UK"/>
    <n v="29992"/>
    <n v="605"/>
    <n v="2.0199999999999999E-2"/>
    <n v="0.61"/>
    <n v="369.05"/>
    <n v="35"/>
    <n v="10.54"/>
    <n v="5311.42"/>
    <n v="4942.37"/>
    <n v="13.392141986180734"/>
    <n v="14.39"/>
  </r>
  <r>
    <d v="2024-03-05T00:00:00"/>
    <x v="11"/>
    <x v="2"/>
    <s v="Search"/>
    <x v="0"/>
    <s v="UK"/>
    <n v="187461"/>
    <n v="2511"/>
    <n v="1.34E-2"/>
    <n v="1.7"/>
    <n v="4268.7"/>
    <n v="189"/>
    <n v="22.59"/>
    <n v="16540.060000000001"/>
    <n v="12271.36"/>
    <n v="2.8747300114789049"/>
    <n v="3.87"/>
  </r>
  <r>
    <d v="2024-05-17T00:00:00"/>
    <x v="8"/>
    <x v="0"/>
    <s v="Display"/>
    <x v="4"/>
    <s v="Australia"/>
    <n v="107885"/>
    <n v="3344"/>
    <n v="3.1E-2"/>
    <n v="2.09"/>
    <n v="6988.96"/>
    <n v="262"/>
    <n v="26.68"/>
    <n v="51456.480000000003"/>
    <n v="44467.520000000004"/>
    <n v="6.3625374876948797"/>
    <n v="7.36"/>
  </r>
  <r>
    <d v="2024-05-23T00:00:00"/>
    <x v="8"/>
    <x v="0"/>
    <s v="Video"/>
    <x v="4"/>
    <s v="Germany"/>
    <n v="162242"/>
    <n v="5110"/>
    <n v="3.15E-2"/>
    <n v="2.67"/>
    <n v="13643.7"/>
    <n v="118"/>
    <n v="115.62"/>
    <n v="30643.55"/>
    <n v="16999.849999999999"/>
    <n v="1.2459853265609766"/>
    <n v="2.25"/>
  </r>
  <r>
    <d v="2024-05-06T00:00:00"/>
    <x v="8"/>
    <x v="2"/>
    <s v="Video"/>
    <x v="1"/>
    <s v="USA"/>
    <n v="34404"/>
    <n v="1204"/>
    <n v="3.5000000000000003E-2"/>
    <n v="1.42"/>
    <n v="1709.68"/>
    <n v="94"/>
    <n v="18.190000000000001"/>
    <n v="17655.16"/>
    <n v="15945.48"/>
    <n v="9.326587431566141"/>
    <n v="10.33"/>
  </r>
  <r>
    <d v="2024-11-02T00:00:00"/>
    <x v="6"/>
    <x v="2"/>
    <s v="Display"/>
    <x v="1"/>
    <s v="Australia"/>
    <n v="133773"/>
    <n v="3491"/>
    <n v="2.6100000000000002E-2"/>
    <n v="1.83"/>
    <n v="6388.53"/>
    <n v="181"/>
    <n v="35.299999999999997"/>
    <n v="21663.32"/>
    <n v="15274.79"/>
    <n v="2.3909710058495461"/>
    <n v="3.39"/>
  </r>
  <r>
    <d v="2024-08-03T00:00:00"/>
    <x v="4"/>
    <x v="0"/>
    <s v="Video"/>
    <x v="3"/>
    <s v="Canada"/>
    <n v="185948"/>
    <n v="5373"/>
    <n v="2.8899999999999999E-2"/>
    <n v="0.73"/>
    <n v="3922.29"/>
    <n v="82"/>
    <n v="47.83"/>
    <n v="15594.76"/>
    <n v="11672.470000000001"/>
    <n v="2.9759324272300112"/>
    <n v="3.98"/>
  </r>
  <r>
    <d v="2024-07-13T00:00:00"/>
    <x v="10"/>
    <x v="0"/>
    <s v="Shopping"/>
    <x v="2"/>
    <s v="Australia"/>
    <n v="98375"/>
    <n v="1898"/>
    <n v="1.9300000000000001E-2"/>
    <n v="3.35"/>
    <n v="6358.3"/>
    <n v="45"/>
    <n v="141.30000000000001"/>
    <n v="2253.91"/>
    <n v="-4104.3900000000003"/>
    <n v="-0.64551688344368785"/>
    <n v="0.35"/>
  </r>
  <r>
    <d v="2024-07-22T00:00:00"/>
    <x v="10"/>
    <x v="0"/>
    <s v="Video"/>
    <x v="2"/>
    <s v="USA"/>
    <n v="190826"/>
    <n v="12174"/>
    <n v="6.3799999999999996E-2"/>
    <n v="1.75"/>
    <n v="21304.5"/>
    <n v="933"/>
    <n v="22.83"/>
    <n v="139478.01"/>
    <n v="118173.51000000001"/>
    <n v="5.5468802365697396"/>
    <n v="6.55"/>
  </r>
  <r>
    <d v="2024-07-07T00:00:00"/>
    <x v="10"/>
    <x v="2"/>
    <s v="Display"/>
    <x v="2"/>
    <s v="UAE"/>
    <n v="105050"/>
    <n v="3077"/>
    <n v="2.93E-2"/>
    <n v="0.5"/>
    <n v="1538.5"/>
    <n v="206"/>
    <n v="7.47"/>
    <n v="55580.46"/>
    <n v="54041.96"/>
    <n v="35.126395840103996"/>
    <n v="36.130000000000003"/>
  </r>
  <r>
    <d v="2024-07-19T00:00:00"/>
    <x v="10"/>
    <x v="0"/>
    <s v="Shopping"/>
    <x v="4"/>
    <s v="India"/>
    <n v="52547"/>
    <n v="2806"/>
    <n v="5.3400000000000003E-2"/>
    <n v="2.15"/>
    <n v="6032.9"/>
    <n v="47"/>
    <n v="128.36000000000001"/>
    <n v="13262.4"/>
    <n v="7229.5"/>
    <n v="1.1983457375391604"/>
    <n v="2.2000000000000002"/>
  </r>
  <r>
    <d v="2024-05-15T00:00:00"/>
    <x v="8"/>
    <x v="0"/>
    <s v="Search"/>
    <x v="2"/>
    <s v="India"/>
    <n v="139648"/>
    <n v="4398"/>
    <n v="3.15E-2"/>
    <n v="3"/>
    <n v="13194"/>
    <n v="347"/>
    <n v="38.020000000000003"/>
    <n v="82597.149999999994"/>
    <n v="69403.149999999994"/>
    <n v="5.2602053963922994"/>
    <n v="6.26"/>
  </r>
  <r>
    <d v="2024-06-21T00:00:00"/>
    <x v="1"/>
    <x v="1"/>
    <s v="Search"/>
    <x v="0"/>
    <s v="Germany"/>
    <n v="186434"/>
    <n v="8743"/>
    <n v="4.6899999999999997E-2"/>
    <n v="1.65"/>
    <n v="14425.95"/>
    <n v="87"/>
    <n v="165.82"/>
    <n v="21530.58"/>
    <n v="7104.630000000001"/>
    <n v="0.49248957607644561"/>
    <n v="1.49"/>
  </r>
  <r>
    <d v="2024-07-29T00:00:00"/>
    <x v="10"/>
    <x v="0"/>
    <s v="Search"/>
    <x v="0"/>
    <s v="Germany"/>
    <n v="63001"/>
    <n v="3181"/>
    <n v="5.0500000000000003E-2"/>
    <n v="1.48"/>
    <n v="4707.88"/>
    <n v="94"/>
    <n v="50.08"/>
    <n v="3324.55"/>
    <n v="-1383.33"/>
    <n v="-0.29383289293694825"/>
    <n v="0.71"/>
  </r>
  <r>
    <d v="2024-04-12T00:00:00"/>
    <x v="5"/>
    <x v="2"/>
    <s v="Shopping"/>
    <x v="4"/>
    <s v="UK"/>
    <n v="132343"/>
    <n v="3507"/>
    <n v="2.6499999999999999E-2"/>
    <n v="1.1399999999999999"/>
    <n v="3997.98"/>
    <n v="238"/>
    <n v="16.8"/>
    <n v="17184.939999999999"/>
    <n v="13186.96"/>
    <n v="3.2984056948759122"/>
    <n v="4.3"/>
  </r>
  <r>
    <d v="2024-06-19T00:00:00"/>
    <x v="1"/>
    <x v="0"/>
    <s v="Shopping"/>
    <x v="2"/>
    <s v="UK"/>
    <n v="172570"/>
    <n v="3692"/>
    <n v="2.1399999999999999E-2"/>
    <n v="2.16"/>
    <n v="7974.72"/>
    <n v="53"/>
    <n v="150.47"/>
    <n v="15699.11"/>
    <n v="7724.39"/>
    <n v="0.96860955619758438"/>
    <n v="1.97"/>
  </r>
  <r>
    <d v="2024-04-09T00:00:00"/>
    <x v="5"/>
    <x v="0"/>
    <s v="Video"/>
    <x v="0"/>
    <s v="UAE"/>
    <n v="196510"/>
    <n v="10316"/>
    <n v="5.2499999999999998E-2"/>
    <n v="2"/>
    <n v="20632"/>
    <n v="282"/>
    <n v="73.16"/>
    <n v="66245.27"/>
    <n v="45613.270000000004"/>
    <n v="2.2108021519968983"/>
    <n v="3.21"/>
  </r>
  <r>
    <d v="2024-05-13T00:00:00"/>
    <x v="8"/>
    <x v="0"/>
    <s v="Display"/>
    <x v="1"/>
    <s v="Canada"/>
    <n v="140875"/>
    <n v="6818"/>
    <n v="4.8399999999999999E-2"/>
    <n v="2.25"/>
    <n v="15340.5"/>
    <n v="142"/>
    <n v="108.03"/>
    <n v="28774.25"/>
    <n v="13433.75"/>
    <n v="0.87570483361037776"/>
    <n v="1.88"/>
  </r>
  <r>
    <d v="2024-08-02T00:00:00"/>
    <x v="4"/>
    <x v="1"/>
    <s v="Shopping"/>
    <x v="3"/>
    <s v="USA"/>
    <n v="50955"/>
    <n v="3892"/>
    <n v="7.6399999999999996E-2"/>
    <n v="1.27"/>
    <n v="4942.84"/>
    <n v="224"/>
    <n v="22.07"/>
    <n v="60995.17"/>
    <n v="56052.33"/>
    <n v="11.340106092853501"/>
    <n v="12.34"/>
  </r>
  <r>
    <d v="2024-10-19T00:00:00"/>
    <x v="3"/>
    <x v="0"/>
    <s v="Search"/>
    <x v="0"/>
    <s v="USA"/>
    <n v="103991"/>
    <n v="3067"/>
    <n v="2.9499999999999998E-2"/>
    <n v="2.59"/>
    <n v="7943.53"/>
    <n v="142"/>
    <n v="55.94"/>
    <n v="36045.300000000003"/>
    <n v="28101.770000000004"/>
    <n v="3.5376929400405115"/>
    <n v="4.54"/>
  </r>
  <r>
    <d v="2024-10-25T00:00:00"/>
    <x v="3"/>
    <x v="0"/>
    <s v="Video"/>
    <x v="1"/>
    <s v="Germany"/>
    <n v="22637"/>
    <n v="876"/>
    <n v="3.8699999999999998E-2"/>
    <n v="1.22"/>
    <n v="1068.72"/>
    <n v="16"/>
    <n v="66.8"/>
    <n v="2623.14"/>
    <n v="1554.4199999999998"/>
    <n v="1.4544688973725577"/>
    <n v="2.4500000000000002"/>
  </r>
  <r>
    <d v="2024-12-20T00:00:00"/>
    <x v="9"/>
    <x v="2"/>
    <s v="Display"/>
    <x v="0"/>
    <s v="Canada"/>
    <n v="86099"/>
    <n v="2910"/>
    <n v="3.3799999999999997E-2"/>
    <n v="2.19"/>
    <n v="6372.9"/>
    <n v="194"/>
    <n v="32.85"/>
    <n v="39485.519999999997"/>
    <n v="33112.619999999995"/>
    <n v="5.1958480440615729"/>
    <n v="6.2"/>
  </r>
  <r>
    <d v="2024-11-08T00:00:00"/>
    <x v="6"/>
    <x v="2"/>
    <s v="Display"/>
    <x v="0"/>
    <s v="UAE"/>
    <n v="181950"/>
    <n v="2401"/>
    <n v="1.32E-2"/>
    <n v="0.67"/>
    <n v="1608.67"/>
    <n v="168"/>
    <n v="9.58"/>
    <n v="30028.61"/>
    <n v="28419.940000000002"/>
    <n v="17.666730901925195"/>
    <n v="18.670000000000002"/>
  </r>
  <r>
    <d v="2024-06-11T00:00:00"/>
    <x v="1"/>
    <x v="2"/>
    <s v="Video"/>
    <x v="4"/>
    <s v="Australia"/>
    <n v="102229"/>
    <n v="2146"/>
    <n v="2.1000000000000001E-2"/>
    <n v="0.61"/>
    <n v="1309.06"/>
    <n v="52"/>
    <n v="25.17"/>
    <n v="14121.79"/>
    <n v="12812.730000000001"/>
    <n v="9.7877331825890348"/>
    <n v="10.79"/>
  </r>
  <r>
    <d v="2024-09-22T00:00:00"/>
    <x v="7"/>
    <x v="1"/>
    <s v="Video"/>
    <x v="3"/>
    <s v="Germany"/>
    <n v="53167"/>
    <n v="2536"/>
    <n v="4.7699999999999999E-2"/>
    <n v="0.44"/>
    <n v="1115.8399999999999"/>
    <n v="145"/>
    <n v="7.7"/>
    <n v="11216.46"/>
    <n v="10100.619999999999"/>
    <n v="9.0520325494694571"/>
    <n v="10.050000000000001"/>
  </r>
  <r>
    <d v="2024-05-06T00:00:00"/>
    <x v="8"/>
    <x v="2"/>
    <s v="Shopping"/>
    <x v="3"/>
    <s v="Canada"/>
    <n v="10177"/>
    <n v="413"/>
    <n v="4.0599999999999997E-2"/>
    <n v="1.85"/>
    <n v="764.05"/>
    <n v="16"/>
    <n v="47.75"/>
    <n v="4058.36"/>
    <n v="3294.3100000000004"/>
    <n v="4.3116419082520787"/>
    <n v="5.31"/>
  </r>
  <r>
    <d v="2024-12-08T00:00:00"/>
    <x v="9"/>
    <x v="2"/>
    <s v="Shopping"/>
    <x v="4"/>
    <s v="Canada"/>
    <n v="67714"/>
    <n v="738"/>
    <n v="1.09E-2"/>
    <n v="1.1100000000000001"/>
    <n v="819.18"/>
    <n v="17"/>
    <n v="48.19"/>
    <n v="1445.84"/>
    <n v="626.66"/>
    <n v="0.76498449669181379"/>
    <n v="1.76"/>
  </r>
  <r>
    <d v="2024-10-23T00:00:00"/>
    <x v="3"/>
    <x v="0"/>
    <s v="Shopping"/>
    <x v="0"/>
    <s v="UK"/>
    <n v="51032"/>
    <n v="3036"/>
    <n v="5.9499999999999997E-2"/>
    <n v="2.23"/>
    <n v="6770.28"/>
    <n v="195"/>
    <n v="34.72"/>
    <n v="18761.36"/>
    <n v="11991.080000000002"/>
    <n v="1.7711350195265192"/>
    <n v="2.77"/>
  </r>
  <r>
    <d v="2024-08-11T00:00:00"/>
    <x v="4"/>
    <x v="1"/>
    <s v="Display"/>
    <x v="3"/>
    <s v="USA"/>
    <n v="68474"/>
    <n v="4923"/>
    <n v="7.1900000000000006E-2"/>
    <n v="0.47"/>
    <n v="2313.81"/>
    <n v="198"/>
    <n v="11.69"/>
    <n v="32574.400000000001"/>
    <n v="30260.59"/>
    <n v="13.078251887579361"/>
    <n v="14.08"/>
  </r>
  <r>
    <d v="2024-08-12T00:00:00"/>
    <x v="4"/>
    <x v="1"/>
    <s v="Video"/>
    <x v="3"/>
    <s v="Australia"/>
    <n v="12838"/>
    <n v="784"/>
    <n v="6.1100000000000002E-2"/>
    <n v="0.42"/>
    <n v="329.28"/>
    <n v="56"/>
    <n v="5.88"/>
    <n v="2887.05"/>
    <n v="2557.7700000000004"/>
    <n v="7.7677660349854243"/>
    <n v="8.77"/>
  </r>
  <r>
    <d v="2024-06-05T00:00:00"/>
    <x v="1"/>
    <x v="0"/>
    <s v="Display"/>
    <x v="2"/>
    <s v="UK"/>
    <n v="151595"/>
    <n v="9262"/>
    <n v="6.1100000000000002E-2"/>
    <n v="1.76"/>
    <n v="16301.12"/>
    <n v="572"/>
    <n v="28.5"/>
    <n v="85249.68"/>
    <n v="68948.56"/>
    <n v="4.229682377652578"/>
    <n v="5.23"/>
  </r>
  <r>
    <d v="2024-04-11T00:00:00"/>
    <x v="5"/>
    <x v="1"/>
    <s v="Video"/>
    <x v="4"/>
    <s v="Germany"/>
    <n v="38799"/>
    <n v="1303"/>
    <n v="3.3599999999999998E-2"/>
    <n v="0.33"/>
    <n v="429.99"/>
    <n v="51"/>
    <n v="8.43"/>
    <n v="4095.81"/>
    <n v="3665.8199999999997"/>
    <n v="8.5253610549082524"/>
    <n v="9.5299999999999994"/>
  </r>
  <r>
    <d v="2024-06-23T00:00:00"/>
    <x v="1"/>
    <x v="0"/>
    <s v="Video"/>
    <x v="3"/>
    <s v="Australia"/>
    <n v="121565"/>
    <n v="2601"/>
    <n v="2.1399999999999999E-2"/>
    <n v="2.04"/>
    <n v="5306.04"/>
    <n v="176"/>
    <n v="30.15"/>
    <n v="34156.839999999997"/>
    <n v="28850.799999999996"/>
    <n v="5.4373506419099735"/>
    <n v="6.44"/>
  </r>
  <r>
    <d v="2024-09-11T00:00:00"/>
    <x v="7"/>
    <x v="2"/>
    <s v="Display"/>
    <x v="4"/>
    <s v="Canada"/>
    <n v="38762"/>
    <n v="1007"/>
    <n v="2.5999999999999999E-2"/>
    <n v="0.68"/>
    <n v="684.76"/>
    <n v="16"/>
    <n v="42.8"/>
    <n v="3871.2"/>
    <n v="3186.4399999999996"/>
    <n v="4.6533676032478528"/>
    <n v="5.65"/>
  </r>
  <r>
    <d v="2024-02-18T00:00:00"/>
    <x v="2"/>
    <x v="2"/>
    <s v="Search"/>
    <x v="4"/>
    <s v="India"/>
    <n v="32410"/>
    <n v="693"/>
    <n v="2.1399999999999999E-2"/>
    <n v="1.79"/>
    <n v="1240.47"/>
    <n v="21"/>
    <n v="59.07"/>
    <n v="678.51"/>
    <n v="-561.96"/>
    <n v="-0.45302183849669886"/>
    <n v="0.55000000000000004"/>
  </r>
  <r>
    <d v="2024-03-29T00:00:00"/>
    <x v="11"/>
    <x v="1"/>
    <s v="Video"/>
    <x v="1"/>
    <s v="Australia"/>
    <n v="134132"/>
    <n v="4694"/>
    <n v="3.5000000000000003E-2"/>
    <n v="0.82"/>
    <n v="3849.08"/>
    <n v="306"/>
    <n v="12.58"/>
    <n v="52932.5"/>
    <n v="49083.42"/>
    <n v="12.751987487919191"/>
    <n v="13.75"/>
  </r>
  <r>
    <d v="2024-01-28T00:00:00"/>
    <x v="0"/>
    <x v="0"/>
    <s v="Display"/>
    <x v="4"/>
    <s v="Australia"/>
    <n v="38005"/>
    <n v="1489"/>
    <n v="3.9199999999999999E-2"/>
    <n v="1.51"/>
    <n v="2248.39"/>
    <n v="79"/>
    <n v="28.46"/>
    <n v="23043.93"/>
    <n v="20795.54"/>
    <n v="9.2490804531242361"/>
    <n v="10.25"/>
  </r>
  <r>
    <d v="2024-01-15T00:00:00"/>
    <x v="0"/>
    <x v="0"/>
    <s v="Search"/>
    <x v="4"/>
    <s v="India"/>
    <n v="91348"/>
    <n v="2914"/>
    <n v="3.1899999999999998E-2"/>
    <n v="1.73"/>
    <n v="5041.22"/>
    <n v="98"/>
    <n v="51.44"/>
    <n v="14981.67"/>
    <n v="9940.4500000000007"/>
    <n v="1.9718341988645607"/>
    <n v="2.97"/>
  </r>
  <r>
    <d v="2024-08-22T00:00:00"/>
    <x v="4"/>
    <x v="0"/>
    <s v="Display"/>
    <x v="4"/>
    <s v="UK"/>
    <n v="87607"/>
    <n v="3661"/>
    <n v="4.1799999999999997E-2"/>
    <n v="3.15"/>
    <n v="11532.15"/>
    <n v="106"/>
    <n v="108.79"/>
    <n v="31383.75"/>
    <n v="19851.599999999999"/>
    <n v="1.7214136132464457"/>
    <n v="2.72"/>
  </r>
  <r>
    <d v="2024-02-01T00:00:00"/>
    <x v="2"/>
    <x v="1"/>
    <s v="Shopping"/>
    <x v="0"/>
    <s v="India"/>
    <n v="95288"/>
    <n v="7108"/>
    <n v="7.46E-2"/>
    <n v="0.51"/>
    <n v="3625.08"/>
    <n v="454"/>
    <n v="7.98"/>
    <n v="132401.60999999999"/>
    <n v="128776.52999999998"/>
    <n v="35.523776027011813"/>
    <n v="36.520000000000003"/>
  </r>
  <r>
    <d v="2024-09-28T00:00:00"/>
    <x v="7"/>
    <x v="1"/>
    <s v="Video"/>
    <x v="2"/>
    <s v="UK"/>
    <n v="68620"/>
    <n v="3602"/>
    <n v="5.2499999999999998E-2"/>
    <n v="0.48"/>
    <n v="1728.96"/>
    <n v="134"/>
    <n v="12.9"/>
    <n v="22980.94"/>
    <n v="21251.98"/>
    <n v="12.291770775495095"/>
    <n v="13.29"/>
  </r>
  <r>
    <d v="2024-07-06T00:00:00"/>
    <x v="10"/>
    <x v="1"/>
    <s v="Video"/>
    <x v="2"/>
    <s v="Australia"/>
    <n v="95975"/>
    <n v="3848"/>
    <n v="4.0099999999999997E-2"/>
    <n v="1.78"/>
    <n v="6849.44"/>
    <n v="66"/>
    <n v="103.78"/>
    <n v="6246.82"/>
    <n v="-602.61999999999989"/>
    <n v="-8.7980915228106235E-2"/>
    <n v="0.91"/>
  </r>
  <r>
    <d v="2024-12-12T00:00:00"/>
    <x v="9"/>
    <x v="0"/>
    <s v="Shopping"/>
    <x v="3"/>
    <s v="Canada"/>
    <n v="162064"/>
    <n v="5607"/>
    <n v="3.4599999999999999E-2"/>
    <n v="2.42"/>
    <n v="13568.94"/>
    <n v="77"/>
    <n v="176.22"/>
    <n v="8174.03"/>
    <n v="-5394.9100000000008"/>
    <n v="-0.39759259013600184"/>
    <n v="0.6"/>
  </r>
  <r>
    <d v="2024-05-18T00:00:00"/>
    <x v="8"/>
    <x v="2"/>
    <s v="Search"/>
    <x v="0"/>
    <s v="USA"/>
    <n v="57712"/>
    <n v="848"/>
    <n v="1.47E-2"/>
    <n v="0.9"/>
    <n v="763.2"/>
    <n v="64"/>
    <n v="11.93"/>
    <n v="2136.83"/>
    <n v="1373.6299999999999"/>
    <n v="1.7998296645702303"/>
    <n v="2.8"/>
  </r>
  <r>
    <d v="2024-06-29T00:00:00"/>
    <x v="1"/>
    <x v="2"/>
    <s v="Shopping"/>
    <x v="0"/>
    <s v="Germany"/>
    <n v="147412"/>
    <n v="3670"/>
    <n v="2.4899999999999999E-2"/>
    <n v="1.17"/>
    <n v="4293.8999999999996"/>
    <n v="162"/>
    <n v="26.51"/>
    <n v="38717.46"/>
    <n v="34423.56"/>
    <n v="8.0168518130370998"/>
    <n v="9.02"/>
  </r>
  <r>
    <d v="2024-02-06T00:00:00"/>
    <x v="2"/>
    <x v="0"/>
    <s v="Display"/>
    <x v="4"/>
    <s v="UAE"/>
    <n v="79525"/>
    <n v="2298"/>
    <n v="2.8899999999999999E-2"/>
    <n v="1.58"/>
    <n v="3630.84"/>
    <n v="119"/>
    <n v="30.51"/>
    <n v="21777.03"/>
    <n v="18146.189999999999"/>
    <n v="4.9977938989324775"/>
    <n v="6"/>
  </r>
  <r>
    <d v="2024-04-18T00:00:00"/>
    <x v="5"/>
    <x v="2"/>
    <s v="Shopping"/>
    <x v="4"/>
    <s v="UK"/>
    <n v="78480"/>
    <n v="1389"/>
    <n v="1.77E-2"/>
    <n v="1.69"/>
    <n v="2347.41"/>
    <n v="19"/>
    <n v="123.55"/>
    <n v="2972.32"/>
    <n v="624.91000000000031"/>
    <n v="0.26621254914991432"/>
    <n v="1.27"/>
  </r>
  <r>
    <d v="2024-03-11T00:00:00"/>
    <x v="11"/>
    <x v="1"/>
    <s v="Display"/>
    <x v="3"/>
    <s v="UK"/>
    <n v="165232"/>
    <n v="7617"/>
    <n v="4.6100000000000002E-2"/>
    <n v="0.77"/>
    <n v="5865.09"/>
    <n v="601"/>
    <n v="9.76"/>
    <n v="102707.85"/>
    <n v="96842.760000000009"/>
    <n v="16.511726162769882"/>
    <n v="17.510000000000002"/>
  </r>
  <r>
    <d v="2024-05-18T00:00:00"/>
    <x v="8"/>
    <x v="0"/>
    <s v="Display"/>
    <x v="3"/>
    <s v="UAE"/>
    <n v="13294"/>
    <n v="583"/>
    <n v="4.3900000000000002E-2"/>
    <n v="1.38"/>
    <n v="804.54"/>
    <n v="46"/>
    <n v="17.489999999999998"/>
    <n v="11553.7"/>
    <n v="10749.16"/>
    <n v="13.360628433639098"/>
    <n v="14.36"/>
  </r>
  <r>
    <d v="2024-11-16T00:00:00"/>
    <x v="6"/>
    <x v="2"/>
    <s v="Video"/>
    <x v="1"/>
    <s v="UK"/>
    <n v="55333"/>
    <n v="852"/>
    <n v="1.54E-2"/>
    <n v="1.05"/>
    <n v="894.6"/>
    <n v="66"/>
    <n v="13.55"/>
    <n v="12295.52"/>
    <n v="11400.92"/>
    <n v="12.744153811759446"/>
    <n v="13.74"/>
  </r>
  <r>
    <d v="2024-09-24T00:00:00"/>
    <x v="7"/>
    <x v="2"/>
    <s v="Display"/>
    <x v="0"/>
    <s v="UK"/>
    <n v="177027"/>
    <n v="6160"/>
    <n v="3.4799999999999998E-2"/>
    <n v="1.23"/>
    <n v="7576.8"/>
    <n v="220"/>
    <n v="34.44"/>
    <n v="59390.91"/>
    <n v="51814.11"/>
    <n v="6.8385215394361731"/>
    <n v="7.84"/>
  </r>
  <r>
    <d v="2024-11-10T00:00:00"/>
    <x v="6"/>
    <x v="2"/>
    <s v="Search"/>
    <x v="4"/>
    <s v="USA"/>
    <n v="21679"/>
    <n v="448"/>
    <n v="2.07E-2"/>
    <n v="0.89"/>
    <n v="398.72"/>
    <n v="31"/>
    <n v="12.86"/>
    <n v="3556.66"/>
    <n v="3157.9399999999996"/>
    <n v="7.9201946227929358"/>
    <n v="8.92"/>
  </r>
  <r>
    <d v="2024-07-09T00:00:00"/>
    <x v="10"/>
    <x v="0"/>
    <s v="Search"/>
    <x v="2"/>
    <s v="UK"/>
    <n v="18601"/>
    <n v="706"/>
    <n v="3.7999999999999999E-2"/>
    <n v="2"/>
    <n v="1412"/>
    <n v="54"/>
    <n v="26.15"/>
    <n v="3302.39"/>
    <n v="1890.3899999999999"/>
    <n v="1.3388031161473086"/>
    <n v="2.34"/>
  </r>
  <r>
    <d v="2024-11-29T00:00:00"/>
    <x v="6"/>
    <x v="0"/>
    <s v="Shopping"/>
    <x v="2"/>
    <s v="UAE"/>
    <n v="146583"/>
    <n v="2990"/>
    <n v="2.0400000000000001E-2"/>
    <n v="1.61"/>
    <n v="4813.8999999999996"/>
    <n v="114"/>
    <n v="42.23"/>
    <n v="8660.2800000000007"/>
    <n v="3846.380000000001"/>
    <n v="0.7990153513783006"/>
    <n v="1.8"/>
  </r>
  <r>
    <d v="2024-11-17T00:00:00"/>
    <x v="6"/>
    <x v="0"/>
    <s v="Shopping"/>
    <x v="0"/>
    <s v="Australia"/>
    <n v="46745"/>
    <n v="2140"/>
    <n v="4.58E-2"/>
    <n v="3.44"/>
    <n v="7361.6"/>
    <n v="38"/>
    <n v="193.73"/>
    <n v="5289.97"/>
    <n v="-2071.63"/>
    <n v="-0.28141029124103456"/>
    <n v="0.72"/>
  </r>
  <r>
    <d v="2024-12-09T00:00:00"/>
    <x v="9"/>
    <x v="0"/>
    <s v="Display"/>
    <x v="4"/>
    <s v="Canada"/>
    <n v="39505"/>
    <n v="2251"/>
    <n v="5.7000000000000002E-2"/>
    <n v="3.06"/>
    <n v="6888.06"/>
    <n v="149"/>
    <n v="46.23"/>
    <n v="30920.99"/>
    <n v="24032.93"/>
    <n v="3.4890709430521798"/>
    <n v="4.49"/>
  </r>
  <r>
    <d v="2024-03-11T00:00:00"/>
    <x v="11"/>
    <x v="0"/>
    <s v="Shopping"/>
    <x v="2"/>
    <s v="Germany"/>
    <n v="179342"/>
    <n v="4071"/>
    <n v="2.2700000000000001E-2"/>
    <n v="2.2599999999999998"/>
    <n v="9200.4599999999991"/>
    <n v="195"/>
    <n v="47.18"/>
    <n v="30682.52"/>
    <n v="21482.06"/>
    <n v="2.3348897772502681"/>
    <n v="3.33"/>
  </r>
  <r>
    <d v="2024-10-27T00:00:00"/>
    <x v="3"/>
    <x v="0"/>
    <s v="Video"/>
    <x v="0"/>
    <s v="UAE"/>
    <n v="75410"/>
    <n v="3039"/>
    <n v="4.0300000000000002E-2"/>
    <n v="0.95"/>
    <n v="2887.05"/>
    <n v="239"/>
    <n v="12.08"/>
    <n v="29467.42"/>
    <n v="26580.37"/>
    <n v="9.2067577631145969"/>
    <n v="10.210000000000001"/>
  </r>
  <r>
    <d v="2024-06-28T00:00:00"/>
    <x v="1"/>
    <x v="0"/>
    <s v="Search"/>
    <x v="2"/>
    <s v="UAE"/>
    <n v="83488"/>
    <n v="4049"/>
    <n v="4.8500000000000001E-2"/>
    <n v="1.1499999999999999"/>
    <n v="4656.3500000000004"/>
    <n v="45"/>
    <n v="103.47"/>
    <n v="2103"/>
    <n v="-2553.3500000000004"/>
    <n v="-0.54835869296766782"/>
    <n v="0.45"/>
  </r>
  <r>
    <d v="2024-12-26T00:00:00"/>
    <x v="9"/>
    <x v="1"/>
    <s v="Display"/>
    <x v="3"/>
    <s v="USA"/>
    <n v="149143"/>
    <n v="5175"/>
    <n v="3.4700000000000002E-2"/>
    <n v="0.53"/>
    <n v="2742.75"/>
    <n v="140"/>
    <n v="19.59"/>
    <n v="11705.28"/>
    <n v="8962.5300000000007"/>
    <n v="3.2677167076838942"/>
    <n v="4.2699999999999996"/>
  </r>
  <r>
    <d v="2024-11-21T00:00:00"/>
    <x v="6"/>
    <x v="2"/>
    <s v="Shopping"/>
    <x v="0"/>
    <s v="Australia"/>
    <n v="52743"/>
    <n v="1207"/>
    <n v="2.29E-2"/>
    <n v="1.93"/>
    <n v="2329.5100000000002"/>
    <n v="90"/>
    <n v="25.88"/>
    <n v="11281.65"/>
    <n v="8952.14"/>
    <n v="3.8429283411532893"/>
    <n v="4.84"/>
  </r>
  <r>
    <d v="2024-04-19T00:00:00"/>
    <x v="5"/>
    <x v="2"/>
    <s v="Shopping"/>
    <x v="2"/>
    <s v="UK"/>
    <n v="92091"/>
    <n v="3342"/>
    <n v="3.6299999999999999E-2"/>
    <n v="1.48"/>
    <n v="4946.16"/>
    <n v="145"/>
    <n v="34.11"/>
    <n v="37976.42"/>
    <n v="33030.259999999995"/>
    <n v="6.6779602762547094"/>
    <n v="7.68"/>
  </r>
  <r>
    <d v="2024-04-14T00:00:00"/>
    <x v="5"/>
    <x v="1"/>
    <s v="Video"/>
    <x v="2"/>
    <s v="USA"/>
    <n v="118687"/>
    <n v="10586"/>
    <n v="8.9200000000000002E-2"/>
    <n v="0.75"/>
    <n v="7939.5"/>
    <n v="635"/>
    <n v="12.5"/>
    <n v="88046.75"/>
    <n v="80107.25"/>
    <n v="10.089709679450847"/>
    <n v="11.09"/>
  </r>
  <r>
    <d v="2024-10-25T00:00:00"/>
    <x v="3"/>
    <x v="0"/>
    <s v="Video"/>
    <x v="1"/>
    <s v="UAE"/>
    <n v="195664"/>
    <n v="6378"/>
    <n v="3.2599999999999997E-2"/>
    <n v="2.6"/>
    <n v="16582.8"/>
    <n v="312"/>
    <n v="53.15"/>
    <n v="33814.660000000003"/>
    <n v="17231.860000000004"/>
    <n v="1.0391405552741397"/>
    <n v="2.04"/>
  </r>
  <r>
    <d v="2024-09-26T00:00:00"/>
    <x v="7"/>
    <x v="1"/>
    <s v="Search"/>
    <x v="1"/>
    <s v="India"/>
    <n v="89946"/>
    <n v="5162"/>
    <n v="5.74E-2"/>
    <n v="0.63"/>
    <n v="3252.06"/>
    <n v="349"/>
    <n v="9.32"/>
    <n v="87393.19"/>
    <n v="84141.13"/>
    <n v="25.873178846638748"/>
    <n v="26.87"/>
  </r>
  <r>
    <d v="2024-12-05T00:00:00"/>
    <x v="9"/>
    <x v="1"/>
    <s v="Search"/>
    <x v="1"/>
    <s v="India"/>
    <n v="170529"/>
    <n v="11766"/>
    <n v="6.9000000000000006E-2"/>
    <n v="1.48"/>
    <n v="17413.68"/>
    <n v="695"/>
    <n v="25.06"/>
    <n v="102403.13"/>
    <n v="84989.450000000012"/>
    <n v="4.8806139770571191"/>
    <n v="5.88"/>
  </r>
  <r>
    <d v="2024-01-03T00:00:00"/>
    <x v="0"/>
    <x v="2"/>
    <s v="Display"/>
    <x v="0"/>
    <s v="Canada"/>
    <n v="129750"/>
    <n v="2452"/>
    <n v="1.89E-2"/>
    <n v="1.0900000000000001"/>
    <n v="2672.68"/>
    <n v="93"/>
    <n v="28.74"/>
    <n v="23770.39"/>
    <n v="21097.71"/>
    <n v="7.8938406393582472"/>
    <n v="8.89"/>
  </r>
  <r>
    <d v="2024-01-22T00:00:00"/>
    <x v="0"/>
    <x v="2"/>
    <s v="Display"/>
    <x v="2"/>
    <s v="USA"/>
    <n v="197882"/>
    <n v="5144"/>
    <n v="2.5999999999999999E-2"/>
    <n v="0.81"/>
    <n v="4166.6400000000003"/>
    <n v="299"/>
    <n v="13.94"/>
    <n v="68061.759999999995"/>
    <n v="63895.119999999995"/>
    <n v="15.334926943532436"/>
    <n v="16.329999999999998"/>
  </r>
  <r>
    <d v="2024-06-06T00:00:00"/>
    <x v="1"/>
    <x v="0"/>
    <s v="Display"/>
    <x v="4"/>
    <s v="Australia"/>
    <n v="58266"/>
    <n v="2651"/>
    <n v="4.5499999999999999E-2"/>
    <n v="1.22"/>
    <n v="3234.22"/>
    <n v="103"/>
    <n v="31.4"/>
    <n v="3487.43"/>
    <n v="253.21000000000004"/>
    <n v="7.8290901670263632E-2"/>
    <n v="1.08"/>
  </r>
  <r>
    <d v="2024-09-01T00:00:00"/>
    <x v="7"/>
    <x v="2"/>
    <s v="Search"/>
    <x v="4"/>
    <s v="USA"/>
    <n v="98699"/>
    <n v="2171"/>
    <n v="2.1999999999999999E-2"/>
    <n v="2.2200000000000002"/>
    <n v="4819.62"/>
    <n v="92"/>
    <n v="52.39"/>
    <n v="5066.63"/>
    <n v="247.01000000000022"/>
    <n v="5.1250928496437524E-2"/>
    <n v="1.05"/>
  </r>
  <r>
    <d v="2024-01-18T00:00:00"/>
    <x v="0"/>
    <x v="1"/>
    <s v="Video"/>
    <x v="1"/>
    <s v="UK"/>
    <n v="172820"/>
    <n v="5512"/>
    <n v="3.1899999999999998E-2"/>
    <n v="1.5"/>
    <n v="8268"/>
    <n v="229"/>
    <n v="36.1"/>
    <n v="38190.22"/>
    <n v="29922.22"/>
    <n v="3.6190396710208033"/>
    <n v="4.62"/>
  </r>
  <r>
    <d v="2024-11-30T00:00:00"/>
    <x v="6"/>
    <x v="0"/>
    <s v="Shopping"/>
    <x v="1"/>
    <s v="UK"/>
    <n v="61902"/>
    <n v="2599"/>
    <n v="4.2000000000000003E-2"/>
    <n v="2.92"/>
    <n v="7589.08"/>
    <n v="160"/>
    <n v="47.43"/>
    <n v="43994.91"/>
    <n v="36405.83"/>
    <n v="4.7971335128895731"/>
    <n v="5.8"/>
  </r>
  <r>
    <d v="2024-07-20T00:00:00"/>
    <x v="10"/>
    <x v="1"/>
    <s v="Shopping"/>
    <x v="1"/>
    <s v="UAE"/>
    <n v="148573"/>
    <n v="8706"/>
    <n v="5.8599999999999999E-2"/>
    <n v="1.77"/>
    <n v="15409.62"/>
    <n v="643"/>
    <n v="23.97"/>
    <n v="163989.09"/>
    <n v="148579.47"/>
    <n v="9.641994416474903"/>
    <n v="10.64"/>
  </r>
  <r>
    <d v="2024-11-06T00:00:00"/>
    <x v="6"/>
    <x v="2"/>
    <s v="Shopping"/>
    <x v="1"/>
    <s v="Germany"/>
    <n v="149654"/>
    <n v="6689"/>
    <n v="4.4699999999999997E-2"/>
    <n v="1.29"/>
    <n v="8628.81"/>
    <n v="262"/>
    <n v="32.93"/>
    <n v="10578.46"/>
    <n v="1949.6499999999996"/>
    <n v="0.22594656737139882"/>
    <n v="1.23"/>
  </r>
  <r>
    <d v="2024-01-24T00:00:00"/>
    <x v="0"/>
    <x v="2"/>
    <s v="Search"/>
    <x v="2"/>
    <s v="India"/>
    <n v="191478"/>
    <n v="6414"/>
    <n v="3.3500000000000002E-2"/>
    <n v="1.57"/>
    <n v="10069.98"/>
    <n v="236"/>
    <n v="42.67"/>
    <n v="56534.15"/>
    <n v="46464.17"/>
    <n v="4.6141273368963986"/>
    <n v="5.61"/>
  </r>
  <r>
    <d v="2024-05-01T00:00:00"/>
    <x v="8"/>
    <x v="2"/>
    <s v="Search"/>
    <x v="4"/>
    <s v="Canada"/>
    <n v="7196"/>
    <n v="287"/>
    <n v="0.04"/>
    <n v="2.21"/>
    <n v="634.27"/>
    <n v="10"/>
    <n v="63.43"/>
    <n v="693.26"/>
    <n v="58.990000000000009"/>
    <n v="9.3004556419190587E-2"/>
    <n v="1.0900000000000001"/>
  </r>
  <r>
    <d v="2024-11-14T00:00:00"/>
    <x v="6"/>
    <x v="0"/>
    <s v="Display"/>
    <x v="2"/>
    <s v="India"/>
    <n v="30757"/>
    <n v="1202"/>
    <n v="3.9100000000000003E-2"/>
    <n v="3.26"/>
    <n v="3918.52"/>
    <n v="60"/>
    <n v="65.31"/>
    <n v="5647"/>
    <n v="1728.48"/>
    <n v="0.44110531527209251"/>
    <n v="1.44"/>
  </r>
  <r>
    <d v="2024-04-11T00:00:00"/>
    <x v="5"/>
    <x v="0"/>
    <s v="Display"/>
    <x v="2"/>
    <s v="Canada"/>
    <n v="17578"/>
    <n v="330"/>
    <n v="1.8800000000000001E-2"/>
    <n v="3.07"/>
    <n v="1013.1"/>
    <n v="20"/>
    <n v="50.66"/>
    <n v="3553.78"/>
    <n v="2540.6800000000003"/>
    <n v="2.5078274602704571"/>
    <n v="3.51"/>
  </r>
  <r>
    <d v="2024-02-02T00:00:00"/>
    <x v="2"/>
    <x v="0"/>
    <s v="Display"/>
    <x v="4"/>
    <s v="USA"/>
    <n v="65530"/>
    <n v="2018"/>
    <n v="3.0800000000000001E-2"/>
    <n v="2.81"/>
    <n v="5670.58"/>
    <n v="117"/>
    <n v="48.47"/>
    <n v="12114.63"/>
    <n v="6444.0499999999993"/>
    <n v="1.1364005092953453"/>
    <n v="2.14"/>
  </r>
  <r>
    <d v="2024-09-18T00:00:00"/>
    <x v="7"/>
    <x v="1"/>
    <s v="Search"/>
    <x v="3"/>
    <s v="UK"/>
    <n v="89403"/>
    <n v="5578"/>
    <n v="6.2399999999999997E-2"/>
    <n v="1.48"/>
    <n v="8255.44"/>
    <n v="414"/>
    <n v="19.940000000000001"/>
    <n v="80503.149999999994"/>
    <n v="72247.709999999992"/>
    <n v="8.7515274776389855"/>
    <n v="9.75"/>
  </r>
  <r>
    <d v="2024-06-09T00:00:00"/>
    <x v="1"/>
    <x v="1"/>
    <s v="Shopping"/>
    <x v="4"/>
    <s v="Australia"/>
    <n v="161904"/>
    <n v="4339"/>
    <n v="2.6800000000000001E-2"/>
    <n v="1.05"/>
    <n v="4555.95"/>
    <n v="178"/>
    <n v="25.6"/>
    <n v="22405.85"/>
    <n v="17849.899999999998"/>
    <n v="3.9179314961753309"/>
    <n v="4.92"/>
  </r>
  <r>
    <d v="2024-09-08T00:00:00"/>
    <x v="7"/>
    <x v="2"/>
    <s v="Video"/>
    <x v="1"/>
    <s v="Canada"/>
    <n v="27036"/>
    <n v="708"/>
    <n v="2.6200000000000001E-2"/>
    <n v="1.67"/>
    <n v="1182.3599999999999"/>
    <n v="12"/>
    <n v="98.53"/>
    <n v="1538.26"/>
    <n v="355.90000000000009"/>
    <n v="0.30100815318515523"/>
    <n v="1.3"/>
  </r>
  <r>
    <d v="2024-06-08T00:00:00"/>
    <x v="1"/>
    <x v="2"/>
    <s v="Shopping"/>
    <x v="3"/>
    <s v="UK"/>
    <n v="12712"/>
    <n v="212"/>
    <n v="1.67E-2"/>
    <n v="1.7"/>
    <n v="360.4"/>
    <n v="9"/>
    <n v="40.04"/>
    <n v="375.03"/>
    <n v="14.629999999999995"/>
    <n v="4.0593784683684783E-2"/>
    <n v="1.04"/>
  </r>
  <r>
    <d v="2024-02-10T00:00:00"/>
    <x v="2"/>
    <x v="0"/>
    <s v="Shopping"/>
    <x v="4"/>
    <s v="UAE"/>
    <n v="24198"/>
    <n v="1214"/>
    <n v="5.0200000000000002E-2"/>
    <n v="1.35"/>
    <n v="1638.9"/>
    <n v="60"/>
    <n v="27.32"/>
    <n v="11611.94"/>
    <n v="9973.0400000000009"/>
    <n v="6.0852034901458296"/>
    <n v="7.09"/>
  </r>
  <r>
    <d v="2024-07-31T00:00:00"/>
    <x v="10"/>
    <x v="0"/>
    <s v="Display"/>
    <x v="3"/>
    <s v="India"/>
    <n v="80324"/>
    <n v="2337"/>
    <n v="2.9100000000000001E-2"/>
    <n v="2.99"/>
    <n v="6987.63"/>
    <n v="50"/>
    <n v="139.75"/>
    <n v="12463.37"/>
    <n v="5475.7400000000007"/>
    <n v="0.7836333635295516"/>
    <n v="1.78"/>
  </r>
  <r>
    <d v="2024-04-22T00:00:00"/>
    <x v="5"/>
    <x v="0"/>
    <s v="Search"/>
    <x v="3"/>
    <s v="Germany"/>
    <n v="160525"/>
    <n v="6003"/>
    <n v="3.7400000000000003E-2"/>
    <n v="1.67"/>
    <n v="10025.01"/>
    <n v="106"/>
    <n v="94.58"/>
    <n v="12306.27"/>
    <n v="2281.2600000000002"/>
    <n v="0.2275568802425135"/>
    <n v="1.23"/>
  </r>
  <r>
    <d v="2024-02-27T00:00:00"/>
    <x v="2"/>
    <x v="0"/>
    <s v="Display"/>
    <x v="0"/>
    <s v="Germany"/>
    <n v="104821"/>
    <n v="4224"/>
    <n v="4.0300000000000002E-2"/>
    <n v="1.36"/>
    <n v="5744.64"/>
    <n v="307"/>
    <n v="18.71"/>
    <n v="89314.07"/>
    <n v="83569.430000000008"/>
    <n v="14.547374596145277"/>
    <n v="15.55"/>
  </r>
  <r>
    <d v="2024-10-03T00:00:00"/>
    <x v="3"/>
    <x v="0"/>
    <s v="Video"/>
    <x v="2"/>
    <s v="India"/>
    <n v="48118"/>
    <n v="1616"/>
    <n v="3.3599999999999998E-2"/>
    <n v="3.66"/>
    <n v="5914.56"/>
    <n v="129"/>
    <n v="45.85"/>
    <n v="28604.240000000002"/>
    <n v="22689.68"/>
    <n v="3.8362414110263483"/>
    <n v="4.84"/>
  </r>
  <r>
    <d v="2024-02-06T00:00:00"/>
    <x v="2"/>
    <x v="1"/>
    <s v="Display"/>
    <x v="3"/>
    <s v="Australia"/>
    <n v="53709"/>
    <n v="2868"/>
    <n v="5.3400000000000003E-2"/>
    <n v="0.89"/>
    <n v="2552.52"/>
    <n v="222"/>
    <n v="11.5"/>
    <n v="47503.54"/>
    <n v="44951.020000000004"/>
    <n v="17.61044771441556"/>
    <n v="18.61"/>
  </r>
  <r>
    <d v="2024-02-14T00:00:00"/>
    <x v="2"/>
    <x v="0"/>
    <s v="Display"/>
    <x v="2"/>
    <s v="UK"/>
    <n v="25497"/>
    <n v="1142"/>
    <n v="4.48E-2"/>
    <n v="1.84"/>
    <n v="2101.2800000000002"/>
    <n v="75"/>
    <n v="28.02"/>
    <n v="18551.009999999998"/>
    <n v="16449.73"/>
    <n v="7.8284331455113065"/>
    <n v="8.83"/>
  </r>
  <r>
    <d v="2024-08-26T00:00:00"/>
    <x v="4"/>
    <x v="1"/>
    <s v="Display"/>
    <x v="0"/>
    <s v="UAE"/>
    <n v="178782"/>
    <n v="7705"/>
    <n v="4.3099999999999999E-2"/>
    <n v="1.28"/>
    <n v="9862.4"/>
    <n v="352"/>
    <n v="28.02"/>
    <n v="30909.61"/>
    <n v="21047.21"/>
    <n v="2.134086023685918"/>
    <n v="3.13"/>
  </r>
  <r>
    <d v="2024-05-03T00:00:00"/>
    <x v="8"/>
    <x v="2"/>
    <s v="Video"/>
    <x v="2"/>
    <s v="India"/>
    <n v="189221"/>
    <n v="7587"/>
    <n v="4.0099999999999997E-2"/>
    <n v="0.91"/>
    <n v="6904.17"/>
    <n v="80"/>
    <n v="86.3"/>
    <n v="2769.22"/>
    <n v="-4134.9500000000007"/>
    <n v="-0.59890616830118615"/>
    <n v="0.4"/>
  </r>
  <r>
    <d v="2024-12-26T00:00:00"/>
    <x v="9"/>
    <x v="2"/>
    <s v="Search"/>
    <x v="0"/>
    <s v="Germany"/>
    <n v="138704"/>
    <n v="1803"/>
    <n v="1.2999999999999999E-2"/>
    <n v="0.86"/>
    <n v="1550.58"/>
    <n v="119"/>
    <n v="13.03"/>
    <n v="10297.42"/>
    <n v="8746.84"/>
    <n v="5.6410117504417707"/>
    <n v="6.64"/>
  </r>
  <r>
    <d v="2024-10-08T00:00:00"/>
    <x v="3"/>
    <x v="0"/>
    <s v="Video"/>
    <x v="1"/>
    <s v="UK"/>
    <n v="120475"/>
    <n v="7794"/>
    <n v="6.4699999999999994E-2"/>
    <n v="0.78"/>
    <n v="6079.32"/>
    <n v="530"/>
    <n v="11.47"/>
    <n v="143639.1"/>
    <n v="137559.78"/>
    <n v="22.627494522413691"/>
    <n v="23.63"/>
  </r>
  <r>
    <d v="2024-08-19T00:00:00"/>
    <x v="4"/>
    <x v="0"/>
    <s v="Shopping"/>
    <x v="2"/>
    <s v="Germany"/>
    <n v="125019"/>
    <n v="8251"/>
    <n v="6.6000000000000003E-2"/>
    <n v="3.77"/>
    <n v="31106.27"/>
    <n v="609"/>
    <n v="51.08"/>
    <n v="135443.82"/>
    <n v="104337.55"/>
    <n v="3.3542289062623065"/>
    <n v="4.3499999999999996"/>
  </r>
  <r>
    <d v="2024-12-11T00:00:00"/>
    <x v="9"/>
    <x v="2"/>
    <s v="Search"/>
    <x v="1"/>
    <s v="USA"/>
    <n v="198775"/>
    <n v="3637"/>
    <n v="1.83E-2"/>
    <n v="1.99"/>
    <n v="7237.63"/>
    <n v="235"/>
    <n v="30.8"/>
    <n v="18520.23"/>
    <n v="11282.599999999999"/>
    <n v="1.5588804622507642"/>
    <n v="2.56"/>
  </r>
  <r>
    <d v="2024-01-05T00:00:00"/>
    <x v="0"/>
    <x v="1"/>
    <s v="Video"/>
    <x v="1"/>
    <s v="Australia"/>
    <n v="52059"/>
    <n v="2956"/>
    <n v="5.6800000000000003E-2"/>
    <n v="0.56999999999999995"/>
    <n v="1684.92"/>
    <n v="29"/>
    <n v="58.1"/>
    <n v="5633.14"/>
    <n v="3948.2200000000003"/>
    <n v="2.3432685231346295"/>
    <n v="3.34"/>
  </r>
  <r>
    <d v="2024-05-31T00:00:00"/>
    <x v="8"/>
    <x v="0"/>
    <s v="Display"/>
    <x v="3"/>
    <s v="USA"/>
    <n v="183373"/>
    <n v="7169"/>
    <n v="3.9100000000000003E-2"/>
    <n v="1.55"/>
    <n v="11111.95"/>
    <n v="342"/>
    <n v="32.49"/>
    <n v="18314.28"/>
    <n v="7202.3299999999981"/>
    <n v="0.64816076386232813"/>
    <n v="1.65"/>
  </r>
  <r>
    <d v="2024-09-13T00:00:00"/>
    <x v="7"/>
    <x v="2"/>
    <s v="Search"/>
    <x v="4"/>
    <s v="USA"/>
    <n v="114844"/>
    <n v="3307"/>
    <n v="2.8799999999999999E-2"/>
    <n v="2.1"/>
    <n v="6944.7"/>
    <n v="123"/>
    <n v="56.46"/>
    <n v="36552.89"/>
    <n v="29608.19"/>
    <n v="4.2634224660532496"/>
    <n v="5.26"/>
  </r>
  <r>
    <d v="2024-08-27T00:00:00"/>
    <x v="4"/>
    <x v="2"/>
    <s v="Search"/>
    <x v="4"/>
    <s v="USA"/>
    <n v="53865"/>
    <n v="1098"/>
    <n v="2.0400000000000001E-2"/>
    <n v="1.28"/>
    <n v="1405.44"/>
    <n v="67"/>
    <n v="20.98"/>
    <n v="2545.35"/>
    <n v="1139.9099999999999"/>
    <n v="0.81106984289617468"/>
    <n v="1.81"/>
  </r>
  <r>
    <d v="2024-01-07T00:00:00"/>
    <x v="0"/>
    <x v="0"/>
    <s v="Video"/>
    <x v="4"/>
    <s v="Germany"/>
    <n v="25080"/>
    <n v="1113"/>
    <n v="4.4400000000000002E-2"/>
    <n v="2.62"/>
    <n v="2916.06"/>
    <n v="49"/>
    <n v="59.51"/>
    <n v="2232.61"/>
    <n v="-683.44999999999982"/>
    <n v="-0.23437446417426247"/>
    <n v="0.77"/>
  </r>
  <r>
    <d v="2024-07-12T00:00:00"/>
    <x v="10"/>
    <x v="1"/>
    <s v="Search"/>
    <x v="4"/>
    <s v="India"/>
    <n v="95853"/>
    <n v="4658"/>
    <n v="4.8599999999999997E-2"/>
    <n v="0.31"/>
    <n v="1443.98"/>
    <n v="92"/>
    <n v="15.7"/>
    <n v="27317.08"/>
    <n v="25873.100000000002"/>
    <n v="17.917907450241696"/>
    <n v="18.920000000000002"/>
  </r>
  <r>
    <d v="2024-05-26T00:00:00"/>
    <x v="8"/>
    <x v="0"/>
    <s v="Video"/>
    <x v="3"/>
    <s v="Canada"/>
    <n v="27593"/>
    <n v="896"/>
    <n v="3.2500000000000001E-2"/>
    <n v="2.39"/>
    <n v="2141.44"/>
    <n v="48"/>
    <n v="44.61"/>
    <n v="8087.57"/>
    <n v="5946.1299999999992"/>
    <n v="2.7766969889420197"/>
    <n v="3.78"/>
  </r>
  <r>
    <d v="2024-09-11T00:00:00"/>
    <x v="7"/>
    <x v="2"/>
    <s v="Video"/>
    <x v="1"/>
    <s v="USA"/>
    <n v="34949"/>
    <n v="1324"/>
    <n v="3.7900000000000003E-2"/>
    <n v="1.79"/>
    <n v="2369.96"/>
    <n v="86"/>
    <n v="27.56"/>
    <n v="9084.2199999999993"/>
    <n v="6714.2599999999993"/>
    <n v="2.8330689125554858"/>
    <n v="3.83"/>
  </r>
  <r>
    <d v="2024-05-17T00:00:00"/>
    <x v="8"/>
    <x v="1"/>
    <s v="Shopping"/>
    <x v="4"/>
    <s v="USA"/>
    <n v="72986"/>
    <n v="3379"/>
    <n v="4.6300000000000001E-2"/>
    <n v="1.77"/>
    <n v="5980.83"/>
    <n v="188"/>
    <n v="31.81"/>
    <n v="17387.72"/>
    <n v="11406.890000000001"/>
    <n v="1.907241971432059"/>
    <n v="2.91"/>
  </r>
  <r>
    <d v="2024-02-02T00:00:00"/>
    <x v="2"/>
    <x v="0"/>
    <s v="Shopping"/>
    <x v="2"/>
    <s v="UAE"/>
    <n v="149848"/>
    <n v="9290"/>
    <n v="6.2E-2"/>
    <n v="1.97"/>
    <n v="18301.3"/>
    <n v="537"/>
    <n v="34.08"/>
    <n v="106414.01"/>
    <n v="88112.709999999992"/>
    <n v="4.8145601678569276"/>
    <n v="5.81"/>
  </r>
  <r>
    <d v="2024-09-03T00:00:00"/>
    <x v="7"/>
    <x v="0"/>
    <s v="Video"/>
    <x v="3"/>
    <s v="Australia"/>
    <n v="143235"/>
    <n v="3981"/>
    <n v="2.7799999999999998E-2"/>
    <n v="1.83"/>
    <n v="7285.23"/>
    <n v="125"/>
    <n v="58.28"/>
    <n v="27104.75"/>
    <n v="19819.52"/>
    <n v="2.7205071082175856"/>
    <n v="3.72"/>
  </r>
  <r>
    <d v="2024-02-11T00:00:00"/>
    <x v="2"/>
    <x v="1"/>
    <s v="Video"/>
    <x v="1"/>
    <s v="India"/>
    <n v="157625"/>
    <n v="9457"/>
    <n v="0.06"/>
    <n v="0.48"/>
    <n v="4539.3599999999997"/>
    <n v="534"/>
    <n v="8.5"/>
    <n v="147520.79999999999"/>
    <n v="142981.44"/>
    <n v="31.498149518874911"/>
    <n v="32.5"/>
  </r>
  <r>
    <d v="2024-11-28T00:00:00"/>
    <x v="6"/>
    <x v="2"/>
    <s v="Search"/>
    <x v="0"/>
    <s v="India"/>
    <n v="172816"/>
    <n v="3819"/>
    <n v="2.2100000000000002E-2"/>
    <n v="2.14"/>
    <n v="8172.66"/>
    <n v="193"/>
    <n v="42.35"/>
    <n v="41926.28"/>
    <n v="33753.619999999995"/>
    <n v="4.1300653642755227"/>
    <n v="5.13"/>
  </r>
  <r>
    <d v="2024-12-14T00:00:00"/>
    <x v="9"/>
    <x v="1"/>
    <s v="Video"/>
    <x v="4"/>
    <s v="UK"/>
    <n v="56529"/>
    <n v="4494"/>
    <n v="7.9500000000000001E-2"/>
    <n v="1.51"/>
    <n v="6785.94"/>
    <n v="104"/>
    <n v="65.25"/>
    <n v="9525.68"/>
    <n v="2739.7400000000007"/>
    <n v="0.40373772830293236"/>
    <n v="1.4"/>
  </r>
  <r>
    <d v="2024-04-13T00:00:00"/>
    <x v="5"/>
    <x v="1"/>
    <s v="Shopping"/>
    <x v="1"/>
    <s v="USA"/>
    <n v="176030"/>
    <n v="13079"/>
    <n v="7.4300000000000005E-2"/>
    <n v="1.51"/>
    <n v="19749.29"/>
    <n v="200"/>
    <n v="98.75"/>
    <n v="41247.07"/>
    <n v="21497.78"/>
    <n v="1.0885343219933474"/>
    <n v="2.09"/>
  </r>
  <r>
    <d v="2024-11-03T00:00:00"/>
    <x v="6"/>
    <x v="2"/>
    <s v="Search"/>
    <x v="3"/>
    <s v="Canada"/>
    <n v="128355"/>
    <n v="1758"/>
    <n v="1.37E-2"/>
    <n v="1.86"/>
    <n v="3269.88"/>
    <n v="122"/>
    <n v="26.8"/>
    <n v="6205.33"/>
    <n v="2935.45"/>
    <n v="0.89772407550124156"/>
    <n v="1.9"/>
  </r>
  <r>
    <d v="2024-09-25T00:00:00"/>
    <x v="7"/>
    <x v="0"/>
    <s v="Video"/>
    <x v="0"/>
    <s v="USA"/>
    <n v="14096"/>
    <n v="476"/>
    <n v="3.3799999999999997E-2"/>
    <n v="1.29"/>
    <n v="614.04"/>
    <n v="34"/>
    <n v="18.059999999999999"/>
    <n v="3175.83"/>
    <n v="2561.79"/>
    <n v="4.1720246238030096"/>
    <n v="5.17"/>
  </r>
  <r>
    <d v="2024-04-02T00:00:00"/>
    <x v="5"/>
    <x v="0"/>
    <s v="Video"/>
    <x v="3"/>
    <s v="USA"/>
    <n v="31855"/>
    <n v="1411"/>
    <n v="4.4299999999999999E-2"/>
    <n v="1.7"/>
    <n v="2398.6999999999998"/>
    <n v="60"/>
    <n v="39.979999999999997"/>
    <n v="3201.45"/>
    <n v="802.75"/>
    <n v="0.33466044107224752"/>
    <n v="1.33"/>
  </r>
  <r>
    <d v="2024-02-19T00:00:00"/>
    <x v="2"/>
    <x v="0"/>
    <s v="Search"/>
    <x v="1"/>
    <s v="UAE"/>
    <n v="95218"/>
    <n v="2199"/>
    <n v="2.3099999999999999E-2"/>
    <n v="2.39"/>
    <n v="5255.61"/>
    <n v="103"/>
    <n v="51.03"/>
    <n v="17399.72"/>
    <n v="12144.11"/>
    <n v="2.3106946672222639"/>
    <n v="3.31"/>
  </r>
  <r>
    <d v="2024-02-06T00:00:00"/>
    <x v="2"/>
    <x v="0"/>
    <s v="Shopping"/>
    <x v="4"/>
    <s v="Germany"/>
    <n v="102409"/>
    <n v="3389"/>
    <n v="3.3099999999999997E-2"/>
    <n v="3.58"/>
    <n v="12132.62"/>
    <n v="149"/>
    <n v="81.430000000000007"/>
    <n v="31253.87"/>
    <n v="19121.25"/>
    <n v="1.5760198539144883"/>
    <n v="2.58"/>
  </r>
  <r>
    <d v="2024-09-12T00:00:00"/>
    <x v="7"/>
    <x v="0"/>
    <s v="Search"/>
    <x v="4"/>
    <s v="India"/>
    <n v="31049"/>
    <n v="1021"/>
    <n v="3.2899999999999999E-2"/>
    <n v="3.31"/>
    <n v="3379.51"/>
    <n v="31"/>
    <n v="109.02"/>
    <n v="7117.65"/>
    <n v="3738.1399999999994"/>
    <n v="1.1061189344017326"/>
    <n v="2.11"/>
  </r>
  <r>
    <d v="2024-09-19T00:00:00"/>
    <x v="7"/>
    <x v="1"/>
    <s v="Search"/>
    <x v="2"/>
    <s v="Germany"/>
    <n v="129077"/>
    <n v="4065"/>
    <n v="3.15E-2"/>
    <n v="1.22"/>
    <n v="4959.3"/>
    <n v="295"/>
    <n v="16.809999999999999"/>
    <n v="44193.52"/>
    <n v="39234.219999999994"/>
    <n v="7.9112415058576797"/>
    <n v="8.91"/>
  </r>
  <r>
    <d v="2024-09-20T00:00:00"/>
    <x v="7"/>
    <x v="2"/>
    <s v="Shopping"/>
    <x v="4"/>
    <s v="Germany"/>
    <n v="166874"/>
    <n v="6641"/>
    <n v="3.9800000000000002E-2"/>
    <n v="0.68"/>
    <n v="4515.88"/>
    <n v="200"/>
    <n v="22.58"/>
    <n v="17225.95"/>
    <n v="12710.07"/>
    <n v="2.8145278439639672"/>
    <n v="3.81"/>
  </r>
  <r>
    <d v="2024-02-13T00:00:00"/>
    <x v="2"/>
    <x v="0"/>
    <s v="Search"/>
    <x v="3"/>
    <s v="Australia"/>
    <n v="153865"/>
    <n v="5785"/>
    <n v="3.7600000000000001E-2"/>
    <n v="1.7"/>
    <n v="9834.5"/>
    <n v="139"/>
    <n v="70.75"/>
    <n v="16979.34"/>
    <n v="7144.84"/>
    <n v="0.7265077024759774"/>
    <n v="1.73"/>
  </r>
  <r>
    <d v="2024-11-07T00:00:00"/>
    <x v="6"/>
    <x v="1"/>
    <s v="Display"/>
    <x v="2"/>
    <s v="UK"/>
    <n v="187199"/>
    <n v="12036"/>
    <n v="6.4299999999999996E-2"/>
    <n v="1.33"/>
    <n v="16007.88"/>
    <n v="946"/>
    <n v="16.920000000000002"/>
    <n v="165825.37"/>
    <n v="149817.49"/>
    <n v="9.3589838254659572"/>
    <n v="10.36"/>
  </r>
  <r>
    <d v="2024-06-27T00:00:00"/>
    <x v="1"/>
    <x v="2"/>
    <s v="Video"/>
    <x v="3"/>
    <s v="UK"/>
    <n v="117696"/>
    <n v="4531"/>
    <n v="3.85E-2"/>
    <n v="1.0900000000000001"/>
    <n v="4938.79"/>
    <n v="325"/>
    <n v="15.2"/>
    <n v="19270.73"/>
    <n v="14331.939999999999"/>
    <n v="2.901913221659556"/>
    <n v="3.9"/>
  </r>
  <r>
    <d v="2024-10-19T00:00:00"/>
    <x v="3"/>
    <x v="2"/>
    <s v="Search"/>
    <x v="2"/>
    <s v="Canada"/>
    <n v="147324"/>
    <n v="1325"/>
    <n v="8.9999999999999993E-3"/>
    <n v="1.72"/>
    <n v="2279"/>
    <n v="96"/>
    <n v="23.74"/>
    <n v="10356.84"/>
    <n v="8077.84"/>
    <n v="3.5444668714348397"/>
    <n v="4.54"/>
  </r>
  <r>
    <d v="2024-08-04T00:00:00"/>
    <x v="4"/>
    <x v="0"/>
    <s v="Video"/>
    <x v="0"/>
    <s v="Australia"/>
    <n v="39001"/>
    <n v="1450"/>
    <n v="3.7199999999999997E-2"/>
    <n v="2.62"/>
    <n v="3799"/>
    <n v="18"/>
    <n v="211.06"/>
    <n v="5256.07"/>
    <n v="1457.0699999999997"/>
    <n v="0.38354040536983408"/>
    <n v="1.38"/>
  </r>
  <r>
    <d v="2024-01-03T00:00:00"/>
    <x v="0"/>
    <x v="1"/>
    <s v="Search"/>
    <x v="2"/>
    <s v="USA"/>
    <n v="69277"/>
    <n v="5057"/>
    <n v="7.2999999999999995E-2"/>
    <n v="1.06"/>
    <n v="5360.42"/>
    <n v="268"/>
    <n v="20"/>
    <n v="57608.77"/>
    <n v="52248.35"/>
    <n v="9.7470627301592039"/>
    <n v="10.75"/>
  </r>
  <r>
    <d v="2024-04-10T00:00:00"/>
    <x v="5"/>
    <x v="0"/>
    <s v="Search"/>
    <x v="4"/>
    <s v="USA"/>
    <n v="166687"/>
    <n v="11384"/>
    <n v="6.83E-2"/>
    <n v="0.73"/>
    <n v="8310.32"/>
    <n v="899"/>
    <n v="9.24"/>
    <n v="139644.20000000001"/>
    <n v="131333.88"/>
    <n v="15.803709123114395"/>
    <n v="16.8"/>
  </r>
  <r>
    <d v="2024-12-02T00:00:00"/>
    <x v="9"/>
    <x v="2"/>
    <s v="Video"/>
    <x v="4"/>
    <s v="Canada"/>
    <n v="173898"/>
    <n v="5321"/>
    <n v="3.0599999999999999E-2"/>
    <n v="0.53"/>
    <n v="2820.13"/>
    <n v="239"/>
    <n v="11.8"/>
    <n v="52181.09"/>
    <n v="49360.959999999999"/>
    <n v="17.503079645264577"/>
    <n v="18.5"/>
  </r>
  <r>
    <d v="2024-05-31T00:00:00"/>
    <x v="8"/>
    <x v="0"/>
    <s v="Display"/>
    <x v="3"/>
    <s v="Canada"/>
    <n v="117000"/>
    <n v="7979"/>
    <n v="6.8199999999999997E-2"/>
    <n v="1.47"/>
    <n v="11729.13"/>
    <n v="366"/>
    <n v="32.049999999999997"/>
    <n v="14373.81"/>
    <n v="2644.6800000000003"/>
    <n v="0.22547963915482228"/>
    <n v="1.23"/>
  </r>
  <r>
    <d v="2024-10-25T00:00:00"/>
    <x v="3"/>
    <x v="2"/>
    <s v="Shopping"/>
    <x v="3"/>
    <s v="UK"/>
    <n v="55697"/>
    <n v="957"/>
    <n v="1.72E-2"/>
    <n v="0.91"/>
    <n v="870.87"/>
    <n v="12"/>
    <n v="72.569999999999993"/>
    <n v="1673.31"/>
    <n v="802.43999999999994"/>
    <n v="0.92142340418202484"/>
    <n v="1.92"/>
  </r>
  <r>
    <d v="2024-07-03T00:00:00"/>
    <x v="10"/>
    <x v="0"/>
    <s v="Display"/>
    <x v="0"/>
    <s v="UK"/>
    <n v="46585"/>
    <n v="1504"/>
    <n v="3.2300000000000002E-2"/>
    <n v="2.2000000000000002"/>
    <n v="3308.8"/>
    <n v="85"/>
    <n v="38.93"/>
    <n v="13372.82"/>
    <n v="10064.02"/>
    <n v="3.0415921179883947"/>
    <n v="4.04"/>
  </r>
  <r>
    <d v="2024-08-14T00:00:00"/>
    <x v="4"/>
    <x v="1"/>
    <s v="Search"/>
    <x v="4"/>
    <s v="Germany"/>
    <n v="97345"/>
    <n v="5178"/>
    <n v="5.3199999999999997E-2"/>
    <n v="0.61"/>
    <n v="3158.58"/>
    <n v="289"/>
    <n v="10.93"/>
    <n v="44113.49"/>
    <n v="40954.909999999996"/>
    <n v="12.966241159001829"/>
    <n v="13.97"/>
  </r>
  <r>
    <d v="2024-06-18T00:00:00"/>
    <x v="1"/>
    <x v="1"/>
    <s v="Video"/>
    <x v="4"/>
    <s v="India"/>
    <n v="143519"/>
    <n v="10519"/>
    <n v="7.3300000000000004E-2"/>
    <n v="0.86"/>
    <n v="9046.34"/>
    <n v="673"/>
    <n v="13.44"/>
    <n v="28878.71"/>
    <n v="19832.37"/>
    <n v="2.1923087126948575"/>
    <n v="3.19"/>
  </r>
  <r>
    <d v="2024-05-01T00:00:00"/>
    <x v="8"/>
    <x v="2"/>
    <s v="Display"/>
    <x v="4"/>
    <s v="Canada"/>
    <n v="68843"/>
    <n v="633"/>
    <n v="9.1999999999999998E-3"/>
    <n v="0.89"/>
    <n v="563.37"/>
    <n v="25"/>
    <n v="22.53"/>
    <n v="2441.19"/>
    <n v="1877.8200000000002"/>
    <n v="3.3331913307417862"/>
    <n v="4.33"/>
  </r>
  <r>
    <d v="2024-03-27T00:00:00"/>
    <x v="11"/>
    <x v="0"/>
    <s v="Display"/>
    <x v="0"/>
    <s v="USA"/>
    <n v="129679"/>
    <n v="5848"/>
    <n v="4.5100000000000001E-2"/>
    <n v="1.48"/>
    <n v="8655.0400000000009"/>
    <n v="158"/>
    <n v="54.78"/>
    <n v="32419.87"/>
    <n v="23764.829999999998"/>
    <n v="2.7457793378193509"/>
    <n v="3.75"/>
  </r>
  <r>
    <d v="2024-01-31T00:00:00"/>
    <x v="0"/>
    <x v="2"/>
    <s v="Search"/>
    <x v="0"/>
    <s v="UK"/>
    <n v="153157"/>
    <n v="5498"/>
    <n v="3.5900000000000001E-2"/>
    <n v="1.8"/>
    <n v="9896.4"/>
    <n v="401"/>
    <n v="24.68"/>
    <n v="90694.52"/>
    <n v="80798.12000000001"/>
    <n v="8.1643951335839304"/>
    <n v="9.16"/>
  </r>
  <r>
    <d v="2024-08-21T00:00:00"/>
    <x v="4"/>
    <x v="2"/>
    <s v="Display"/>
    <x v="4"/>
    <s v="Canada"/>
    <n v="138074"/>
    <n v="3313"/>
    <n v="2.4E-2"/>
    <n v="1.91"/>
    <n v="6327.83"/>
    <n v="209"/>
    <n v="30.28"/>
    <n v="16533.53"/>
    <n v="10205.699999999999"/>
    <n v="1.6128277782430942"/>
    <n v="2.61"/>
  </r>
  <r>
    <d v="2024-11-16T00:00:00"/>
    <x v="6"/>
    <x v="0"/>
    <s v="Shopping"/>
    <x v="3"/>
    <s v="Germany"/>
    <n v="119132"/>
    <n v="3466"/>
    <n v="2.9100000000000001E-2"/>
    <n v="2.19"/>
    <n v="7590.54"/>
    <n v="261"/>
    <n v="29.08"/>
    <n v="30598.06"/>
    <n v="23007.52"/>
    <n v="3.0310781578122241"/>
    <n v="4.03"/>
  </r>
  <r>
    <d v="2024-05-05T00:00:00"/>
    <x v="8"/>
    <x v="0"/>
    <s v="Video"/>
    <x v="4"/>
    <s v="Canada"/>
    <n v="43634"/>
    <n v="1937"/>
    <n v="4.4400000000000002E-2"/>
    <n v="2.38"/>
    <n v="4610.0600000000004"/>
    <n v="58"/>
    <n v="79.48"/>
    <n v="15065.19"/>
    <n v="10455.130000000001"/>
    <n v="2.2678945610252361"/>
    <n v="3.27"/>
  </r>
  <r>
    <d v="2024-06-27T00:00:00"/>
    <x v="1"/>
    <x v="2"/>
    <s v="Shopping"/>
    <x v="0"/>
    <s v="USA"/>
    <n v="198899"/>
    <n v="2923"/>
    <n v="1.47E-2"/>
    <n v="1.97"/>
    <n v="5758.31"/>
    <n v="95"/>
    <n v="60.61"/>
    <n v="3750"/>
    <n v="-2008.3100000000004"/>
    <n v="-0.34876725983839013"/>
    <n v="0.65"/>
  </r>
  <r>
    <d v="2024-05-15T00:00:00"/>
    <x v="8"/>
    <x v="2"/>
    <s v="Video"/>
    <x v="3"/>
    <s v="Germany"/>
    <n v="143383"/>
    <n v="3412"/>
    <n v="2.3800000000000002E-2"/>
    <n v="1.02"/>
    <n v="3480.24"/>
    <n v="117"/>
    <n v="29.75"/>
    <n v="19100.2"/>
    <n v="15619.960000000001"/>
    <n v="4.488184722892675"/>
    <n v="5.49"/>
  </r>
  <r>
    <d v="2024-02-06T00:00:00"/>
    <x v="2"/>
    <x v="2"/>
    <s v="Video"/>
    <x v="4"/>
    <s v="UAE"/>
    <n v="92469"/>
    <n v="2487"/>
    <n v="2.69E-2"/>
    <n v="0.6"/>
    <n v="1492.2"/>
    <n v="48"/>
    <n v="31.09"/>
    <n v="14164.35"/>
    <n v="12672.15"/>
    <n v="8.4922597507036581"/>
    <n v="9.49"/>
  </r>
  <r>
    <d v="2024-11-09T00:00:00"/>
    <x v="6"/>
    <x v="0"/>
    <s v="Shopping"/>
    <x v="3"/>
    <s v="Germany"/>
    <n v="30852"/>
    <n v="684"/>
    <n v="2.2200000000000001E-2"/>
    <n v="1.59"/>
    <n v="1087.56"/>
    <n v="11"/>
    <n v="98.87"/>
    <n v="2813.84"/>
    <n v="1726.2800000000002"/>
    <n v="1.5872963330758765"/>
    <n v="2.59"/>
  </r>
  <r>
    <d v="2024-11-16T00:00:00"/>
    <x v="6"/>
    <x v="2"/>
    <s v="Search"/>
    <x v="2"/>
    <s v="Germany"/>
    <n v="87565"/>
    <n v="3213"/>
    <n v="3.6700000000000003E-2"/>
    <n v="2.2000000000000002"/>
    <n v="7068.6"/>
    <n v="106"/>
    <n v="66.680000000000007"/>
    <n v="13715.98"/>
    <n v="6647.3799999999992"/>
    <n v="0.94040969923322848"/>
    <n v="1.94"/>
  </r>
  <r>
    <d v="2024-12-11T00:00:00"/>
    <x v="9"/>
    <x v="0"/>
    <s v="Shopping"/>
    <x v="1"/>
    <s v="UK"/>
    <n v="154058"/>
    <n v="3728"/>
    <n v="2.4199999999999999E-2"/>
    <n v="2.46"/>
    <n v="9170.8799999999992"/>
    <n v="125"/>
    <n v="73.37"/>
    <n v="7520.81"/>
    <n v="-1650.0699999999988"/>
    <n v="-0.17992493632017853"/>
    <n v="0.82"/>
  </r>
  <r>
    <d v="2024-06-14T00:00:00"/>
    <x v="1"/>
    <x v="0"/>
    <s v="Display"/>
    <x v="3"/>
    <s v="India"/>
    <n v="160579"/>
    <n v="7804"/>
    <n v="4.8599999999999997E-2"/>
    <n v="1.36"/>
    <n v="10613.44"/>
    <n v="193"/>
    <n v="54.99"/>
    <n v="9996.49"/>
    <n v="-616.95000000000073"/>
    <n v="-5.8129126842946369E-2"/>
    <n v="0.94"/>
  </r>
  <r>
    <d v="2024-10-24T00:00:00"/>
    <x v="3"/>
    <x v="1"/>
    <s v="Search"/>
    <x v="3"/>
    <s v="UAE"/>
    <n v="34076"/>
    <n v="1363"/>
    <n v="0.04"/>
    <n v="1.1399999999999999"/>
    <n v="1553.82"/>
    <n v="16"/>
    <n v="97.11"/>
    <n v="2219.67"/>
    <n v="665.85000000000014"/>
    <n v="0.42852453952195246"/>
    <n v="1.43"/>
  </r>
  <r>
    <d v="2024-05-29T00:00:00"/>
    <x v="8"/>
    <x v="1"/>
    <s v="Shopping"/>
    <x v="2"/>
    <s v="Germany"/>
    <n v="37261"/>
    <n v="1591"/>
    <n v="4.2700000000000002E-2"/>
    <n v="1.08"/>
    <n v="1718.28"/>
    <n v="40"/>
    <n v="42.96"/>
    <n v="8930.0400000000009"/>
    <n v="7211.7600000000011"/>
    <n v="4.197080801731965"/>
    <n v="5.2"/>
  </r>
  <r>
    <d v="2024-02-16T00:00:00"/>
    <x v="2"/>
    <x v="2"/>
    <s v="Shopping"/>
    <x v="0"/>
    <s v="USA"/>
    <n v="178553"/>
    <n v="7213"/>
    <n v="4.0399999999999998E-2"/>
    <n v="2.2799999999999998"/>
    <n v="16445.64"/>
    <n v="556"/>
    <n v="29.58"/>
    <n v="50559.85"/>
    <n v="34114.21"/>
    <n v="2.0743619585494999"/>
    <n v="3.07"/>
  </r>
  <r>
    <d v="2024-03-06T00:00:00"/>
    <x v="11"/>
    <x v="2"/>
    <s v="Search"/>
    <x v="2"/>
    <s v="Australia"/>
    <n v="132390"/>
    <n v="2780"/>
    <n v="2.1000000000000001E-2"/>
    <n v="1.01"/>
    <n v="2807.8"/>
    <n v="133"/>
    <n v="21.11"/>
    <n v="39444.5"/>
    <n v="36636.699999999997"/>
    <n v="13.04818719282"/>
    <n v="14.05"/>
  </r>
  <r>
    <d v="2024-08-17T00:00:00"/>
    <x v="4"/>
    <x v="1"/>
    <s v="Search"/>
    <x v="2"/>
    <s v="Australia"/>
    <n v="166446"/>
    <n v="7822"/>
    <n v="4.7E-2"/>
    <n v="1.1499999999999999"/>
    <n v="8995.2999999999993"/>
    <n v="218"/>
    <n v="41.26"/>
    <n v="21100.54"/>
    <n v="12105.240000000002"/>
    <n v="1.3457294364834973"/>
    <n v="2.35"/>
  </r>
  <r>
    <d v="2024-10-30T00:00:00"/>
    <x v="3"/>
    <x v="1"/>
    <s v="Shopping"/>
    <x v="1"/>
    <s v="Germany"/>
    <n v="158807"/>
    <n v="5859"/>
    <n v="3.6900000000000002E-2"/>
    <n v="0.56999999999999995"/>
    <n v="3339.63"/>
    <n v="73"/>
    <n v="45.75"/>
    <n v="7304.51"/>
    <n v="3964.88"/>
    <n v="1.1872213388908353"/>
    <n v="2.19"/>
  </r>
  <r>
    <d v="2024-10-18T00:00:00"/>
    <x v="3"/>
    <x v="2"/>
    <s v="Video"/>
    <x v="1"/>
    <s v="Australia"/>
    <n v="66265"/>
    <n v="1881"/>
    <n v="2.8400000000000002E-2"/>
    <n v="2.04"/>
    <n v="3837.24"/>
    <n v="76"/>
    <n v="50.49"/>
    <n v="2782.02"/>
    <n v="-1055.2199999999998"/>
    <n v="-0.2749945273165087"/>
    <n v="0.73"/>
  </r>
  <r>
    <d v="2024-02-11T00:00:00"/>
    <x v="2"/>
    <x v="0"/>
    <s v="Search"/>
    <x v="3"/>
    <s v="UK"/>
    <n v="137156"/>
    <n v="5253"/>
    <n v="3.8300000000000001E-2"/>
    <n v="2.15"/>
    <n v="11293.95"/>
    <n v="280"/>
    <n v="40.340000000000003"/>
    <n v="75085.66"/>
    <n v="63791.710000000006"/>
    <n v="5.6483081649909908"/>
    <n v="6.65"/>
  </r>
  <r>
    <d v="2024-12-28T00:00:00"/>
    <x v="9"/>
    <x v="0"/>
    <s v="Shopping"/>
    <x v="0"/>
    <s v="India"/>
    <n v="123292"/>
    <n v="2527"/>
    <n v="2.0500000000000001E-2"/>
    <n v="3.55"/>
    <n v="8970.85"/>
    <n v="179"/>
    <n v="50.12"/>
    <n v="36566.559999999998"/>
    <n v="27595.71"/>
    <n v="3.0761533188047951"/>
    <n v="4.08"/>
  </r>
  <r>
    <d v="2024-08-07T00:00:00"/>
    <x v="4"/>
    <x v="1"/>
    <s v="Display"/>
    <x v="0"/>
    <s v="UK"/>
    <n v="68642"/>
    <n v="3363"/>
    <n v="4.9000000000000002E-2"/>
    <n v="0.37"/>
    <n v="1244.31"/>
    <n v="37"/>
    <n v="33.630000000000003"/>
    <n v="8887.57"/>
    <n v="7643.26"/>
    <n v="6.1425689739695093"/>
    <n v="7.14"/>
  </r>
  <r>
    <d v="2024-02-20T00:00:00"/>
    <x v="2"/>
    <x v="0"/>
    <s v="Shopping"/>
    <x v="3"/>
    <s v="Canada"/>
    <n v="147727"/>
    <n v="7534"/>
    <n v="5.0999999999999997E-2"/>
    <n v="2.33"/>
    <n v="17554.22"/>
    <n v="206"/>
    <n v="85.21"/>
    <n v="23788.98"/>
    <n v="6234.7599999999984"/>
    <n v="0.35517157697693191"/>
    <n v="1.36"/>
  </r>
  <r>
    <d v="2024-03-10T00:00:00"/>
    <x v="11"/>
    <x v="1"/>
    <s v="Search"/>
    <x v="4"/>
    <s v="Australia"/>
    <n v="179818"/>
    <n v="11724"/>
    <n v="6.5199999999999994E-2"/>
    <n v="1.03"/>
    <n v="12075.72"/>
    <n v="880"/>
    <n v="13.72"/>
    <n v="242039.99"/>
    <n v="229964.27"/>
    <n v="19.043524526901916"/>
    <n v="20.04"/>
  </r>
  <r>
    <d v="2024-10-25T00:00:00"/>
    <x v="3"/>
    <x v="0"/>
    <s v="Display"/>
    <x v="0"/>
    <s v="Australia"/>
    <n v="158481"/>
    <n v="6053"/>
    <n v="3.8199999999999998E-2"/>
    <n v="1.63"/>
    <n v="9866.39"/>
    <n v="116"/>
    <n v="85.06"/>
    <n v="30091.81"/>
    <n v="20225.420000000002"/>
    <n v="2.0499311298256"/>
    <n v="3.05"/>
  </r>
  <r>
    <d v="2024-06-10T00:00:00"/>
    <x v="1"/>
    <x v="1"/>
    <s v="Search"/>
    <x v="0"/>
    <s v="India"/>
    <n v="12784"/>
    <n v="1055"/>
    <n v="8.2600000000000007E-2"/>
    <n v="0.38"/>
    <n v="400.9"/>
    <n v="67"/>
    <n v="5.98"/>
    <n v="12031.35"/>
    <n v="11630.45"/>
    <n v="29.010850586181096"/>
    <n v="30.01"/>
  </r>
  <r>
    <d v="2024-12-11T00:00:00"/>
    <x v="9"/>
    <x v="2"/>
    <s v="Video"/>
    <x v="1"/>
    <s v="Australia"/>
    <n v="117169"/>
    <n v="3304"/>
    <n v="2.8199999999999999E-2"/>
    <n v="1.27"/>
    <n v="4196.08"/>
    <n v="83"/>
    <n v="50.56"/>
    <n v="20949.79"/>
    <n v="16753.71"/>
    <n v="3.9927050961850106"/>
    <n v="4.99"/>
  </r>
  <r>
    <d v="2024-01-17T00:00:00"/>
    <x v="0"/>
    <x v="2"/>
    <s v="Video"/>
    <x v="1"/>
    <s v="Germany"/>
    <n v="190928"/>
    <n v="5078"/>
    <n v="2.6599999999999999E-2"/>
    <n v="1.45"/>
    <n v="7363.1"/>
    <n v="186"/>
    <n v="39.590000000000003"/>
    <n v="47430.11"/>
    <n v="40067.01"/>
    <n v="5.4415952519998374"/>
    <n v="6.44"/>
  </r>
  <r>
    <d v="2024-12-12T00:00:00"/>
    <x v="9"/>
    <x v="0"/>
    <s v="Search"/>
    <x v="4"/>
    <s v="India"/>
    <n v="38512"/>
    <n v="1840"/>
    <n v="4.7800000000000002E-2"/>
    <n v="1.34"/>
    <n v="2465.6"/>
    <n v="53"/>
    <n v="46.52"/>
    <n v="3324.76"/>
    <n v="859.16000000000031"/>
    <n v="0.34845879299156407"/>
    <n v="1.35"/>
  </r>
  <r>
    <d v="2024-02-11T00:00:00"/>
    <x v="2"/>
    <x v="2"/>
    <s v="Video"/>
    <x v="3"/>
    <s v="UAE"/>
    <n v="92986"/>
    <n v="2082"/>
    <n v="2.24E-2"/>
    <n v="1.73"/>
    <n v="3601.86"/>
    <n v="108"/>
    <n v="33.35"/>
    <n v="6838.55"/>
    <n v="3236.69"/>
    <n v="0.89861627048247295"/>
    <n v="1.9"/>
  </r>
  <r>
    <d v="2024-04-29T00:00:00"/>
    <x v="5"/>
    <x v="2"/>
    <s v="Search"/>
    <x v="2"/>
    <s v="UAE"/>
    <n v="80589"/>
    <n v="1160"/>
    <n v="1.44E-2"/>
    <n v="0.95"/>
    <n v="1102"/>
    <n v="75"/>
    <n v="14.69"/>
    <n v="21781.43"/>
    <n v="20679.43"/>
    <n v="18.765362976406532"/>
    <n v="19.77"/>
  </r>
  <r>
    <d v="2024-07-19T00:00:00"/>
    <x v="10"/>
    <x v="2"/>
    <s v="Display"/>
    <x v="1"/>
    <s v="India"/>
    <n v="140475"/>
    <n v="5043"/>
    <n v="3.5900000000000001E-2"/>
    <n v="2.04"/>
    <n v="10287.719999999999"/>
    <n v="327"/>
    <n v="31.46"/>
    <n v="96504.49"/>
    <n v="86216.77"/>
    <n v="8.3805517646281213"/>
    <n v="9.3800000000000008"/>
  </r>
  <r>
    <d v="2024-09-09T00:00:00"/>
    <x v="7"/>
    <x v="0"/>
    <s v="Video"/>
    <x v="4"/>
    <s v="Canada"/>
    <n v="103348"/>
    <n v="1891"/>
    <n v="1.83E-2"/>
    <n v="1.54"/>
    <n v="2912.14"/>
    <n v="30"/>
    <n v="97.07"/>
    <n v="1064.02"/>
    <n v="-1848.12"/>
    <n v="-0.63462608253724062"/>
    <n v="0.37"/>
  </r>
  <r>
    <d v="2024-01-17T00:00:00"/>
    <x v="0"/>
    <x v="2"/>
    <s v="Search"/>
    <x v="1"/>
    <s v="Australia"/>
    <n v="100343"/>
    <n v="3461"/>
    <n v="3.4500000000000003E-2"/>
    <n v="1.08"/>
    <n v="3737.88"/>
    <n v="259"/>
    <n v="14.43"/>
    <n v="51755.16"/>
    <n v="48017.280000000006"/>
    <n v="12.846126681434397"/>
    <n v="13.85"/>
  </r>
  <r>
    <d v="2024-07-21T00:00:00"/>
    <x v="10"/>
    <x v="1"/>
    <s v="Display"/>
    <x v="3"/>
    <s v="UAE"/>
    <n v="179039"/>
    <n v="14663"/>
    <n v="8.1900000000000001E-2"/>
    <n v="1.36"/>
    <n v="19941.68"/>
    <n v="1151"/>
    <n v="17.329999999999998"/>
    <n v="281693.26"/>
    <n v="261751.58000000002"/>
    <n v="13.125853990235527"/>
    <n v="14.13"/>
  </r>
  <r>
    <d v="2024-04-20T00:00:00"/>
    <x v="5"/>
    <x v="2"/>
    <s v="Display"/>
    <x v="3"/>
    <s v="UK"/>
    <n v="13100"/>
    <n v="186"/>
    <n v="1.4200000000000001E-2"/>
    <n v="1.5"/>
    <n v="279"/>
    <n v="10"/>
    <n v="27.9"/>
    <n v="1347.41"/>
    <n v="1068.4100000000001"/>
    <n v="3.8294265232974913"/>
    <n v="4.83"/>
  </r>
  <r>
    <d v="2024-02-04T00:00:00"/>
    <x v="2"/>
    <x v="0"/>
    <s v="Search"/>
    <x v="1"/>
    <s v="UAE"/>
    <n v="167198"/>
    <n v="5132"/>
    <n v="3.0700000000000002E-2"/>
    <n v="2.31"/>
    <n v="11854.92"/>
    <n v="120"/>
    <n v="98.79"/>
    <n v="19874.34"/>
    <n v="8019.42"/>
    <n v="0.67646344302618655"/>
    <n v="1.68"/>
  </r>
  <r>
    <d v="2024-09-08T00:00:00"/>
    <x v="7"/>
    <x v="2"/>
    <s v="Video"/>
    <x v="4"/>
    <s v="UK"/>
    <n v="35755"/>
    <n v="672"/>
    <n v="1.8800000000000001E-2"/>
    <n v="2.0099999999999998"/>
    <n v="1350.72"/>
    <n v="39"/>
    <n v="34.630000000000003"/>
    <n v="1411.24"/>
    <n v="60.519999999999982"/>
    <n v="4.4805733238569047E-2"/>
    <n v="1.04"/>
  </r>
  <r>
    <d v="2024-04-17T00:00:00"/>
    <x v="5"/>
    <x v="0"/>
    <s v="Display"/>
    <x v="4"/>
    <s v="Germany"/>
    <n v="177420"/>
    <n v="7646"/>
    <n v="4.3099999999999999E-2"/>
    <n v="2.42"/>
    <n v="18503.32"/>
    <n v="478"/>
    <n v="38.71"/>
    <n v="110744.54"/>
    <n v="92241.22"/>
    <n v="4.9851172654420939"/>
    <n v="5.99"/>
  </r>
  <r>
    <d v="2024-02-21T00:00:00"/>
    <x v="2"/>
    <x v="0"/>
    <s v="Search"/>
    <x v="3"/>
    <s v="UAE"/>
    <n v="195067"/>
    <n v="9129"/>
    <n v="4.6800000000000001E-2"/>
    <n v="0.95"/>
    <n v="8672.5499999999993"/>
    <n v="128"/>
    <n v="67.75"/>
    <n v="24006.78"/>
    <n v="15334.23"/>
    <n v="1.7681339398446825"/>
    <n v="2.77"/>
  </r>
  <r>
    <d v="2024-01-30T00:00:00"/>
    <x v="0"/>
    <x v="0"/>
    <s v="Display"/>
    <x v="1"/>
    <s v="USA"/>
    <n v="44435"/>
    <n v="1453"/>
    <n v="3.27E-2"/>
    <n v="2.68"/>
    <n v="3894.04"/>
    <n v="48"/>
    <n v="81.13"/>
    <n v="6345.04"/>
    <n v="2451"/>
    <n v="0.62942342656983497"/>
    <n v="1.63"/>
  </r>
  <r>
    <d v="2024-04-04T00:00:00"/>
    <x v="5"/>
    <x v="1"/>
    <s v="Search"/>
    <x v="3"/>
    <s v="UAE"/>
    <n v="57448"/>
    <n v="2338"/>
    <n v="4.07E-2"/>
    <n v="0.5"/>
    <n v="1169"/>
    <n v="143"/>
    <n v="8.17"/>
    <n v="25654.560000000001"/>
    <n v="24485.56"/>
    <n v="20.945731394354151"/>
    <n v="21.95"/>
  </r>
  <r>
    <d v="2024-01-06T00:00:00"/>
    <x v="0"/>
    <x v="0"/>
    <s v="Video"/>
    <x v="4"/>
    <s v="UK"/>
    <n v="139158"/>
    <n v="3061"/>
    <n v="2.1999999999999999E-2"/>
    <n v="1.27"/>
    <n v="3887.47"/>
    <n v="118"/>
    <n v="32.94"/>
    <n v="15835.46"/>
    <n v="11947.99"/>
    <n v="3.0734616601542908"/>
    <n v="4.07"/>
  </r>
  <r>
    <d v="2024-02-29T00:00:00"/>
    <x v="2"/>
    <x v="2"/>
    <s v="Display"/>
    <x v="2"/>
    <s v="Germany"/>
    <n v="148463"/>
    <n v="4810"/>
    <n v="3.2399999999999998E-2"/>
    <n v="2.11"/>
    <n v="10149.1"/>
    <n v="286"/>
    <n v="35.49"/>
    <n v="68709.259999999995"/>
    <n v="58560.159999999996"/>
    <n v="5.769985515957079"/>
    <n v="6.77"/>
  </r>
  <r>
    <d v="2024-01-27T00:00:00"/>
    <x v="0"/>
    <x v="2"/>
    <s v="Search"/>
    <x v="4"/>
    <s v="Australia"/>
    <n v="30123"/>
    <n v="554"/>
    <n v="1.84E-2"/>
    <n v="1.78"/>
    <n v="986.12"/>
    <n v="15"/>
    <n v="65.739999999999995"/>
    <n v="2874.83"/>
    <n v="1888.71"/>
    <n v="1.9152942846712369"/>
    <n v="2.92"/>
  </r>
  <r>
    <d v="2024-01-05T00:00:00"/>
    <x v="0"/>
    <x v="2"/>
    <s v="Shopping"/>
    <x v="4"/>
    <s v="USA"/>
    <n v="139257"/>
    <n v="2631"/>
    <n v="1.89E-2"/>
    <n v="1.61"/>
    <n v="4235.91"/>
    <n v="99"/>
    <n v="42.79"/>
    <n v="9781.2800000000007"/>
    <n v="5545.3700000000008"/>
    <n v="1.3091331024502411"/>
    <n v="2.31"/>
  </r>
  <r>
    <d v="2024-07-06T00:00:00"/>
    <x v="10"/>
    <x v="0"/>
    <s v="Search"/>
    <x v="2"/>
    <s v="Germany"/>
    <n v="103053"/>
    <n v="2607"/>
    <n v="2.53E-2"/>
    <n v="2.19"/>
    <n v="5709.33"/>
    <n v="194"/>
    <n v="29.43"/>
    <n v="39533.49"/>
    <n v="33824.159999999996"/>
    <n v="5.924365906332266"/>
    <n v="6.92"/>
  </r>
  <r>
    <d v="2024-02-29T00:00:00"/>
    <x v="2"/>
    <x v="0"/>
    <s v="Display"/>
    <x v="0"/>
    <s v="Canada"/>
    <n v="44140"/>
    <n v="2101"/>
    <n v="4.7600000000000003E-2"/>
    <n v="1.05"/>
    <n v="2206.0500000000002"/>
    <n v="55"/>
    <n v="40.11"/>
    <n v="6735.72"/>
    <n v="4529.67"/>
    <n v="2.0532943496294278"/>
    <n v="3.05"/>
  </r>
  <r>
    <d v="2024-07-04T00:00:00"/>
    <x v="10"/>
    <x v="2"/>
    <s v="Display"/>
    <x v="3"/>
    <s v="India"/>
    <n v="88698"/>
    <n v="1073"/>
    <n v="1.21E-2"/>
    <n v="0.92"/>
    <n v="987.16"/>
    <n v="43"/>
    <n v="22.96"/>
    <n v="5727.99"/>
    <n v="4740.83"/>
    <n v="4.8024940232586406"/>
    <n v="5.8"/>
  </r>
  <r>
    <d v="2024-01-12T00:00:00"/>
    <x v="0"/>
    <x v="2"/>
    <s v="Display"/>
    <x v="1"/>
    <s v="Canada"/>
    <n v="182011"/>
    <n v="1911"/>
    <n v="1.0500000000000001E-2"/>
    <n v="0.55000000000000004"/>
    <n v="1051.05"/>
    <n v="35"/>
    <n v="30.03"/>
    <n v="3848.31"/>
    <n v="2797.26"/>
    <n v="2.6613957471100331"/>
    <n v="3.66"/>
  </r>
  <r>
    <d v="2024-01-20T00:00:00"/>
    <x v="0"/>
    <x v="1"/>
    <s v="Display"/>
    <x v="0"/>
    <s v="India"/>
    <n v="29180"/>
    <n v="1464"/>
    <n v="5.0200000000000002E-2"/>
    <n v="0.53"/>
    <n v="775.92"/>
    <n v="59"/>
    <n v="13.15"/>
    <n v="11729.57"/>
    <n v="10953.65"/>
    <n v="14.11698370966079"/>
    <n v="15.12"/>
  </r>
  <r>
    <d v="2024-01-13T00:00:00"/>
    <x v="0"/>
    <x v="2"/>
    <s v="Video"/>
    <x v="4"/>
    <s v="UK"/>
    <n v="138686"/>
    <n v="2621"/>
    <n v="1.89E-2"/>
    <n v="1.52"/>
    <n v="3983.92"/>
    <n v="195"/>
    <n v="20.43"/>
    <n v="52398.49"/>
    <n v="48414.57"/>
    <n v="12.152495532038795"/>
    <n v="13.15"/>
  </r>
  <r>
    <d v="2024-09-22T00:00:00"/>
    <x v="7"/>
    <x v="0"/>
    <s v="Search"/>
    <x v="0"/>
    <s v="India"/>
    <n v="181976"/>
    <n v="7752"/>
    <n v="4.2599999999999999E-2"/>
    <n v="1.72"/>
    <n v="13333.44"/>
    <n v="255"/>
    <n v="52.29"/>
    <n v="75491.87"/>
    <n v="62158.429999999993"/>
    <n v="4.6618449552403574"/>
    <n v="5.66"/>
  </r>
  <r>
    <d v="2024-12-10T00:00:00"/>
    <x v="9"/>
    <x v="0"/>
    <s v="Shopping"/>
    <x v="2"/>
    <s v="UK"/>
    <n v="103902"/>
    <n v="3927"/>
    <n v="3.78E-2"/>
    <n v="1.1599999999999999"/>
    <n v="4555.32"/>
    <n v="215"/>
    <n v="21.19"/>
    <n v="37434.379999999997"/>
    <n v="32879.06"/>
    <n v="7.2177278434884924"/>
    <n v="8.2200000000000006"/>
  </r>
  <r>
    <d v="2024-04-05T00:00:00"/>
    <x v="5"/>
    <x v="1"/>
    <s v="Display"/>
    <x v="3"/>
    <s v="Canada"/>
    <n v="132081"/>
    <n v="10051"/>
    <n v="7.6100000000000001E-2"/>
    <n v="0.71"/>
    <n v="7136.21"/>
    <n v="229"/>
    <n v="31.16"/>
    <n v="62261.45"/>
    <n v="55125.24"/>
    <n v="7.7247222265039843"/>
    <n v="8.7200000000000006"/>
  </r>
  <r>
    <d v="2024-05-18T00:00:00"/>
    <x v="8"/>
    <x v="2"/>
    <s v="Video"/>
    <x v="4"/>
    <s v="UK"/>
    <n v="25077"/>
    <n v="341"/>
    <n v="1.3599999999999999E-2"/>
    <n v="0.42"/>
    <n v="143.22"/>
    <n v="5"/>
    <n v="28.64"/>
    <n v="779.52"/>
    <n v="636.29999999999995"/>
    <n v="4.4428152492668618"/>
    <n v="5.44"/>
  </r>
  <r>
    <d v="2024-04-16T00:00:00"/>
    <x v="5"/>
    <x v="2"/>
    <s v="Video"/>
    <x v="4"/>
    <s v="UAE"/>
    <n v="113987"/>
    <n v="3579"/>
    <n v="3.1399999999999997E-2"/>
    <n v="0.76"/>
    <n v="2720.04"/>
    <n v="229"/>
    <n v="11.88"/>
    <n v="31787.48"/>
    <n v="29067.439999999999"/>
    <n v="10.686401670563669"/>
    <n v="11.69"/>
  </r>
  <r>
    <d v="2024-03-20T00:00:00"/>
    <x v="11"/>
    <x v="2"/>
    <s v="Shopping"/>
    <x v="0"/>
    <s v="Canada"/>
    <n v="14705"/>
    <n v="363"/>
    <n v="2.47E-2"/>
    <n v="0.94"/>
    <n v="341.22"/>
    <n v="4"/>
    <n v="85.31"/>
    <n v="738.37"/>
    <n v="397.15"/>
    <n v="1.1639118457300275"/>
    <n v="2.16"/>
  </r>
  <r>
    <d v="2024-06-02T00:00:00"/>
    <x v="1"/>
    <x v="0"/>
    <s v="Search"/>
    <x v="1"/>
    <s v="USA"/>
    <n v="16955"/>
    <n v="440"/>
    <n v="2.5999999999999999E-2"/>
    <n v="1.82"/>
    <n v="800.8"/>
    <n v="30"/>
    <n v="26.69"/>
    <n v="3274.44"/>
    <n v="2473.6400000000003"/>
    <n v="3.0889610389610396"/>
    <n v="4.09"/>
  </r>
  <r>
    <d v="2024-09-22T00:00:00"/>
    <x v="7"/>
    <x v="2"/>
    <s v="Display"/>
    <x v="4"/>
    <s v="India"/>
    <n v="127082"/>
    <n v="2452"/>
    <n v="1.9300000000000001E-2"/>
    <n v="2.1800000000000002"/>
    <n v="5345.36"/>
    <n v="53"/>
    <n v="100.86"/>
    <n v="8408.4500000000007"/>
    <n v="3063.0900000000011"/>
    <n v="0.57303717616774197"/>
    <n v="1.57"/>
  </r>
  <r>
    <d v="2024-02-13T00:00:00"/>
    <x v="2"/>
    <x v="2"/>
    <s v="Video"/>
    <x v="4"/>
    <s v="India"/>
    <n v="57299"/>
    <n v="1186"/>
    <n v="2.07E-2"/>
    <n v="1.35"/>
    <n v="1601.1"/>
    <n v="25"/>
    <n v="64.040000000000006"/>
    <n v="5383.27"/>
    <n v="3782.1700000000005"/>
    <n v="2.3622322153519462"/>
    <n v="3.36"/>
  </r>
  <r>
    <d v="2024-06-19T00:00:00"/>
    <x v="1"/>
    <x v="2"/>
    <s v="Shopping"/>
    <x v="0"/>
    <s v="Australia"/>
    <n v="134986"/>
    <n v="4346"/>
    <n v="3.2199999999999999E-2"/>
    <n v="1.63"/>
    <n v="7083.98"/>
    <n v="149"/>
    <n v="47.54"/>
    <n v="28100.44"/>
    <n v="21016.46"/>
    <n v="2.966758799431958"/>
    <n v="3.97"/>
  </r>
  <r>
    <d v="2024-07-22T00:00:00"/>
    <x v="10"/>
    <x v="0"/>
    <s v="Display"/>
    <x v="4"/>
    <s v="Australia"/>
    <n v="12546"/>
    <n v="725"/>
    <n v="5.7799999999999997E-2"/>
    <n v="1.45"/>
    <n v="1051.25"/>
    <n v="43"/>
    <n v="24.45"/>
    <n v="2269.7800000000002"/>
    <n v="1218.5300000000002"/>
    <n v="1.1591248513674199"/>
    <n v="2.16"/>
  </r>
  <r>
    <d v="2024-05-27T00:00:00"/>
    <x v="8"/>
    <x v="0"/>
    <s v="Search"/>
    <x v="0"/>
    <s v="Canada"/>
    <n v="161554"/>
    <n v="6252"/>
    <n v="3.8699999999999998E-2"/>
    <n v="3.05"/>
    <n v="19068.599999999999"/>
    <n v="361"/>
    <n v="52.82"/>
    <n v="57767.01"/>
    <n v="38698.410000000003"/>
    <n v="2.0294311066360406"/>
    <n v="3.03"/>
  </r>
  <r>
    <d v="2024-01-25T00:00:00"/>
    <x v="0"/>
    <x v="2"/>
    <s v="Search"/>
    <x v="2"/>
    <s v="India"/>
    <n v="27499"/>
    <n v="728"/>
    <n v="2.6499999999999999E-2"/>
    <n v="1.07"/>
    <n v="778.96"/>
    <n v="17"/>
    <n v="45.82"/>
    <n v="3860.75"/>
    <n v="3081.79"/>
    <n v="3.9562878710074969"/>
    <n v="4.96"/>
  </r>
  <r>
    <d v="2024-12-20T00:00:00"/>
    <x v="9"/>
    <x v="1"/>
    <s v="Display"/>
    <x v="1"/>
    <s v="India"/>
    <n v="153936"/>
    <n v="5895"/>
    <n v="3.8300000000000001E-2"/>
    <n v="0.89"/>
    <n v="5246.55"/>
    <n v="373"/>
    <n v="14.07"/>
    <n v="85268.07"/>
    <n v="80021.52"/>
    <n v="15.252217171283986"/>
    <n v="16.25"/>
  </r>
  <r>
    <d v="2024-04-07T00:00:00"/>
    <x v="5"/>
    <x v="1"/>
    <s v="Display"/>
    <x v="4"/>
    <s v="Germany"/>
    <n v="41232"/>
    <n v="1859"/>
    <n v="4.5100000000000001E-2"/>
    <n v="1.06"/>
    <n v="1970.54"/>
    <n v="126"/>
    <n v="15.64"/>
    <n v="22069.99"/>
    <n v="20099.45"/>
    <n v="10.199970566443717"/>
    <n v="11.2"/>
  </r>
  <r>
    <d v="2024-02-16T00:00:00"/>
    <x v="2"/>
    <x v="2"/>
    <s v="Video"/>
    <x v="2"/>
    <s v="Canada"/>
    <n v="133088"/>
    <n v="5243"/>
    <n v="3.9399999999999998E-2"/>
    <n v="1.68"/>
    <n v="8808.24"/>
    <n v="226"/>
    <n v="38.97"/>
    <n v="48389.85"/>
    <n v="39581.61"/>
    <n v="4.4937024876706362"/>
    <n v="5.49"/>
  </r>
  <r>
    <d v="2024-04-18T00:00:00"/>
    <x v="5"/>
    <x v="2"/>
    <s v="Search"/>
    <x v="3"/>
    <s v="Australia"/>
    <n v="33082"/>
    <n v="340"/>
    <n v="1.03E-2"/>
    <n v="1.86"/>
    <n v="632.4"/>
    <n v="9"/>
    <n v="70.27"/>
    <n v="2116.06"/>
    <n v="1483.6599999999999"/>
    <n v="2.3460784313725487"/>
    <n v="3.35"/>
  </r>
  <r>
    <d v="2024-04-16T00:00:00"/>
    <x v="5"/>
    <x v="2"/>
    <s v="Display"/>
    <x v="0"/>
    <s v="Germany"/>
    <n v="179504"/>
    <n v="5026"/>
    <n v="2.8000000000000001E-2"/>
    <n v="1.1100000000000001"/>
    <n v="5578.86"/>
    <n v="203"/>
    <n v="27.48"/>
    <n v="10121.879999999999"/>
    <n v="4543.0199999999995"/>
    <n v="0.81432765833880039"/>
    <n v="1.81"/>
  </r>
  <r>
    <d v="2024-06-11T00:00:00"/>
    <x v="1"/>
    <x v="2"/>
    <s v="Shopping"/>
    <x v="2"/>
    <s v="USA"/>
    <n v="16344"/>
    <n v="534"/>
    <n v="3.27E-2"/>
    <n v="0.9"/>
    <n v="480.6"/>
    <n v="11"/>
    <n v="43.69"/>
    <n v="465.35"/>
    <n v="-15.25"/>
    <n v="-3.1731169371618809E-2"/>
    <n v="0.97"/>
  </r>
  <r>
    <d v="2024-03-05T00:00:00"/>
    <x v="11"/>
    <x v="1"/>
    <s v="Display"/>
    <x v="4"/>
    <s v="Canada"/>
    <n v="196312"/>
    <n v="12642"/>
    <n v="6.4399999999999999E-2"/>
    <n v="1.28"/>
    <n v="16181.76"/>
    <n v="584"/>
    <n v="27.71"/>
    <n v="148695.91"/>
    <n v="132514.15"/>
    <n v="8.1891061293703515"/>
    <n v="9.19"/>
  </r>
  <r>
    <d v="2024-10-31T00:00:00"/>
    <x v="3"/>
    <x v="1"/>
    <s v="Shopping"/>
    <x v="4"/>
    <s v="USA"/>
    <n v="17626"/>
    <n v="1113"/>
    <n v="6.3200000000000006E-2"/>
    <n v="0.54"/>
    <n v="601.02"/>
    <n v="50"/>
    <n v="12.02"/>
    <n v="2568.5100000000002"/>
    <n v="1967.4900000000002"/>
    <n v="3.2735849056603779"/>
    <n v="4.2699999999999996"/>
  </r>
  <r>
    <d v="2024-05-22T00:00:00"/>
    <x v="8"/>
    <x v="2"/>
    <s v="Shopping"/>
    <x v="3"/>
    <s v="Germany"/>
    <n v="46603"/>
    <n v="955"/>
    <n v="2.0500000000000001E-2"/>
    <n v="0.69"/>
    <n v="658.95"/>
    <n v="23"/>
    <n v="28.65"/>
    <n v="2614.4899999999998"/>
    <n v="1955.5399999999997"/>
    <n v="2.9676606722816596"/>
    <n v="3.97"/>
  </r>
  <r>
    <d v="2024-01-28T00:00:00"/>
    <x v="0"/>
    <x v="2"/>
    <s v="Search"/>
    <x v="1"/>
    <s v="UAE"/>
    <n v="113878"/>
    <n v="3678"/>
    <n v="3.2300000000000002E-2"/>
    <n v="0.92"/>
    <n v="3383.76"/>
    <n v="216"/>
    <n v="15.67"/>
    <n v="62162.63"/>
    <n v="58778.869999999995"/>
    <n v="17.370874411896821"/>
    <n v="18.37"/>
  </r>
  <r>
    <d v="2024-05-24T00:00:00"/>
    <x v="8"/>
    <x v="2"/>
    <s v="Display"/>
    <x v="4"/>
    <s v="Canada"/>
    <n v="196354"/>
    <n v="2945"/>
    <n v="1.4999999999999999E-2"/>
    <n v="1.1100000000000001"/>
    <n v="3268.95"/>
    <n v="177"/>
    <n v="18.47"/>
    <n v="7478.3"/>
    <n v="4209.3500000000004"/>
    <n v="1.287676471038101"/>
    <n v="2.29"/>
  </r>
  <r>
    <d v="2024-07-25T00:00:00"/>
    <x v="10"/>
    <x v="2"/>
    <s v="Video"/>
    <x v="1"/>
    <s v="Australia"/>
    <n v="62194"/>
    <n v="2039"/>
    <n v="3.2800000000000003E-2"/>
    <n v="1.84"/>
    <n v="3751.76"/>
    <n v="129"/>
    <n v="29.08"/>
    <n v="23854.38"/>
    <n v="20102.620000000003"/>
    <n v="5.358183892359853"/>
    <n v="6.36"/>
  </r>
  <r>
    <d v="2024-11-17T00:00:00"/>
    <x v="6"/>
    <x v="1"/>
    <s v="Shopping"/>
    <x v="2"/>
    <s v="Germany"/>
    <n v="56069"/>
    <n v="2949"/>
    <n v="5.2600000000000001E-2"/>
    <n v="0.85"/>
    <n v="2506.65"/>
    <n v="150"/>
    <n v="16.71"/>
    <n v="29064.28"/>
    <n v="26557.629999999997"/>
    <n v="10.594869646739671"/>
    <n v="11.59"/>
  </r>
  <r>
    <d v="2024-07-18T00:00:00"/>
    <x v="10"/>
    <x v="2"/>
    <s v="Search"/>
    <x v="1"/>
    <s v="UAE"/>
    <n v="18706"/>
    <n v="458"/>
    <n v="2.4500000000000001E-2"/>
    <n v="0.44"/>
    <n v="201.52"/>
    <n v="35"/>
    <n v="5.76"/>
    <n v="7330.28"/>
    <n v="7128.7599999999993"/>
    <n v="35.374950377133779"/>
    <n v="36.369999999999997"/>
  </r>
  <r>
    <d v="2024-03-22T00:00:00"/>
    <x v="11"/>
    <x v="1"/>
    <s v="Video"/>
    <x v="3"/>
    <s v="Canada"/>
    <n v="49390"/>
    <n v="3368"/>
    <n v="6.8199999999999997E-2"/>
    <n v="1.65"/>
    <n v="5557.2"/>
    <n v="195"/>
    <n v="28.5"/>
    <n v="57395.9"/>
    <n v="51838.700000000004"/>
    <n v="9.3282048513639975"/>
    <n v="10.33"/>
  </r>
  <r>
    <d v="2024-07-19T00:00:00"/>
    <x v="10"/>
    <x v="0"/>
    <s v="Shopping"/>
    <x v="0"/>
    <s v="India"/>
    <n v="23773"/>
    <n v="461"/>
    <n v="1.9400000000000001E-2"/>
    <n v="1.6"/>
    <n v="737.6"/>
    <n v="5"/>
    <n v="147.52000000000001"/>
    <n v="642.97"/>
    <n v="-94.63"/>
    <n v="-0.12829446854663773"/>
    <n v="0.87"/>
  </r>
  <r>
    <d v="2024-09-03T00:00:00"/>
    <x v="7"/>
    <x v="2"/>
    <s v="Search"/>
    <x v="4"/>
    <s v="Canada"/>
    <n v="19959"/>
    <n v="586"/>
    <n v="2.9399999999999999E-2"/>
    <n v="1.99"/>
    <n v="1166.1400000000001"/>
    <n v="17"/>
    <n v="68.599999999999994"/>
    <n v="4432.12"/>
    <n v="3265.9799999999996"/>
    <n v="2.8006757336168895"/>
    <n v="3.8"/>
  </r>
  <r>
    <d v="2024-01-30T00:00:00"/>
    <x v="0"/>
    <x v="2"/>
    <s v="Display"/>
    <x v="0"/>
    <s v="UAE"/>
    <n v="166155"/>
    <n v="6048"/>
    <n v="3.6400000000000002E-2"/>
    <n v="1.46"/>
    <n v="8830.08"/>
    <n v="260"/>
    <n v="33.96"/>
    <n v="28494.38"/>
    <n v="19664.300000000003"/>
    <n v="2.2269673660940787"/>
    <n v="3.23"/>
  </r>
  <r>
    <d v="2024-02-28T00:00:00"/>
    <x v="2"/>
    <x v="1"/>
    <s v="Shopping"/>
    <x v="3"/>
    <s v="UAE"/>
    <n v="50819"/>
    <n v="3206"/>
    <n v="6.3100000000000003E-2"/>
    <n v="0.95"/>
    <n v="3045.7"/>
    <n v="222"/>
    <n v="13.72"/>
    <n v="24319.42"/>
    <n v="21273.719999999998"/>
    <n v="6.9848376399514063"/>
    <n v="7.98"/>
  </r>
  <r>
    <d v="2024-08-28T00:00:00"/>
    <x v="4"/>
    <x v="0"/>
    <s v="Display"/>
    <x v="2"/>
    <s v="UK"/>
    <n v="15796"/>
    <n v="301"/>
    <n v="1.9099999999999999E-2"/>
    <n v="1.91"/>
    <n v="574.91"/>
    <n v="17"/>
    <n v="33.82"/>
    <n v="1137.71"/>
    <n v="562.80000000000007"/>
    <n v="0.97893583343479862"/>
    <n v="1.98"/>
  </r>
  <r>
    <d v="2024-02-24T00:00:00"/>
    <x v="2"/>
    <x v="1"/>
    <s v="Display"/>
    <x v="4"/>
    <s v="India"/>
    <n v="133422"/>
    <n v="8458"/>
    <n v="6.3399999999999998E-2"/>
    <n v="0.82"/>
    <n v="6935.56"/>
    <n v="663"/>
    <n v="10.46"/>
    <n v="111531.65"/>
    <n v="104596.09"/>
    <n v="15.081131155955681"/>
    <n v="16.079999999999998"/>
  </r>
  <r>
    <d v="2024-04-28T00:00:00"/>
    <x v="5"/>
    <x v="2"/>
    <s v="Video"/>
    <x v="1"/>
    <s v="Germany"/>
    <n v="181026"/>
    <n v="2769"/>
    <n v="1.5299999999999999E-2"/>
    <n v="1.06"/>
    <n v="2935.14"/>
    <n v="155"/>
    <n v="18.940000000000001"/>
    <n v="18246.009999999998"/>
    <n v="15310.869999999999"/>
    <n v="5.2164019433485285"/>
    <n v="6.22"/>
  </r>
  <r>
    <d v="2024-03-17T00:00:00"/>
    <x v="11"/>
    <x v="2"/>
    <s v="Shopping"/>
    <x v="4"/>
    <s v="Germany"/>
    <n v="57784"/>
    <n v="907"/>
    <n v="1.5699999999999999E-2"/>
    <n v="1.21"/>
    <n v="1097.47"/>
    <n v="54"/>
    <n v="20.32"/>
    <n v="2856.1"/>
    <n v="1758.6299999999999"/>
    <n v="1.6024401578175256"/>
    <n v="2.6"/>
  </r>
  <r>
    <d v="2024-06-22T00:00:00"/>
    <x v="1"/>
    <x v="2"/>
    <s v="Search"/>
    <x v="4"/>
    <s v="India"/>
    <n v="81023"/>
    <n v="1944"/>
    <n v="2.4E-2"/>
    <n v="1.31"/>
    <n v="2546.64"/>
    <n v="146"/>
    <n v="17.440000000000001"/>
    <n v="32752.99"/>
    <n v="30206.350000000002"/>
    <n v="11.861256400590584"/>
    <n v="12.86"/>
  </r>
  <r>
    <d v="2024-07-08T00:00:00"/>
    <x v="10"/>
    <x v="0"/>
    <s v="Shopping"/>
    <x v="1"/>
    <s v="USA"/>
    <n v="93623"/>
    <n v="6319"/>
    <n v="6.7500000000000004E-2"/>
    <n v="1.25"/>
    <n v="7898.75"/>
    <n v="83"/>
    <n v="95.17"/>
    <n v="20925.73"/>
    <n v="13026.98"/>
    <n v="1.6492457667352429"/>
    <n v="2.65"/>
  </r>
  <r>
    <d v="2024-05-12T00:00:00"/>
    <x v="8"/>
    <x v="1"/>
    <s v="Search"/>
    <x v="1"/>
    <s v="Germany"/>
    <n v="118483"/>
    <n v="8826"/>
    <n v="7.4499999999999997E-2"/>
    <n v="1.69"/>
    <n v="14915.94"/>
    <n v="570"/>
    <n v="26.17"/>
    <n v="139364.5"/>
    <n v="124448.56"/>
    <n v="8.3433266693215433"/>
    <n v="9.34"/>
  </r>
  <r>
    <d v="2024-04-30T00:00:00"/>
    <x v="5"/>
    <x v="0"/>
    <s v="Shopping"/>
    <x v="2"/>
    <s v="UAE"/>
    <n v="155018"/>
    <n v="9146"/>
    <n v="5.8999999999999997E-2"/>
    <n v="2.96"/>
    <n v="27072.16"/>
    <n v="495"/>
    <n v="54.69"/>
    <n v="33297.83"/>
    <n v="6225.6700000000019"/>
    <n v="0.2299657655687615"/>
    <n v="1.23"/>
  </r>
  <r>
    <d v="2024-11-03T00:00:00"/>
    <x v="6"/>
    <x v="0"/>
    <s v="Search"/>
    <x v="1"/>
    <s v="Canada"/>
    <n v="13614"/>
    <n v="744"/>
    <n v="5.4699999999999999E-2"/>
    <n v="2.97"/>
    <n v="2209.6799999999998"/>
    <n v="54"/>
    <n v="40.92"/>
    <n v="11111.12"/>
    <n v="8901.44"/>
    <n v="4.0283842004272117"/>
    <n v="5.03"/>
  </r>
  <r>
    <d v="2024-12-16T00:00:00"/>
    <x v="9"/>
    <x v="0"/>
    <s v="Display"/>
    <x v="3"/>
    <s v="Australia"/>
    <n v="7594"/>
    <n v="225"/>
    <n v="2.9700000000000001E-2"/>
    <n v="1.19"/>
    <n v="267.75"/>
    <n v="7"/>
    <n v="38.25"/>
    <n v="1275.1099999999999"/>
    <n v="1007.3599999999999"/>
    <n v="3.7623155929038279"/>
    <n v="4.76"/>
  </r>
  <r>
    <d v="2024-08-16T00:00:00"/>
    <x v="4"/>
    <x v="1"/>
    <s v="Search"/>
    <x v="4"/>
    <s v="Australia"/>
    <n v="161640"/>
    <n v="5916"/>
    <n v="3.6600000000000001E-2"/>
    <n v="0.46"/>
    <n v="2721.36"/>
    <n v="445"/>
    <n v="6.12"/>
    <n v="30797.18"/>
    <n v="28075.82"/>
    <n v="10.316834229943851"/>
    <n v="11.32"/>
  </r>
  <r>
    <d v="2024-12-23T00:00:00"/>
    <x v="9"/>
    <x v="0"/>
    <s v="Video"/>
    <x v="4"/>
    <s v="UAE"/>
    <n v="83845"/>
    <n v="2599"/>
    <n v="3.1E-2"/>
    <n v="2.69"/>
    <n v="6991.31"/>
    <n v="137"/>
    <n v="51.03"/>
    <n v="29891.75"/>
    <n v="22900.44"/>
    <n v="3.2755577996112315"/>
    <n v="4.28"/>
  </r>
  <r>
    <d v="2024-05-17T00:00:00"/>
    <x v="8"/>
    <x v="0"/>
    <s v="Display"/>
    <x v="2"/>
    <s v="Germany"/>
    <n v="195610"/>
    <n v="9956"/>
    <n v="5.0900000000000001E-2"/>
    <n v="2.37"/>
    <n v="23595.72"/>
    <n v="401"/>
    <n v="58.84"/>
    <n v="116291.87"/>
    <n v="92696.15"/>
    <n v="3.9285154256788939"/>
    <n v="4.93"/>
  </r>
  <r>
    <d v="2024-09-14T00:00:00"/>
    <x v="7"/>
    <x v="0"/>
    <s v="Display"/>
    <x v="2"/>
    <s v="UAE"/>
    <n v="63812"/>
    <n v="2686"/>
    <n v="4.2099999999999999E-2"/>
    <n v="2.98"/>
    <n v="8004.28"/>
    <n v="84"/>
    <n v="95.29"/>
    <n v="6979.61"/>
    <n v="-1024.67"/>
    <n v="-0.12801526183491832"/>
    <n v="0.87"/>
  </r>
  <r>
    <d v="2024-08-28T00:00:00"/>
    <x v="4"/>
    <x v="0"/>
    <s v="Video"/>
    <x v="0"/>
    <s v="UAE"/>
    <n v="33794"/>
    <n v="1030"/>
    <n v="3.0499999999999999E-2"/>
    <n v="1.75"/>
    <n v="1802.5"/>
    <n v="25"/>
    <n v="72.099999999999994"/>
    <n v="1849.39"/>
    <n v="46.8900000000001"/>
    <n v="2.6013869625520165E-2"/>
    <n v="1.03"/>
  </r>
  <r>
    <d v="2024-06-15T00:00:00"/>
    <x v="1"/>
    <x v="2"/>
    <s v="Shopping"/>
    <x v="0"/>
    <s v="India"/>
    <n v="130056"/>
    <n v="3537"/>
    <n v="2.7199999999999998E-2"/>
    <n v="0.57999999999999996"/>
    <n v="2051.46"/>
    <n v="207"/>
    <n v="9.91"/>
    <n v="27550.99"/>
    <n v="25499.530000000002"/>
    <n v="12.429942577481404"/>
    <n v="13.43"/>
  </r>
  <r>
    <d v="2024-12-29T00:00:00"/>
    <x v="9"/>
    <x v="0"/>
    <s v="Shopping"/>
    <x v="3"/>
    <s v="Canada"/>
    <n v="149438"/>
    <n v="3287"/>
    <n v="2.1999999999999999E-2"/>
    <n v="3.73"/>
    <n v="12260.51"/>
    <n v="153"/>
    <n v="80.13"/>
    <n v="8351.9500000000007"/>
    <n v="-3908.5599999999995"/>
    <n v="-0.31879261140034137"/>
    <n v="0.68"/>
  </r>
  <r>
    <d v="2024-01-17T00:00:00"/>
    <x v="0"/>
    <x v="2"/>
    <s v="Shopping"/>
    <x v="2"/>
    <s v="Canada"/>
    <n v="185750"/>
    <n v="1653"/>
    <n v="8.8999999999999999E-3"/>
    <n v="1.3"/>
    <n v="2148.9"/>
    <n v="34"/>
    <n v="63.2"/>
    <n v="2916.11"/>
    <n v="767.21"/>
    <n v="0.3570245241751594"/>
    <n v="1.36"/>
  </r>
  <r>
    <d v="2024-07-29T00:00:00"/>
    <x v="10"/>
    <x v="2"/>
    <s v="Video"/>
    <x v="3"/>
    <s v="India"/>
    <n v="24750"/>
    <n v="747"/>
    <n v="3.0200000000000001E-2"/>
    <n v="1.19"/>
    <n v="888.93"/>
    <n v="48"/>
    <n v="18.52"/>
    <n v="1738.76"/>
    <n v="849.83"/>
    <n v="0.95601453432778749"/>
    <n v="1.96"/>
  </r>
  <r>
    <d v="2024-11-16T00:00:00"/>
    <x v="6"/>
    <x v="1"/>
    <s v="Shopping"/>
    <x v="0"/>
    <s v="UK"/>
    <n v="66262"/>
    <n v="3790"/>
    <n v="5.7200000000000001E-2"/>
    <n v="1.07"/>
    <n v="4055.3"/>
    <n v="150"/>
    <n v="27.04"/>
    <n v="24443.119999999999"/>
    <n v="20387.82"/>
    <n v="5.0274504968806246"/>
    <n v="6.03"/>
  </r>
  <r>
    <d v="2024-05-09T00:00:00"/>
    <x v="8"/>
    <x v="1"/>
    <s v="Video"/>
    <x v="4"/>
    <s v="UK"/>
    <n v="126854"/>
    <n v="7243"/>
    <n v="5.7099999999999998E-2"/>
    <n v="0.81"/>
    <n v="5866.83"/>
    <n v="474"/>
    <n v="12.38"/>
    <n v="55705.279999999999"/>
    <n v="49838.45"/>
    <n v="8.4949538336716763"/>
    <n v="9.49"/>
  </r>
  <r>
    <d v="2024-09-19T00:00:00"/>
    <x v="7"/>
    <x v="2"/>
    <s v="Video"/>
    <x v="1"/>
    <s v="Canada"/>
    <n v="32559"/>
    <n v="553"/>
    <n v="1.7000000000000001E-2"/>
    <n v="0.71"/>
    <n v="392.63"/>
    <n v="6"/>
    <n v="65.44"/>
    <n v="1500.74"/>
    <n v="1108.1100000000001"/>
    <n v="2.8222754247000998"/>
    <n v="3.82"/>
  </r>
  <r>
    <d v="2024-07-27T00:00:00"/>
    <x v="10"/>
    <x v="0"/>
    <s v="Search"/>
    <x v="3"/>
    <s v="UAE"/>
    <n v="85729"/>
    <n v="1757"/>
    <n v="2.0500000000000001E-2"/>
    <n v="3.02"/>
    <n v="5306.14"/>
    <n v="90"/>
    <n v="58.96"/>
    <n v="21584.82"/>
    <n v="16278.68"/>
    <n v="3.0678949292706186"/>
    <n v="4.07"/>
  </r>
  <r>
    <d v="2024-12-08T00:00:00"/>
    <x v="9"/>
    <x v="2"/>
    <s v="Shopping"/>
    <x v="4"/>
    <s v="India"/>
    <n v="126432"/>
    <n v="1567"/>
    <n v="1.24E-2"/>
    <n v="1.65"/>
    <n v="2585.5500000000002"/>
    <n v="110"/>
    <n v="23.51"/>
    <n v="31358.68"/>
    <n v="28773.13"/>
    <n v="11.128436889636633"/>
    <n v="12.13"/>
  </r>
  <r>
    <d v="2024-03-28T00:00:00"/>
    <x v="11"/>
    <x v="2"/>
    <s v="Search"/>
    <x v="0"/>
    <s v="UK"/>
    <n v="196595"/>
    <n v="2614"/>
    <n v="1.3299999999999999E-2"/>
    <n v="0.38"/>
    <n v="993.32"/>
    <n v="28"/>
    <n v="35.479999999999997"/>
    <n v="6376.7"/>
    <n v="5383.38"/>
    <n v="5.4195828131921235"/>
    <n v="6.42"/>
  </r>
  <r>
    <d v="2024-09-24T00:00:00"/>
    <x v="7"/>
    <x v="2"/>
    <s v="Search"/>
    <x v="4"/>
    <s v="UK"/>
    <n v="14028"/>
    <n v="342"/>
    <n v="2.4400000000000002E-2"/>
    <n v="1.89"/>
    <n v="646.38"/>
    <n v="7"/>
    <n v="92.34"/>
    <n v="716.51"/>
    <n v="70.13"/>
    <n v="0.10849655001701784"/>
    <n v="1.1100000000000001"/>
  </r>
  <r>
    <d v="2024-03-21T00:00:00"/>
    <x v="11"/>
    <x v="0"/>
    <s v="Display"/>
    <x v="2"/>
    <s v="Canada"/>
    <n v="77964"/>
    <n v="2915"/>
    <n v="3.7400000000000003E-2"/>
    <n v="3.38"/>
    <n v="9852.7000000000007"/>
    <n v="161"/>
    <n v="61.2"/>
    <n v="14283"/>
    <n v="4430.2999999999993"/>
    <n v="0.44965339450099961"/>
    <n v="1.45"/>
  </r>
  <r>
    <d v="2024-04-12T00:00:00"/>
    <x v="5"/>
    <x v="0"/>
    <s v="Search"/>
    <x v="0"/>
    <s v="UK"/>
    <n v="102677"/>
    <n v="3131"/>
    <n v="3.0499999999999999E-2"/>
    <n v="3.67"/>
    <n v="11490.77"/>
    <n v="79"/>
    <n v="145.44999999999999"/>
    <n v="13056.26"/>
    <n v="1565.4899999999998"/>
    <n v="0.13623891175265015"/>
    <n v="1.1399999999999999"/>
  </r>
  <r>
    <d v="2024-12-29T00:00:00"/>
    <x v="9"/>
    <x v="0"/>
    <s v="Search"/>
    <x v="0"/>
    <s v="Germany"/>
    <n v="137737"/>
    <n v="3925"/>
    <n v="2.8500000000000001E-2"/>
    <n v="0.9"/>
    <n v="3532.5"/>
    <n v="78"/>
    <n v="45.29"/>
    <n v="11545.1"/>
    <n v="8012.6"/>
    <n v="2.2682519462137298"/>
    <n v="3.27"/>
  </r>
  <r>
    <d v="2024-05-05T00:00:00"/>
    <x v="8"/>
    <x v="0"/>
    <s v="Shopping"/>
    <x v="1"/>
    <s v="USA"/>
    <n v="93534"/>
    <n v="3544"/>
    <n v="3.7900000000000003E-2"/>
    <n v="0.95"/>
    <n v="3366.8"/>
    <n v="187"/>
    <n v="18"/>
    <n v="32280.5"/>
    <n v="28913.7"/>
    <n v="8.5878876084115472"/>
    <n v="9.59"/>
  </r>
  <r>
    <d v="2024-06-17T00:00:00"/>
    <x v="1"/>
    <x v="0"/>
    <s v="Video"/>
    <x v="0"/>
    <s v="Australia"/>
    <n v="127475"/>
    <n v="7342"/>
    <n v="5.7599999999999998E-2"/>
    <n v="2.34"/>
    <n v="17180.28"/>
    <n v="574"/>
    <n v="29.93"/>
    <n v="74747.490000000005"/>
    <n v="57567.210000000006"/>
    <n v="3.3507725136028057"/>
    <n v="4.3499999999999996"/>
  </r>
  <r>
    <d v="2024-09-09T00:00:00"/>
    <x v="7"/>
    <x v="0"/>
    <s v="Display"/>
    <x v="3"/>
    <s v="USA"/>
    <n v="82700"/>
    <n v="2679"/>
    <n v="3.2399999999999998E-2"/>
    <n v="0.86"/>
    <n v="2303.94"/>
    <n v="140"/>
    <n v="16.46"/>
    <n v="20788.45"/>
    <n v="18484.510000000002"/>
    <n v="8.022999730895771"/>
    <n v="9.02"/>
  </r>
  <r>
    <d v="2024-05-19T00:00:00"/>
    <x v="8"/>
    <x v="1"/>
    <s v="Shopping"/>
    <x v="4"/>
    <s v="UK"/>
    <n v="96432"/>
    <n v="7155"/>
    <n v="7.4200000000000002E-2"/>
    <n v="0.35"/>
    <n v="2504.25"/>
    <n v="336"/>
    <n v="7.45"/>
    <n v="47954.95"/>
    <n v="45450.7"/>
    <n v="18.149425975841069"/>
    <n v="19.149999999999999"/>
  </r>
  <r>
    <d v="2024-12-06T00:00:00"/>
    <x v="9"/>
    <x v="1"/>
    <s v="Shopping"/>
    <x v="3"/>
    <s v="USA"/>
    <n v="154656"/>
    <n v="6557"/>
    <n v="4.24E-2"/>
    <n v="0.4"/>
    <n v="2622.8"/>
    <n v="345"/>
    <n v="7.6"/>
    <n v="49646.11"/>
    <n v="47023.31"/>
    <n v="17.928667835900562"/>
    <n v="18.93"/>
  </r>
  <r>
    <d v="2024-06-22T00:00:00"/>
    <x v="1"/>
    <x v="0"/>
    <s v="Video"/>
    <x v="2"/>
    <s v="UK"/>
    <n v="115415"/>
    <n v="3866"/>
    <n v="3.3500000000000002E-2"/>
    <n v="3.29"/>
    <n v="12719.14"/>
    <n v="280"/>
    <n v="45.43"/>
    <n v="61322.57"/>
    <n v="48603.43"/>
    <n v="3.8212827282347708"/>
    <n v="4.82"/>
  </r>
  <r>
    <d v="2024-09-14T00:00:00"/>
    <x v="7"/>
    <x v="0"/>
    <s v="Search"/>
    <x v="4"/>
    <s v="Canada"/>
    <n v="157963"/>
    <n v="5607"/>
    <n v="3.5499999999999997E-2"/>
    <n v="0.88"/>
    <n v="4934.16"/>
    <n v="205"/>
    <n v="24.07"/>
    <n v="50937.22"/>
    <n v="46003.06"/>
    <n v="9.3233822981013983"/>
    <n v="10.32"/>
  </r>
  <r>
    <d v="2024-06-06T00:00:00"/>
    <x v="1"/>
    <x v="2"/>
    <s v="Video"/>
    <x v="0"/>
    <s v="Canada"/>
    <n v="133684"/>
    <n v="2018"/>
    <n v="1.5100000000000001E-2"/>
    <n v="1.72"/>
    <n v="3470.96"/>
    <n v="44"/>
    <n v="78.89"/>
    <n v="11449.27"/>
    <n v="7978.31"/>
    <n v="2.2985888630234865"/>
    <n v="3.3"/>
  </r>
  <r>
    <d v="2024-01-05T00:00:00"/>
    <x v="0"/>
    <x v="0"/>
    <s v="Shopping"/>
    <x v="2"/>
    <s v="UAE"/>
    <n v="20091"/>
    <n v="956"/>
    <n v="4.7600000000000003E-2"/>
    <n v="3.41"/>
    <n v="3259.96"/>
    <n v="36"/>
    <n v="90.55"/>
    <n v="9230.0499999999993"/>
    <n v="5970.0899999999992"/>
    <n v="1.8313384213303228"/>
    <n v="2.83"/>
  </r>
  <r>
    <d v="2024-12-19T00:00:00"/>
    <x v="9"/>
    <x v="0"/>
    <s v="Display"/>
    <x v="4"/>
    <s v="Canada"/>
    <n v="126946"/>
    <n v="6728"/>
    <n v="5.2999999999999999E-2"/>
    <n v="2.31"/>
    <n v="15541.68"/>
    <n v="132"/>
    <n v="117.74"/>
    <n v="34256.99"/>
    <n v="18715.309999999998"/>
    <n v="1.2042012189158442"/>
    <n v="2.2000000000000002"/>
  </r>
  <r>
    <d v="2024-12-30T00:00:00"/>
    <x v="9"/>
    <x v="1"/>
    <s v="Search"/>
    <x v="2"/>
    <s v="Germany"/>
    <n v="8311"/>
    <n v="476"/>
    <n v="5.7299999999999997E-2"/>
    <n v="1.61"/>
    <n v="766.36"/>
    <n v="18"/>
    <n v="42.58"/>
    <n v="1064.02"/>
    <n v="297.65999999999997"/>
    <n v="0.38840753692781455"/>
    <n v="1.39"/>
  </r>
  <r>
    <d v="2024-04-26T00:00:00"/>
    <x v="5"/>
    <x v="0"/>
    <s v="Video"/>
    <x v="2"/>
    <s v="UK"/>
    <n v="140091"/>
    <n v="7242"/>
    <n v="5.1700000000000003E-2"/>
    <n v="2.52"/>
    <n v="18249.84"/>
    <n v="347"/>
    <n v="52.59"/>
    <n v="24525.17"/>
    <n v="6275.3299999999981"/>
    <n v="0.34385671326433537"/>
    <n v="1.34"/>
  </r>
  <r>
    <d v="2024-05-16T00:00:00"/>
    <x v="8"/>
    <x v="1"/>
    <s v="Shopping"/>
    <x v="4"/>
    <s v="Canada"/>
    <n v="140121"/>
    <n v="4778"/>
    <n v="3.4099999999999998E-2"/>
    <n v="0.86"/>
    <n v="4109.08"/>
    <n v="291"/>
    <n v="14.12"/>
    <n v="84859.67"/>
    <n v="80750.59"/>
    <n v="19.651744429409987"/>
    <n v="20.65"/>
  </r>
  <r>
    <d v="2024-07-31T00:00:00"/>
    <x v="10"/>
    <x v="2"/>
    <s v="Display"/>
    <x v="0"/>
    <s v="UK"/>
    <n v="159301"/>
    <n v="6738"/>
    <n v="4.2299999999999997E-2"/>
    <n v="2.1800000000000002"/>
    <n v="14688.84"/>
    <n v="302"/>
    <n v="48.64"/>
    <n v="57570.61"/>
    <n v="42881.770000000004"/>
    <n v="2.9193435288286893"/>
    <n v="3.92"/>
  </r>
  <r>
    <d v="2024-01-16T00:00:00"/>
    <x v="0"/>
    <x v="1"/>
    <s v="Shopping"/>
    <x v="3"/>
    <s v="Germany"/>
    <n v="88940"/>
    <n v="4384"/>
    <n v="4.9299999999999997E-2"/>
    <n v="0.32"/>
    <n v="1402.88"/>
    <n v="66"/>
    <n v="21.26"/>
    <n v="10447.120000000001"/>
    <n v="9044.2400000000016"/>
    <n v="6.4469092153284677"/>
    <n v="7.45"/>
  </r>
  <r>
    <d v="2024-08-04T00:00:00"/>
    <x v="4"/>
    <x v="2"/>
    <s v="Search"/>
    <x v="0"/>
    <s v="Canada"/>
    <n v="194287"/>
    <n v="5032"/>
    <n v="2.5899999999999999E-2"/>
    <n v="0.85"/>
    <n v="4277.2"/>
    <n v="338"/>
    <n v="12.65"/>
    <n v="32920.35"/>
    <n v="28643.149999999998"/>
    <n v="6.6967057888338166"/>
    <n v="7.7"/>
  </r>
  <r>
    <d v="2024-02-08T00:00:00"/>
    <x v="2"/>
    <x v="1"/>
    <s v="Search"/>
    <x v="2"/>
    <s v="India"/>
    <n v="17911"/>
    <n v="1148"/>
    <n v="6.4100000000000004E-2"/>
    <n v="1.1499999999999999"/>
    <n v="1320.2"/>
    <n v="52"/>
    <n v="25.39"/>
    <n v="3388.21"/>
    <n v="2068.0100000000002"/>
    <n v="1.5664369034994698"/>
    <n v="2.57"/>
  </r>
  <r>
    <d v="2024-07-22T00:00:00"/>
    <x v="10"/>
    <x v="2"/>
    <s v="Display"/>
    <x v="3"/>
    <s v="UK"/>
    <n v="9909"/>
    <n v="170"/>
    <n v="1.72E-2"/>
    <n v="1.86"/>
    <n v="316.2"/>
    <n v="10"/>
    <n v="31.62"/>
    <n v="1238.47"/>
    <n v="922.27"/>
    <n v="2.9167299177735613"/>
    <n v="3.92"/>
  </r>
  <r>
    <d v="2024-01-18T00:00:00"/>
    <x v="0"/>
    <x v="1"/>
    <s v="Search"/>
    <x v="4"/>
    <s v="India"/>
    <n v="168616"/>
    <n v="6508"/>
    <n v="3.8600000000000002E-2"/>
    <n v="1.02"/>
    <n v="6638.16"/>
    <n v="508"/>
    <n v="13.07"/>
    <n v="151081.09"/>
    <n v="144442.93"/>
    <n v="21.759483049519744"/>
    <n v="22.76"/>
  </r>
  <r>
    <d v="2024-09-29T00:00:00"/>
    <x v="7"/>
    <x v="2"/>
    <s v="Shopping"/>
    <x v="2"/>
    <s v="Germany"/>
    <n v="139346"/>
    <n v="4096"/>
    <n v="2.9399999999999999E-2"/>
    <n v="0.62"/>
    <n v="2539.52"/>
    <n v="236"/>
    <n v="10.76"/>
    <n v="12521.54"/>
    <n v="9982.02"/>
    <n v="3.9306719380040325"/>
    <n v="4.93"/>
  </r>
  <r>
    <d v="2024-03-15T00:00:00"/>
    <x v="11"/>
    <x v="2"/>
    <s v="Search"/>
    <x v="0"/>
    <s v="UK"/>
    <n v="98740"/>
    <n v="1589"/>
    <n v="1.61E-2"/>
    <n v="2.09"/>
    <n v="3321.01"/>
    <n v="47"/>
    <n v="70.66"/>
    <n v="5063.3100000000004"/>
    <n v="1742.3000000000002"/>
    <n v="0.52462955546655987"/>
    <n v="1.52"/>
  </r>
  <r>
    <d v="2024-06-02T00:00:00"/>
    <x v="1"/>
    <x v="1"/>
    <s v="Video"/>
    <x v="1"/>
    <s v="India"/>
    <n v="26471"/>
    <n v="1890"/>
    <n v="7.1400000000000005E-2"/>
    <n v="0.94"/>
    <n v="1776.6"/>
    <n v="74"/>
    <n v="24.01"/>
    <n v="21647.86"/>
    <n v="19871.260000000002"/>
    <n v="11.184993808398065"/>
    <n v="12.18"/>
  </r>
  <r>
    <d v="2024-07-25T00:00:00"/>
    <x v="10"/>
    <x v="2"/>
    <s v="Display"/>
    <x v="2"/>
    <s v="USA"/>
    <n v="174048"/>
    <n v="3846"/>
    <n v="2.2100000000000002E-2"/>
    <n v="1.74"/>
    <n v="6692.04"/>
    <n v="75"/>
    <n v="89.23"/>
    <n v="18304.27"/>
    <n v="11612.23"/>
    <n v="1.7352302138062534"/>
    <n v="2.74"/>
  </r>
  <r>
    <d v="2024-04-01T00:00:00"/>
    <x v="5"/>
    <x v="2"/>
    <s v="Search"/>
    <x v="2"/>
    <s v="Australia"/>
    <n v="8877"/>
    <n v="230"/>
    <n v="2.5999999999999999E-2"/>
    <n v="0.76"/>
    <n v="174.8"/>
    <n v="9"/>
    <n v="19.420000000000002"/>
    <n v="1921.06"/>
    <n v="1746.26"/>
    <n v="9.9900457665903879"/>
    <n v="10.99"/>
  </r>
  <r>
    <d v="2024-05-13T00:00:00"/>
    <x v="8"/>
    <x v="2"/>
    <s v="Shopping"/>
    <x v="1"/>
    <s v="Germany"/>
    <n v="32488"/>
    <n v="919"/>
    <n v="2.8299999999999999E-2"/>
    <n v="1.93"/>
    <n v="1773.67"/>
    <n v="32"/>
    <n v="55.43"/>
    <n v="7341.13"/>
    <n v="5567.46"/>
    <n v="3.1389491844593413"/>
    <n v="4.1399999999999997"/>
  </r>
  <r>
    <d v="2024-11-10T00:00:00"/>
    <x v="6"/>
    <x v="0"/>
    <s v="Search"/>
    <x v="2"/>
    <s v="USA"/>
    <n v="77968"/>
    <n v="3001"/>
    <n v="3.85E-2"/>
    <n v="2.85"/>
    <n v="8552.85"/>
    <n v="193"/>
    <n v="44.32"/>
    <n v="31448.71"/>
    <n v="22895.86"/>
    <n v="2.6769860338951341"/>
    <n v="3.68"/>
  </r>
  <r>
    <d v="2024-07-31T00:00:00"/>
    <x v="10"/>
    <x v="1"/>
    <s v="Video"/>
    <x v="0"/>
    <s v="UAE"/>
    <n v="10156"/>
    <n v="474"/>
    <n v="4.6699999999999998E-2"/>
    <n v="0.31"/>
    <n v="146.94"/>
    <n v="29"/>
    <n v="5.07"/>
    <n v="1480.61"/>
    <n v="1333.6699999999998"/>
    <n v="9.0762896420307602"/>
    <n v="10.08"/>
  </r>
  <r>
    <d v="2024-03-23T00:00:00"/>
    <x v="11"/>
    <x v="2"/>
    <s v="Display"/>
    <x v="0"/>
    <s v="UK"/>
    <n v="63676"/>
    <n v="1757"/>
    <n v="2.76E-2"/>
    <n v="1.1599999999999999"/>
    <n v="2038.12"/>
    <n v="137"/>
    <n v="14.88"/>
    <n v="8830.01"/>
    <n v="6791.89"/>
    <n v="3.3324289050693778"/>
    <n v="4.33"/>
  </r>
  <r>
    <d v="2024-06-29T00:00:00"/>
    <x v="1"/>
    <x v="0"/>
    <s v="Video"/>
    <x v="1"/>
    <s v="UAE"/>
    <n v="93545"/>
    <n v="2974"/>
    <n v="3.1800000000000002E-2"/>
    <n v="1.1599999999999999"/>
    <n v="3449.84"/>
    <n v="58"/>
    <n v="59.48"/>
    <n v="4267.1099999999997"/>
    <n v="817.26999999999953"/>
    <n v="0.23690084177816928"/>
    <n v="1.24"/>
  </r>
  <r>
    <d v="2024-02-18T00:00:00"/>
    <x v="2"/>
    <x v="2"/>
    <s v="Display"/>
    <x v="1"/>
    <s v="India"/>
    <n v="8671"/>
    <n v="156"/>
    <n v="1.7999999999999999E-2"/>
    <n v="1.46"/>
    <n v="227.76"/>
    <n v="7"/>
    <n v="32.54"/>
    <n v="1461.2"/>
    <n v="1233.44"/>
    <n v="5.4155251141552512"/>
    <n v="6.42"/>
  </r>
  <r>
    <d v="2024-04-06T00:00:00"/>
    <x v="5"/>
    <x v="2"/>
    <s v="Video"/>
    <x v="0"/>
    <s v="USA"/>
    <n v="95930"/>
    <n v="1554"/>
    <n v="1.6199999999999999E-2"/>
    <n v="0.72"/>
    <n v="1118.8800000000001"/>
    <n v="62"/>
    <n v="18.05"/>
    <n v="5774.95"/>
    <n v="4656.07"/>
    <n v="4.1613667238667231"/>
    <n v="5.16"/>
  </r>
  <r>
    <d v="2024-07-23T00:00:00"/>
    <x v="10"/>
    <x v="0"/>
    <s v="Display"/>
    <x v="4"/>
    <s v="Australia"/>
    <n v="73683"/>
    <n v="3757"/>
    <n v="5.0999999999999997E-2"/>
    <n v="3.32"/>
    <n v="12473.24"/>
    <n v="131"/>
    <n v="95.22"/>
    <n v="33721.519999999997"/>
    <n v="21248.28"/>
    <n v="1.7035092726508909"/>
    <n v="2.7"/>
  </r>
  <r>
    <d v="2024-07-17T00:00:00"/>
    <x v="10"/>
    <x v="2"/>
    <s v="Shopping"/>
    <x v="3"/>
    <s v="India"/>
    <n v="152932"/>
    <n v="6591"/>
    <n v="4.3099999999999999E-2"/>
    <n v="1.25"/>
    <n v="8238.75"/>
    <n v="200"/>
    <n v="41.19"/>
    <n v="14211.23"/>
    <n v="5972.48"/>
    <n v="0.72492550447580029"/>
    <n v="1.72"/>
  </r>
  <r>
    <d v="2024-03-01T00:00:00"/>
    <x v="11"/>
    <x v="1"/>
    <s v="Shopping"/>
    <x v="3"/>
    <s v="UAE"/>
    <n v="125354"/>
    <n v="6179"/>
    <n v="4.9299999999999997E-2"/>
    <n v="0.35"/>
    <n v="2162.65"/>
    <n v="259"/>
    <n v="8.35"/>
    <n v="9238.1200000000008"/>
    <n v="7075.4700000000012"/>
    <n v="3.2716667051996398"/>
    <n v="4.2699999999999996"/>
  </r>
  <r>
    <d v="2024-09-06T00:00:00"/>
    <x v="7"/>
    <x v="0"/>
    <s v="Shopping"/>
    <x v="4"/>
    <s v="Canada"/>
    <n v="193613"/>
    <n v="9157"/>
    <n v="4.7300000000000002E-2"/>
    <n v="2.79"/>
    <n v="25548.03"/>
    <n v="458"/>
    <n v="55.78"/>
    <n v="127981.37"/>
    <n v="102433.34"/>
    <n v="4.0094418238901399"/>
    <n v="5.01"/>
  </r>
  <r>
    <d v="2024-11-25T00:00:00"/>
    <x v="6"/>
    <x v="0"/>
    <s v="Display"/>
    <x v="1"/>
    <s v="Australia"/>
    <n v="158138"/>
    <n v="2846"/>
    <n v="1.7999999999999999E-2"/>
    <n v="2.04"/>
    <n v="5805.84"/>
    <n v="143"/>
    <n v="40.6"/>
    <n v="22164.01"/>
    <n v="16358.169999999998"/>
    <n v="2.8175371694707394"/>
    <n v="3.82"/>
  </r>
  <r>
    <d v="2024-06-28T00:00:00"/>
    <x v="1"/>
    <x v="0"/>
    <s v="Video"/>
    <x v="2"/>
    <s v="UAE"/>
    <n v="134814"/>
    <n v="2804"/>
    <n v="2.0799999999999999E-2"/>
    <n v="1.91"/>
    <n v="5355.64"/>
    <n v="195"/>
    <n v="27.46"/>
    <n v="46646.16"/>
    <n v="41290.520000000004"/>
    <n v="7.7097265686267189"/>
    <n v="8.7100000000000009"/>
  </r>
  <r>
    <d v="2024-02-19T00:00:00"/>
    <x v="2"/>
    <x v="0"/>
    <s v="Search"/>
    <x v="4"/>
    <s v="Australia"/>
    <n v="102366"/>
    <n v="2589"/>
    <n v="2.53E-2"/>
    <n v="1.59"/>
    <n v="4116.51"/>
    <n v="148"/>
    <n v="27.81"/>
    <n v="35080.15"/>
    <n v="30963.64"/>
    <n v="7.5218182392366346"/>
    <n v="8.52"/>
  </r>
  <r>
    <d v="2024-05-24T00:00:00"/>
    <x v="8"/>
    <x v="2"/>
    <s v="Display"/>
    <x v="2"/>
    <s v="Canada"/>
    <n v="159044"/>
    <n v="2385"/>
    <n v="1.4999999999999999E-2"/>
    <n v="1.65"/>
    <n v="3935.25"/>
    <n v="184"/>
    <n v="21.39"/>
    <n v="35387.51"/>
    <n v="31452.260000000002"/>
    <n v="7.9924426656502137"/>
    <n v="8.99"/>
  </r>
  <r>
    <d v="2024-04-22T00:00:00"/>
    <x v="5"/>
    <x v="1"/>
    <s v="Shopping"/>
    <x v="1"/>
    <s v="USA"/>
    <n v="35932"/>
    <n v="1440"/>
    <n v="4.0099999999999997E-2"/>
    <n v="0.91"/>
    <n v="1310.4000000000001"/>
    <n v="68"/>
    <n v="19.27"/>
    <n v="16668.75"/>
    <n v="15358.35"/>
    <n v="11.720352564102564"/>
    <n v="12.72"/>
  </r>
  <r>
    <d v="2024-04-01T00:00:00"/>
    <x v="5"/>
    <x v="1"/>
    <s v="Display"/>
    <x v="1"/>
    <s v="Australia"/>
    <n v="116561"/>
    <n v="4231"/>
    <n v="3.6299999999999999E-2"/>
    <n v="1"/>
    <n v="4231"/>
    <n v="172"/>
    <n v="24.6"/>
    <n v="42291.58"/>
    <n v="38060.58"/>
    <n v="8.9956464192862207"/>
    <n v="10"/>
  </r>
  <r>
    <d v="2024-07-07T00:00:00"/>
    <x v="10"/>
    <x v="2"/>
    <s v="Shopping"/>
    <x v="0"/>
    <s v="Australia"/>
    <n v="8608"/>
    <n v="100"/>
    <n v="1.17E-2"/>
    <n v="0.57999999999999996"/>
    <n v="58"/>
    <n v="3"/>
    <n v="19.329999999999998"/>
    <n v="661.12"/>
    <n v="603.12"/>
    <n v="10.398620689655173"/>
    <n v="11.4"/>
  </r>
  <r>
    <d v="2024-08-19T00:00:00"/>
    <x v="4"/>
    <x v="2"/>
    <s v="Search"/>
    <x v="4"/>
    <s v="UAE"/>
    <n v="19284"/>
    <n v="642"/>
    <n v="3.3300000000000003E-2"/>
    <n v="1.57"/>
    <n v="1007.94"/>
    <n v="21"/>
    <n v="48"/>
    <n v="5907.29"/>
    <n v="4899.3500000000004"/>
    <n v="4.8607556005317774"/>
    <n v="5.86"/>
  </r>
  <r>
    <d v="2024-03-07T00:00:00"/>
    <x v="11"/>
    <x v="2"/>
    <s v="Display"/>
    <x v="0"/>
    <s v="India"/>
    <n v="161764"/>
    <n v="2652"/>
    <n v="1.6400000000000001E-2"/>
    <n v="0.99"/>
    <n v="2625.48"/>
    <n v="76"/>
    <n v="34.549999999999997"/>
    <n v="16956.509999999998"/>
    <n v="14331.029999999999"/>
    <n v="5.4584418849124727"/>
    <n v="6.46"/>
  </r>
  <r>
    <d v="2024-12-11T00:00:00"/>
    <x v="9"/>
    <x v="1"/>
    <s v="Video"/>
    <x v="0"/>
    <s v="Germany"/>
    <n v="116045"/>
    <n v="6660"/>
    <n v="5.74E-2"/>
    <n v="0.35"/>
    <n v="2331"/>
    <n v="467"/>
    <n v="4.99"/>
    <n v="76092.649999999994"/>
    <n v="73761.649999999994"/>
    <n v="31.643779493779491"/>
    <n v="32.64"/>
  </r>
  <r>
    <d v="2024-06-06T00:00:00"/>
    <x v="1"/>
    <x v="2"/>
    <s v="Shopping"/>
    <x v="4"/>
    <s v="UK"/>
    <n v="61395"/>
    <n v="2038"/>
    <n v="3.32E-2"/>
    <n v="2.36"/>
    <n v="4809.68"/>
    <n v="102"/>
    <n v="47.15"/>
    <n v="16290.15"/>
    <n v="11480.47"/>
    <n v="2.3869508990203085"/>
    <n v="3.39"/>
  </r>
  <r>
    <d v="2024-04-02T00:00:00"/>
    <x v="5"/>
    <x v="0"/>
    <s v="Shopping"/>
    <x v="1"/>
    <s v="UAE"/>
    <n v="119183"/>
    <n v="5041"/>
    <n v="4.2299999999999997E-2"/>
    <n v="3.38"/>
    <n v="17038.580000000002"/>
    <n v="121"/>
    <n v="140.81"/>
    <n v="25438.17"/>
    <n v="8399.5899999999965"/>
    <n v="0.49297476667656553"/>
    <n v="1.49"/>
  </r>
  <r>
    <d v="2024-10-04T00:00:00"/>
    <x v="3"/>
    <x v="2"/>
    <s v="Search"/>
    <x v="4"/>
    <s v="UAE"/>
    <n v="26747"/>
    <n v="1099"/>
    <n v="4.1099999999999998E-2"/>
    <n v="1.1399999999999999"/>
    <n v="1252.8599999999999"/>
    <n v="36"/>
    <n v="34.799999999999997"/>
    <n v="5626.79"/>
    <n v="4373.93"/>
    <n v="3.4911562345353837"/>
    <n v="4.49"/>
  </r>
  <r>
    <d v="2024-12-16T00:00:00"/>
    <x v="9"/>
    <x v="2"/>
    <s v="Display"/>
    <x v="1"/>
    <s v="Germany"/>
    <n v="157898"/>
    <n v="3094"/>
    <n v="1.9599999999999999E-2"/>
    <n v="2.39"/>
    <n v="7394.66"/>
    <n v="245"/>
    <n v="30.18"/>
    <n v="72430.36"/>
    <n v="65035.7"/>
    <n v="8.7949547376079487"/>
    <n v="9.7899999999999991"/>
  </r>
  <r>
    <d v="2024-06-27T00:00:00"/>
    <x v="1"/>
    <x v="2"/>
    <s v="Search"/>
    <x v="2"/>
    <s v="USA"/>
    <n v="49456"/>
    <n v="801"/>
    <n v="1.6199999999999999E-2"/>
    <n v="1.86"/>
    <n v="1489.86"/>
    <n v="50"/>
    <n v="29.8"/>
    <n v="4108.2"/>
    <n v="2618.34"/>
    <n v="1.7574402964036893"/>
    <n v="2.76"/>
  </r>
  <r>
    <d v="2024-02-17T00:00:00"/>
    <x v="2"/>
    <x v="0"/>
    <s v="Video"/>
    <x v="3"/>
    <s v="Canada"/>
    <n v="150213"/>
    <n v="5242"/>
    <n v="3.49E-2"/>
    <n v="3.15"/>
    <n v="16512.3"/>
    <n v="332"/>
    <n v="49.74"/>
    <n v="64497.69"/>
    <n v="47985.39"/>
    <n v="2.9060391344634002"/>
    <n v="3.91"/>
  </r>
  <r>
    <d v="2024-01-07T00:00:00"/>
    <x v="0"/>
    <x v="0"/>
    <s v="Shopping"/>
    <x v="1"/>
    <s v="USA"/>
    <n v="73305"/>
    <n v="3635"/>
    <n v="4.9599999999999998E-2"/>
    <n v="2.48"/>
    <n v="9014.7999999999993"/>
    <n v="47"/>
    <n v="191.8"/>
    <n v="2210.35"/>
    <n v="-6804.4499999999989"/>
    <n v="-0.75480875892975985"/>
    <n v="0.25"/>
  </r>
  <r>
    <d v="2024-06-22T00:00:00"/>
    <x v="1"/>
    <x v="1"/>
    <s v="Display"/>
    <x v="0"/>
    <s v="UK"/>
    <n v="187663"/>
    <n v="10790"/>
    <n v="5.7500000000000002E-2"/>
    <n v="0.69"/>
    <n v="7445.1"/>
    <n v="121"/>
    <n v="61.53"/>
    <n v="18190.79"/>
    <n v="10745.69"/>
    <n v="1.4433237968596795"/>
    <n v="2.44"/>
  </r>
  <r>
    <d v="2024-10-31T00:00:00"/>
    <x v="3"/>
    <x v="1"/>
    <s v="Display"/>
    <x v="2"/>
    <s v="USA"/>
    <n v="85066"/>
    <n v="5903"/>
    <n v="6.9400000000000003E-2"/>
    <n v="1.3"/>
    <n v="7673.9"/>
    <n v="465"/>
    <n v="16.5"/>
    <n v="85397.14"/>
    <n v="77723.240000000005"/>
    <n v="10.128258121685194"/>
    <n v="11.13"/>
  </r>
  <r>
    <d v="2024-02-05T00:00:00"/>
    <x v="2"/>
    <x v="0"/>
    <s v="Shopping"/>
    <x v="1"/>
    <s v="USA"/>
    <n v="12045"/>
    <n v="255"/>
    <n v="2.12E-2"/>
    <n v="2.02"/>
    <n v="515.1"/>
    <n v="4"/>
    <n v="128.78"/>
    <n v="161.02000000000001"/>
    <n v="-354.08000000000004"/>
    <n v="-0.68740050475635806"/>
    <n v="0.31"/>
  </r>
  <r>
    <d v="2024-05-08T00:00:00"/>
    <x v="8"/>
    <x v="0"/>
    <s v="Video"/>
    <x v="0"/>
    <s v="UAE"/>
    <n v="77796"/>
    <n v="3703"/>
    <n v="4.7600000000000003E-2"/>
    <n v="2.67"/>
    <n v="9887.01"/>
    <n v="182"/>
    <n v="54.32"/>
    <n v="43235.35"/>
    <n v="33348.339999999997"/>
    <n v="3.3729449044756703"/>
    <n v="4.37"/>
  </r>
  <r>
    <d v="2024-02-05T00:00:00"/>
    <x v="2"/>
    <x v="1"/>
    <s v="Shopping"/>
    <x v="0"/>
    <s v="UK"/>
    <n v="90443"/>
    <n v="3789"/>
    <n v="4.19E-2"/>
    <n v="0.56999999999999995"/>
    <n v="2159.73"/>
    <n v="94"/>
    <n v="22.98"/>
    <n v="16003.58"/>
    <n v="13843.85"/>
    <n v="6.4099910636977775"/>
    <n v="7.41"/>
  </r>
  <r>
    <d v="2024-03-17T00:00:00"/>
    <x v="11"/>
    <x v="2"/>
    <s v="Display"/>
    <x v="4"/>
    <s v="Canada"/>
    <n v="52838"/>
    <n v="660"/>
    <n v="1.2500000000000001E-2"/>
    <n v="1.78"/>
    <n v="1174.8"/>
    <n v="14"/>
    <n v="83.91"/>
    <n v="2258.16"/>
    <n v="1083.3599999999999"/>
    <n v="0.92216547497446366"/>
    <n v="1.92"/>
  </r>
  <r>
    <d v="2024-06-13T00:00:00"/>
    <x v="1"/>
    <x v="2"/>
    <s v="Video"/>
    <x v="4"/>
    <s v="Australia"/>
    <n v="61284"/>
    <n v="1574"/>
    <n v="2.5700000000000001E-2"/>
    <n v="1.52"/>
    <n v="2392.48"/>
    <n v="32"/>
    <n v="74.77"/>
    <n v="3680.82"/>
    <n v="1288.3400000000001"/>
    <n v="0.53849561960810544"/>
    <n v="1.54"/>
  </r>
  <r>
    <d v="2024-01-02T00:00:00"/>
    <x v="0"/>
    <x v="2"/>
    <s v="Search"/>
    <x v="2"/>
    <s v="India"/>
    <n v="163624"/>
    <n v="4368"/>
    <n v="2.6700000000000002E-2"/>
    <n v="1.28"/>
    <n v="5591.04"/>
    <n v="296"/>
    <n v="18.89"/>
    <n v="31041.33"/>
    <n v="25450.29"/>
    <n v="4.5519778073489015"/>
    <n v="5.55"/>
  </r>
  <r>
    <d v="2024-06-08T00:00:00"/>
    <x v="1"/>
    <x v="2"/>
    <s v="Display"/>
    <x v="2"/>
    <s v="UK"/>
    <n v="194674"/>
    <n v="3601"/>
    <n v="1.8499999999999999E-2"/>
    <n v="1.45"/>
    <n v="5221.45"/>
    <n v="165"/>
    <n v="31.65"/>
    <n v="8945.17"/>
    <n v="3723.7200000000003"/>
    <n v="0.71315822233287696"/>
    <n v="1.71"/>
  </r>
  <r>
    <d v="2024-09-17T00:00:00"/>
    <x v="7"/>
    <x v="2"/>
    <s v="Search"/>
    <x v="2"/>
    <s v="India"/>
    <n v="15485"/>
    <n v="196"/>
    <n v="1.2699999999999999E-2"/>
    <n v="1.54"/>
    <n v="301.83999999999997"/>
    <n v="8"/>
    <n v="37.729999999999997"/>
    <n v="362.78"/>
    <n v="60.94"/>
    <n v="0.20189504373177844"/>
    <n v="1.2"/>
  </r>
  <r>
    <d v="2024-03-17T00:00:00"/>
    <x v="11"/>
    <x v="0"/>
    <s v="Search"/>
    <x v="0"/>
    <s v="Germany"/>
    <n v="138154"/>
    <n v="9518"/>
    <n v="6.8900000000000003E-2"/>
    <n v="2.2200000000000002"/>
    <n v="21129.96"/>
    <n v="534"/>
    <n v="39.57"/>
    <n v="24562.44"/>
    <n v="3432.4799999999996"/>
    <n v="0.16244611915971444"/>
    <n v="1.1599999999999999"/>
  </r>
  <r>
    <d v="2024-05-29T00:00:00"/>
    <x v="8"/>
    <x v="1"/>
    <s v="Video"/>
    <x v="0"/>
    <s v="USA"/>
    <n v="76922"/>
    <n v="2669"/>
    <n v="3.4700000000000002E-2"/>
    <n v="1.32"/>
    <n v="3523.08"/>
    <n v="110"/>
    <n v="32.03"/>
    <n v="12940.72"/>
    <n v="9417.64"/>
    <n v="2.6731269230332551"/>
    <n v="3.67"/>
  </r>
  <r>
    <d v="2024-08-12T00:00:00"/>
    <x v="4"/>
    <x v="0"/>
    <s v="Shopping"/>
    <x v="1"/>
    <s v="Germany"/>
    <n v="13947"/>
    <n v="718"/>
    <n v="5.1499999999999997E-2"/>
    <n v="1.56"/>
    <n v="1120.08"/>
    <n v="44"/>
    <n v="25.46"/>
    <n v="11863.61"/>
    <n v="10743.53"/>
    <n v="9.5917523748303708"/>
    <n v="10.59"/>
  </r>
  <r>
    <d v="2024-11-08T00:00:00"/>
    <x v="6"/>
    <x v="0"/>
    <s v="Display"/>
    <x v="1"/>
    <s v="Germany"/>
    <n v="199164"/>
    <n v="6671"/>
    <n v="3.3500000000000002E-2"/>
    <n v="3.19"/>
    <n v="21280.49"/>
    <n v="118"/>
    <n v="180.34"/>
    <n v="27461.46"/>
    <n v="6180.9699999999975"/>
    <n v="0.29045242849201297"/>
    <n v="1.29"/>
  </r>
  <r>
    <d v="2024-09-21T00:00:00"/>
    <x v="7"/>
    <x v="2"/>
    <s v="Shopping"/>
    <x v="4"/>
    <s v="Canada"/>
    <n v="138018"/>
    <n v="1683"/>
    <n v="1.2200000000000001E-2"/>
    <n v="1.03"/>
    <n v="1733.49"/>
    <n v="56"/>
    <n v="30.96"/>
    <n v="8635.5"/>
    <n v="6902.01"/>
    <n v="3.9815689735735424"/>
    <n v="4.9800000000000004"/>
  </r>
  <r>
    <d v="2024-03-03T00:00:00"/>
    <x v="11"/>
    <x v="2"/>
    <s v="Shopping"/>
    <x v="0"/>
    <s v="UAE"/>
    <n v="161408"/>
    <n v="1581"/>
    <n v="9.7999999999999997E-3"/>
    <n v="1.1100000000000001"/>
    <n v="1754.91"/>
    <n v="51"/>
    <n v="34.409999999999997"/>
    <n v="6128.54"/>
    <n v="4373.63"/>
    <n v="2.4922246724903272"/>
    <n v="3.49"/>
  </r>
  <r>
    <d v="2024-10-29T00:00:00"/>
    <x v="3"/>
    <x v="1"/>
    <s v="Shopping"/>
    <x v="4"/>
    <s v="Germany"/>
    <n v="130811"/>
    <n v="8895"/>
    <n v="6.8000000000000005E-2"/>
    <n v="0.32"/>
    <n v="2846.4"/>
    <n v="150"/>
    <n v="18.98"/>
    <n v="31192.02"/>
    <n v="28345.62"/>
    <n v="9.9584106239460368"/>
    <n v="10.96"/>
  </r>
  <r>
    <d v="2024-06-27T00:00:00"/>
    <x v="1"/>
    <x v="2"/>
    <s v="Display"/>
    <x v="1"/>
    <s v="UAE"/>
    <n v="140460"/>
    <n v="2753"/>
    <n v="1.9599999999999999E-2"/>
    <n v="0.51"/>
    <n v="1404.03"/>
    <n v="87"/>
    <n v="16.14"/>
    <n v="18763.62"/>
    <n v="17359.59"/>
    <n v="12.364116151364287"/>
    <n v="13.36"/>
  </r>
  <r>
    <d v="2024-03-21T00:00:00"/>
    <x v="11"/>
    <x v="2"/>
    <s v="Shopping"/>
    <x v="1"/>
    <s v="Canada"/>
    <n v="119731"/>
    <n v="2969"/>
    <n v="2.4799999999999999E-2"/>
    <n v="0.56000000000000005"/>
    <n v="1662.64"/>
    <n v="47"/>
    <n v="35.380000000000003"/>
    <n v="11619.48"/>
    <n v="9956.84"/>
    <n v="5.9885723908964055"/>
    <n v="6.99"/>
  </r>
  <r>
    <d v="2024-10-12T00:00:00"/>
    <x v="3"/>
    <x v="2"/>
    <s v="Search"/>
    <x v="4"/>
    <s v="USA"/>
    <n v="61437"/>
    <n v="1087"/>
    <n v="1.77E-2"/>
    <n v="2.23"/>
    <n v="2424.0100000000002"/>
    <n v="80"/>
    <n v="30.3"/>
    <n v="11780.01"/>
    <n v="9356"/>
    <n v="3.8597200506598566"/>
    <n v="4.8600000000000003"/>
  </r>
  <r>
    <d v="2024-08-29T00:00:00"/>
    <x v="4"/>
    <x v="0"/>
    <s v="Search"/>
    <x v="4"/>
    <s v="UAE"/>
    <n v="37827"/>
    <n v="2072"/>
    <n v="5.4800000000000001E-2"/>
    <n v="0.81"/>
    <n v="1678.32"/>
    <n v="133"/>
    <n v="12.62"/>
    <n v="19268.21"/>
    <n v="17589.89"/>
    <n v="10.480653272319939"/>
    <n v="11.48"/>
  </r>
  <r>
    <d v="2024-06-24T00:00:00"/>
    <x v="1"/>
    <x v="0"/>
    <s v="Display"/>
    <x v="3"/>
    <s v="Germany"/>
    <n v="180848"/>
    <n v="5515"/>
    <n v="3.0499999999999999E-2"/>
    <n v="3.32"/>
    <n v="18309.8"/>
    <n v="362"/>
    <n v="50.58"/>
    <n v="84316.14"/>
    <n v="66006.34"/>
    <n v="3.6049732929906391"/>
    <n v="4.5999999999999996"/>
  </r>
  <r>
    <d v="2024-02-19T00:00:00"/>
    <x v="2"/>
    <x v="0"/>
    <s v="Video"/>
    <x v="0"/>
    <s v="UAE"/>
    <n v="30545"/>
    <n v="1728"/>
    <n v="5.6599999999999998E-2"/>
    <n v="1.73"/>
    <n v="2989.44"/>
    <n v="51"/>
    <n v="58.62"/>
    <n v="3408.09"/>
    <n v="418.65000000000009"/>
    <n v="0.14004295118818244"/>
    <n v="1.1399999999999999"/>
  </r>
  <r>
    <d v="2024-07-26T00:00:00"/>
    <x v="10"/>
    <x v="1"/>
    <s v="Shopping"/>
    <x v="0"/>
    <s v="UAE"/>
    <n v="21643"/>
    <n v="1142"/>
    <n v="5.28E-2"/>
    <n v="1.03"/>
    <n v="1176.26"/>
    <n v="81"/>
    <n v="14.52"/>
    <n v="18823.45"/>
    <n v="17647.190000000002"/>
    <n v="15.00279700066312"/>
    <n v="16"/>
  </r>
  <r>
    <d v="2024-02-06T00:00:00"/>
    <x v="2"/>
    <x v="2"/>
    <s v="Display"/>
    <x v="2"/>
    <s v="UK"/>
    <n v="58164"/>
    <n v="936"/>
    <n v="1.61E-2"/>
    <n v="0.88"/>
    <n v="823.68"/>
    <n v="13"/>
    <n v="63.36"/>
    <n v="1791.65"/>
    <n v="967.97000000000014"/>
    <n v="1.1751772533022535"/>
    <n v="2.1800000000000002"/>
  </r>
  <r>
    <d v="2024-04-09T00:00:00"/>
    <x v="5"/>
    <x v="2"/>
    <s v="Shopping"/>
    <x v="0"/>
    <s v="UAE"/>
    <n v="69102"/>
    <n v="1354"/>
    <n v="1.9599999999999999E-2"/>
    <n v="1.61"/>
    <n v="2179.94"/>
    <n v="89"/>
    <n v="24.49"/>
    <n v="14410.72"/>
    <n v="12230.779999999999"/>
    <n v="5.6106039615769232"/>
    <n v="6.61"/>
  </r>
  <r>
    <d v="2024-08-01T00:00:00"/>
    <x v="4"/>
    <x v="1"/>
    <s v="Shopping"/>
    <x v="0"/>
    <s v="UK"/>
    <n v="164852"/>
    <n v="6445"/>
    <n v="3.9100000000000003E-2"/>
    <n v="1.64"/>
    <n v="10569.8"/>
    <n v="471"/>
    <n v="22.44"/>
    <n v="43233.91"/>
    <n v="32664.110000000004"/>
    <n v="3.0903243202331176"/>
    <n v="4.09"/>
  </r>
  <r>
    <d v="2024-10-24T00:00:00"/>
    <x v="3"/>
    <x v="0"/>
    <s v="Shopping"/>
    <x v="0"/>
    <s v="India"/>
    <n v="149064"/>
    <n v="5724"/>
    <n v="3.8399999999999997E-2"/>
    <n v="1.32"/>
    <n v="7555.68"/>
    <n v="369"/>
    <n v="20.48"/>
    <n v="107029.4"/>
    <n v="99473.72"/>
    <n v="13.16542256951062"/>
    <n v="14.17"/>
  </r>
  <r>
    <d v="2024-07-06T00:00:00"/>
    <x v="10"/>
    <x v="2"/>
    <s v="Shopping"/>
    <x v="4"/>
    <s v="UK"/>
    <n v="80888"/>
    <n v="2070"/>
    <n v="2.5600000000000001E-2"/>
    <n v="0.74"/>
    <n v="1531.8"/>
    <n v="71"/>
    <n v="21.57"/>
    <n v="19601.22"/>
    <n v="18069.420000000002"/>
    <n v="11.796200548374463"/>
    <n v="12.8"/>
  </r>
  <r>
    <d v="2024-12-16T00:00:00"/>
    <x v="9"/>
    <x v="2"/>
    <s v="Display"/>
    <x v="3"/>
    <s v="USA"/>
    <n v="21471"/>
    <n v="753"/>
    <n v="3.5099999999999999E-2"/>
    <n v="1.79"/>
    <n v="1347.87"/>
    <n v="28"/>
    <n v="48.14"/>
    <n v="7559"/>
    <n v="6211.13"/>
    <n v="4.6081076068166817"/>
    <n v="5.61"/>
  </r>
  <r>
    <d v="2024-05-05T00:00:00"/>
    <x v="8"/>
    <x v="2"/>
    <s v="Shopping"/>
    <x v="2"/>
    <s v="India"/>
    <n v="160182"/>
    <n v="4901"/>
    <n v="3.0599999999999999E-2"/>
    <n v="1.02"/>
    <n v="4999.0200000000004"/>
    <n v="88"/>
    <n v="56.81"/>
    <n v="22338.67"/>
    <n v="17339.649999999998"/>
    <n v="3.4686098475301153"/>
    <n v="4.47"/>
  </r>
  <r>
    <d v="2024-04-01T00:00:00"/>
    <x v="5"/>
    <x v="1"/>
    <s v="Display"/>
    <x v="1"/>
    <s v="Canada"/>
    <n v="30226"/>
    <n v="1196"/>
    <n v="3.9600000000000003E-2"/>
    <n v="1.46"/>
    <n v="1746.16"/>
    <n v="12"/>
    <n v="145.51"/>
    <n v="2625.21"/>
    <n v="879.05"/>
    <n v="0.50341893068218257"/>
    <n v="1.5"/>
  </r>
  <r>
    <d v="2024-07-12T00:00:00"/>
    <x v="10"/>
    <x v="0"/>
    <s v="Search"/>
    <x v="3"/>
    <s v="Australia"/>
    <n v="146677"/>
    <n v="7597"/>
    <n v="5.1799999999999999E-2"/>
    <n v="1.42"/>
    <n v="10787.74"/>
    <n v="186"/>
    <n v="58"/>
    <n v="35941.14"/>
    <n v="25153.4"/>
    <n v="2.3316653905266538"/>
    <n v="3.33"/>
  </r>
  <r>
    <d v="2024-06-24T00:00:00"/>
    <x v="1"/>
    <x v="2"/>
    <s v="Shopping"/>
    <x v="2"/>
    <s v="UAE"/>
    <n v="74859"/>
    <n v="1661"/>
    <n v="2.2200000000000001E-2"/>
    <n v="1.35"/>
    <n v="2242.35"/>
    <n v="101"/>
    <n v="22.2"/>
    <n v="6046.11"/>
    <n v="3803.7599999999998"/>
    <n v="1.6963275135460565"/>
    <n v="2.7"/>
  </r>
  <r>
    <d v="2024-05-02T00:00:00"/>
    <x v="8"/>
    <x v="0"/>
    <s v="Display"/>
    <x v="3"/>
    <s v="Australia"/>
    <n v="127232"/>
    <n v="3867"/>
    <n v="3.04E-2"/>
    <n v="2.95"/>
    <n v="11407.65"/>
    <n v="177"/>
    <n v="64.45"/>
    <n v="6676.28"/>
    <n v="-4731.37"/>
    <n v="-0.4147541342870793"/>
    <n v="0.59"/>
  </r>
  <r>
    <d v="2024-12-21T00:00:00"/>
    <x v="9"/>
    <x v="0"/>
    <s v="Video"/>
    <x v="3"/>
    <s v="UK"/>
    <n v="83243"/>
    <n v="2821"/>
    <n v="3.39E-2"/>
    <n v="3.03"/>
    <n v="8547.6299999999992"/>
    <n v="181"/>
    <n v="47.22"/>
    <n v="43894.09"/>
    <n v="35346.46"/>
    <n v="4.135235147052458"/>
    <n v="5.14"/>
  </r>
  <r>
    <d v="2024-05-20T00:00:00"/>
    <x v="8"/>
    <x v="2"/>
    <s v="Shopping"/>
    <x v="1"/>
    <s v="UAE"/>
    <n v="85846"/>
    <n v="2274"/>
    <n v="2.6499999999999999E-2"/>
    <n v="0.43"/>
    <n v="977.82"/>
    <n v="113"/>
    <n v="8.65"/>
    <n v="8382.57"/>
    <n v="7404.75"/>
    <n v="7.5727127692213285"/>
    <n v="8.57"/>
  </r>
  <r>
    <d v="2024-02-03T00:00:00"/>
    <x v="2"/>
    <x v="1"/>
    <s v="Display"/>
    <x v="2"/>
    <s v="USA"/>
    <n v="150227"/>
    <n v="8683"/>
    <n v="5.7799999999999997E-2"/>
    <n v="1.7"/>
    <n v="14761.1"/>
    <n v="315"/>
    <n v="46.86"/>
    <n v="86296.01"/>
    <n v="71534.909999999989"/>
    <n v="4.8461774528998509"/>
    <n v="5.85"/>
  </r>
  <r>
    <d v="2024-07-30T00:00:00"/>
    <x v="10"/>
    <x v="0"/>
    <s v="Display"/>
    <x v="2"/>
    <s v="Canada"/>
    <n v="50411"/>
    <n v="1320"/>
    <n v="2.6200000000000001E-2"/>
    <n v="2.68"/>
    <n v="3537.6"/>
    <n v="49"/>
    <n v="72.2"/>
    <n v="12873.07"/>
    <n v="9335.4699999999993"/>
    <n v="2.6389275214834913"/>
    <n v="3.64"/>
  </r>
  <r>
    <d v="2024-01-17T00:00:00"/>
    <x v="0"/>
    <x v="0"/>
    <s v="Shopping"/>
    <x v="0"/>
    <s v="UK"/>
    <n v="100552"/>
    <n v="3861"/>
    <n v="3.8399999999999997E-2"/>
    <n v="1.91"/>
    <n v="7374.51"/>
    <n v="57"/>
    <n v="129.38"/>
    <n v="14567.86"/>
    <n v="7193.35"/>
    <n v="0.9754343000416299"/>
    <n v="1.98"/>
  </r>
  <r>
    <d v="2024-07-02T00:00:00"/>
    <x v="10"/>
    <x v="0"/>
    <s v="Display"/>
    <x v="0"/>
    <s v="UAE"/>
    <n v="32428"/>
    <n v="603"/>
    <n v="1.8599999999999998E-2"/>
    <n v="1.61"/>
    <n v="970.83"/>
    <n v="47"/>
    <n v="20.66"/>
    <n v="11645.06"/>
    <n v="10674.23"/>
    <n v="10.994952772370032"/>
    <n v="11.99"/>
  </r>
  <r>
    <d v="2024-11-13T00:00:00"/>
    <x v="6"/>
    <x v="0"/>
    <s v="Search"/>
    <x v="2"/>
    <s v="USA"/>
    <n v="84517"/>
    <n v="1664"/>
    <n v="1.9699999999999999E-2"/>
    <n v="2.4"/>
    <n v="3993.6"/>
    <n v="91"/>
    <n v="43.89"/>
    <n v="21828"/>
    <n v="17834.400000000001"/>
    <n v="4.4657451923076925"/>
    <n v="5.47"/>
  </r>
  <r>
    <d v="2024-03-21T00:00:00"/>
    <x v="11"/>
    <x v="2"/>
    <s v="Shopping"/>
    <x v="1"/>
    <s v="Germany"/>
    <n v="160091"/>
    <n v="4210"/>
    <n v="2.63E-2"/>
    <n v="1.07"/>
    <n v="4504.7"/>
    <n v="322"/>
    <n v="13.99"/>
    <n v="62914.38"/>
    <n v="58409.68"/>
    <n v="12.966386218838103"/>
    <n v="13.97"/>
  </r>
  <r>
    <d v="2024-06-23T00:00:00"/>
    <x v="1"/>
    <x v="0"/>
    <s v="Search"/>
    <x v="1"/>
    <s v="UK"/>
    <n v="158778"/>
    <n v="7256"/>
    <n v="4.5699999999999998E-2"/>
    <n v="1.5"/>
    <n v="10884"/>
    <n v="431"/>
    <n v="25.25"/>
    <n v="17905.23"/>
    <n v="7021.23"/>
    <n v="0.64509647188533625"/>
    <n v="1.65"/>
  </r>
  <r>
    <d v="2024-04-16T00:00:00"/>
    <x v="5"/>
    <x v="0"/>
    <s v="Search"/>
    <x v="2"/>
    <s v="Germany"/>
    <n v="145284"/>
    <n v="8121"/>
    <n v="5.5899999999999998E-2"/>
    <n v="2.66"/>
    <n v="21601.86"/>
    <n v="503"/>
    <n v="42.95"/>
    <n v="135453.16"/>
    <n v="113851.3"/>
    <n v="5.2704396751020512"/>
    <n v="6.27"/>
  </r>
  <r>
    <d v="2024-02-04T00:00:00"/>
    <x v="2"/>
    <x v="2"/>
    <s v="Shopping"/>
    <x v="4"/>
    <s v="Germany"/>
    <n v="82665"/>
    <n v="2521"/>
    <n v="3.0499999999999999E-2"/>
    <n v="0.64"/>
    <n v="1613.44"/>
    <n v="182"/>
    <n v="8.8699999999999992"/>
    <n v="48413.75"/>
    <n v="46800.31"/>
    <n v="29.00653882387941"/>
    <n v="30.01"/>
  </r>
  <r>
    <d v="2024-07-21T00:00:00"/>
    <x v="10"/>
    <x v="1"/>
    <s v="Shopping"/>
    <x v="0"/>
    <s v="UK"/>
    <n v="157973"/>
    <n v="12227"/>
    <n v="7.7399999999999997E-2"/>
    <n v="0.53"/>
    <n v="6480.31"/>
    <n v="540"/>
    <n v="12"/>
    <n v="99930.16"/>
    <n v="93449.85"/>
    <n v="14.420583274565569"/>
    <n v="15.42"/>
  </r>
  <r>
    <d v="2024-04-09T00:00:00"/>
    <x v="5"/>
    <x v="1"/>
    <s v="Display"/>
    <x v="0"/>
    <s v="India"/>
    <n v="48898"/>
    <n v="3193"/>
    <n v="6.5299999999999997E-2"/>
    <n v="0.89"/>
    <n v="2841.77"/>
    <n v="179"/>
    <n v="15.88"/>
    <n v="27594.33"/>
    <n v="24752.560000000001"/>
    <n v="8.7102615623361501"/>
    <n v="9.7100000000000009"/>
  </r>
  <r>
    <d v="2024-03-08T00:00:00"/>
    <x v="11"/>
    <x v="0"/>
    <s v="Search"/>
    <x v="3"/>
    <s v="USA"/>
    <n v="185923"/>
    <n v="7827"/>
    <n v="4.2099999999999999E-2"/>
    <n v="3.68"/>
    <n v="28803.360000000001"/>
    <n v="215"/>
    <n v="133.97"/>
    <n v="61106.18"/>
    <n v="32302.82"/>
    <n v="1.121494853378217"/>
    <n v="2.12"/>
  </r>
  <r>
    <d v="2024-08-20T00:00:00"/>
    <x v="4"/>
    <x v="1"/>
    <s v="Search"/>
    <x v="2"/>
    <s v="Canada"/>
    <n v="89688"/>
    <n v="6583"/>
    <n v="7.3400000000000007E-2"/>
    <n v="0.34"/>
    <n v="2238.2199999999998"/>
    <n v="273"/>
    <n v="8.1999999999999993"/>
    <n v="36559.47"/>
    <n v="34321.25"/>
    <n v="15.334171797231731"/>
    <n v="16.329999999999998"/>
  </r>
  <r>
    <d v="2024-08-15T00:00:00"/>
    <x v="4"/>
    <x v="1"/>
    <s v="Search"/>
    <x v="0"/>
    <s v="Canada"/>
    <n v="15273"/>
    <n v="464"/>
    <n v="3.04E-2"/>
    <n v="0.77"/>
    <n v="357.28"/>
    <n v="24"/>
    <n v="14.89"/>
    <n v="871.3"/>
    <n v="514.02"/>
    <n v="1.438703537841469"/>
    <n v="2.44"/>
  </r>
  <r>
    <d v="2024-03-10T00:00:00"/>
    <x v="11"/>
    <x v="0"/>
    <s v="Shopping"/>
    <x v="3"/>
    <s v="Australia"/>
    <n v="71107"/>
    <n v="2936"/>
    <n v="4.1300000000000003E-2"/>
    <n v="2.67"/>
    <n v="7839.12"/>
    <n v="215"/>
    <n v="36.46"/>
    <n v="26952.54"/>
    <n v="19113.420000000002"/>
    <n v="2.4382099011113496"/>
    <n v="3.44"/>
  </r>
  <r>
    <d v="2024-06-30T00:00:00"/>
    <x v="1"/>
    <x v="0"/>
    <s v="Shopping"/>
    <x v="3"/>
    <s v="UAE"/>
    <n v="79681"/>
    <n v="2916"/>
    <n v="3.6600000000000001E-2"/>
    <n v="2.34"/>
    <n v="6823.44"/>
    <n v="184"/>
    <n v="37.08"/>
    <n v="46327.26"/>
    <n v="39503.82"/>
    <n v="5.7894287925152126"/>
    <n v="6.79"/>
  </r>
  <r>
    <d v="2024-03-19T00:00:00"/>
    <x v="11"/>
    <x v="2"/>
    <s v="Video"/>
    <x v="2"/>
    <s v="UK"/>
    <n v="102148"/>
    <n v="1205"/>
    <n v="1.18E-2"/>
    <n v="1.31"/>
    <n v="1578.55"/>
    <n v="59"/>
    <n v="26.76"/>
    <n v="17697.95"/>
    <n v="16119.400000000001"/>
    <n v="10.21152323334706"/>
    <n v="11.21"/>
  </r>
  <r>
    <d v="2024-06-27T00:00:00"/>
    <x v="1"/>
    <x v="2"/>
    <s v="Search"/>
    <x v="0"/>
    <s v="UK"/>
    <n v="115540"/>
    <n v="1686"/>
    <n v="1.46E-2"/>
    <n v="1.58"/>
    <n v="2663.88"/>
    <n v="87"/>
    <n v="30.62"/>
    <n v="20354.07"/>
    <n v="17690.189999999999"/>
    <n v="6.6407608450831113"/>
    <n v="7.64"/>
  </r>
  <r>
    <d v="2024-06-13T00:00:00"/>
    <x v="1"/>
    <x v="0"/>
    <s v="Video"/>
    <x v="4"/>
    <s v="UAE"/>
    <n v="16766"/>
    <n v="846"/>
    <n v="5.0500000000000003E-2"/>
    <n v="2.46"/>
    <n v="2081.16"/>
    <n v="34"/>
    <n v="61.21"/>
    <n v="7254.65"/>
    <n v="5173.49"/>
    <n v="2.4858684579753598"/>
    <n v="3.49"/>
  </r>
  <r>
    <d v="2024-02-07T00:00:00"/>
    <x v="2"/>
    <x v="0"/>
    <s v="Display"/>
    <x v="4"/>
    <s v="Germany"/>
    <n v="96931"/>
    <n v="5844"/>
    <n v="6.0299999999999999E-2"/>
    <n v="1.1200000000000001"/>
    <n v="6545.28"/>
    <n v="297"/>
    <n v="22.04"/>
    <n v="47765.4"/>
    <n v="41220.120000000003"/>
    <n v="6.2976862716339106"/>
    <n v="7.3"/>
  </r>
  <r>
    <d v="2024-01-10T00:00:00"/>
    <x v="0"/>
    <x v="2"/>
    <s v="Search"/>
    <x v="3"/>
    <s v="UK"/>
    <n v="175574"/>
    <n v="6935"/>
    <n v="3.95E-2"/>
    <n v="0.69"/>
    <n v="4785.1499999999996"/>
    <n v="515"/>
    <n v="9.2899999999999991"/>
    <n v="69264.33"/>
    <n v="64479.18"/>
    <n v="13.474850318171844"/>
    <n v="14.47"/>
  </r>
  <r>
    <d v="2024-12-08T00:00:00"/>
    <x v="9"/>
    <x v="1"/>
    <s v="Shopping"/>
    <x v="1"/>
    <s v="Australia"/>
    <n v="175330"/>
    <n v="8766"/>
    <n v="0.05"/>
    <n v="0.73"/>
    <n v="6399.18"/>
    <n v="302"/>
    <n v="21.19"/>
    <n v="35245.68"/>
    <n v="28846.5"/>
    <n v="4.5078431924090276"/>
    <n v="5.51"/>
  </r>
  <r>
    <d v="2024-12-30T00:00:00"/>
    <x v="9"/>
    <x v="0"/>
    <s v="Shopping"/>
    <x v="4"/>
    <s v="UAE"/>
    <n v="45225"/>
    <n v="2211"/>
    <n v="4.8899999999999999E-2"/>
    <n v="0.91"/>
    <n v="2012.01"/>
    <n v="156"/>
    <n v="12.9"/>
    <n v="38495.980000000003"/>
    <n v="36483.97"/>
    <n v="18.133095759961432"/>
    <n v="19.13"/>
  </r>
  <r>
    <d v="2024-09-04T00:00:00"/>
    <x v="7"/>
    <x v="2"/>
    <s v="Shopping"/>
    <x v="0"/>
    <s v="India"/>
    <n v="79992"/>
    <n v="1055"/>
    <n v="1.32E-2"/>
    <n v="1.52"/>
    <n v="1603.6"/>
    <n v="21"/>
    <n v="76.36"/>
    <n v="4912.79"/>
    <n v="3309.19"/>
    <n v="2.0636006485407834"/>
    <n v="3.06"/>
  </r>
  <r>
    <d v="2024-09-17T00:00:00"/>
    <x v="7"/>
    <x v="2"/>
    <s v="Display"/>
    <x v="1"/>
    <s v="Australia"/>
    <n v="23113"/>
    <n v="228"/>
    <n v="9.9000000000000008E-3"/>
    <n v="0.6"/>
    <n v="136.80000000000001"/>
    <n v="17"/>
    <n v="8.0500000000000007"/>
    <n v="2097.34"/>
    <n v="1960.5400000000002"/>
    <n v="14.331432748538012"/>
    <n v="15.33"/>
  </r>
  <r>
    <d v="2024-07-31T00:00:00"/>
    <x v="10"/>
    <x v="2"/>
    <s v="Search"/>
    <x v="1"/>
    <s v="Germany"/>
    <n v="39754"/>
    <n v="1164"/>
    <n v="2.93E-2"/>
    <n v="1.35"/>
    <n v="1571.4"/>
    <n v="72"/>
    <n v="21.83"/>
    <n v="9221.61"/>
    <n v="7650.2100000000009"/>
    <n v="4.8684039709812907"/>
    <n v="5.87"/>
  </r>
  <r>
    <d v="2024-08-16T00:00:00"/>
    <x v="4"/>
    <x v="0"/>
    <s v="Shopping"/>
    <x v="3"/>
    <s v="UAE"/>
    <n v="89383"/>
    <n v="5631"/>
    <n v="6.3E-2"/>
    <n v="3.67"/>
    <n v="20665.77"/>
    <n v="163"/>
    <n v="126.78"/>
    <n v="35918.239999999998"/>
    <n v="15252.469999999998"/>
    <n v="0.73805476398895353"/>
    <n v="1.74"/>
  </r>
  <r>
    <d v="2024-02-08T00:00:00"/>
    <x v="2"/>
    <x v="1"/>
    <s v="Search"/>
    <x v="1"/>
    <s v="USA"/>
    <n v="128900"/>
    <n v="10273"/>
    <n v="7.9699999999999993E-2"/>
    <n v="0.84"/>
    <n v="8629.32"/>
    <n v="238"/>
    <n v="36.26"/>
    <n v="11417.91"/>
    <n v="2788.59"/>
    <n v="0.32315292514358029"/>
    <n v="1.32"/>
  </r>
  <r>
    <d v="2024-08-18T00:00:00"/>
    <x v="4"/>
    <x v="0"/>
    <s v="Display"/>
    <x v="1"/>
    <s v="Canada"/>
    <n v="179159"/>
    <n v="6593"/>
    <n v="3.6799999999999999E-2"/>
    <n v="2.23"/>
    <n v="14702.39"/>
    <n v="459"/>
    <n v="32.03"/>
    <n v="76527.740000000005"/>
    <n v="61825.350000000006"/>
    <n v="4.2051224324752647"/>
    <n v="5.21"/>
  </r>
  <r>
    <d v="2024-03-30T00:00:00"/>
    <x v="11"/>
    <x v="1"/>
    <s v="Display"/>
    <x v="3"/>
    <s v="India"/>
    <n v="15739"/>
    <n v="1205"/>
    <n v="7.6600000000000001E-2"/>
    <n v="0.46"/>
    <n v="554.29999999999995"/>
    <n v="60"/>
    <n v="9.24"/>
    <n v="6092.69"/>
    <n v="5538.3899999999994"/>
    <n v="9.9916832040411325"/>
    <n v="10.99"/>
  </r>
  <r>
    <d v="2024-03-20T00:00:00"/>
    <x v="11"/>
    <x v="2"/>
    <s v="Shopping"/>
    <x v="0"/>
    <s v="Australia"/>
    <n v="25243"/>
    <n v="580"/>
    <n v="2.3E-2"/>
    <n v="1.98"/>
    <n v="1148.4000000000001"/>
    <n v="13"/>
    <n v="88.34"/>
    <n v="3883.09"/>
    <n v="2734.69"/>
    <n v="2.3813044235458025"/>
    <n v="3.38"/>
  </r>
  <r>
    <d v="2024-06-07T00:00:00"/>
    <x v="1"/>
    <x v="1"/>
    <s v="Video"/>
    <x v="0"/>
    <s v="Canada"/>
    <n v="196745"/>
    <n v="13240"/>
    <n v="6.7299999999999999E-2"/>
    <n v="1.63"/>
    <n v="21581.200000000001"/>
    <n v="761"/>
    <n v="28.36"/>
    <n v="195233.42"/>
    <n v="173652.22"/>
    <n v="8.046458028283876"/>
    <n v="9.0500000000000007"/>
  </r>
  <r>
    <d v="2024-11-22T00:00:00"/>
    <x v="6"/>
    <x v="2"/>
    <s v="Search"/>
    <x v="4"/>
    <s v="Germany"/>
    <n v="23186"/>
    <n v="512"/>
    <n v="2.2100000000000002E-2"/>
    <n v="2.11"/>
    <n v="1080.32"/>
    <n v="26"/>
    <n v="41.55"/>
    <n v="2663.68"/>
    <n v="1583.36"/>
    <n v="1.4656398104265402"/>
    <n v="2.4700000000000002"/>
  </r>
  <r>
    <d v="2024-10-26T00:00:00"/>
    <x v="3"/>
    <x v="0"/>
    <s v="Shopping"/>
    <x v="3"/>
    <s v="USA"/>
    <n v="189480"/>
    <n v="6290"/>
    <n v="3.32E-2"/>
    <n v="3.55"/>
    <n v="22329.5"/>
    <n v="204"/>
    <n v="109.46"/>
    <n v="44620.04"/>
    <n v="22290.54"/>
    <n v="0.99825522291139523"/>
    <n v="2"/>
  </r>
  <r>
    <d v="2024-11-11T00:00:00"/>
    <x v="6"/>
    <x v="2"/>
    <s v="Video"/>
    <x v="0"/>
    <s v="UK"/>
    <n v="112518"/>
    <n v="1597"/>
    <n v="1.4200000000000001E-2"/>
    <n v="1.08"/>
    <n v="1724.76"/>
    <n v="105"/>
    <n v="16.43"/>
    <n v="25379.08"/>
    <n v="23654.320000000003"/>
    <n v="13.714557387694521"/>
    <n v="14.71"/>
  </r>
  <r>
    <d v="2024-08-12T00:00:00"/>
    <x v="4"/>
    <x v="0"/>
    <s v="Video"/>
    <x v="4"/>
    <s v="USA"/>
    <n v="116789"/>
    <n v="6586"/>
    <n v="5.6399999999999999E-2"/>
    <n v="2.69"/>
    <n v="17716.34"/>
    <n v="220"/>
    <n v="80.53"/>
    <n v="34309.56"/>
    <n v="16593.219999999998"/>
    <n v="0.93660541624285809"/>
    <n v="1.94"/>
  </r>
  <r>
    <d v="2024-04-26T00:00:00"/>
    <x v="5"/>
    <x v="1"/>
    <s v="Search"/>
    <x v="3"/>
    <s v="Germany"/>
    <n v="42575"/>
    <n v="2188"/>
    <n v="5.1400000000000001E-2"/>
    <n v="1.8"/>
    <n v="3938.4"/>
    <n v="63"/>
    <n v="62.51"/>
    <n v="13519.27"/>
    <n v="9580.8700000000008"/>
    <n v="2.4326807840747513"/>
    <n v="3.43"/>
  </r>
  <r>
    <d v="2024-07-23T00:00:00"/>
    <x v="10"/>
    <x v="1"/>
    <s v="Video"/>
    <x v="0"/>
    <s v="Canada"/>
    <n v="51557"/>
    <n v="2882"/>
    <n v="5.5899999999999998E-2"/>
    <n v="1.25"/>
    <n v="3602.5"/>
    <n v="135"/>
    <n v="26.69"/>
    <n v="6028.08"/>
    <n v="2425.58"/>
    <n v="0.67330464954892433"/>
    <n v="1.67"/>
  </r>
  <r>
    <d v="2024-01-06T00:00:00"/>
    <x v="0"/>
    <x v="2"/>
    <s v="Video"/>
    <x v="2"/>
    <s v="Australia"/>
    <n v="131681"/>
    <n v="1725"/>
    <n v="1.3100000000000001E-2"/>
    <n v="0.79"/>
    <n v="1362.75"/>
    <n v="108"/>
    <n v="12.62"/>
    <n v="31291.1"/>
    <n v="29928.35"/>
    <n v="21.96173179233168"/>
    <n v="22.96"/>
  </r>
  <r>
    <d v="2024-05-11T00:00:00"/>
    <x v="8"/>
    <x v="0"/>
    <s v="Search"/>
    <x v="3"/>
    <s v="Canada"/>
    <n v="89833"/>
    <n v="4536"/>
    <n v="5.0500000000000003E-2"/>
    <n v="3.74"/>
    <n v="16964.64"/>
    <n v="166"/>
    <n v="102.2"/>
    <n v="42497.440000000002"/>
    <n v="25532.800000000003"/>
    <n v="1.5050599364324857"/>
    <n v="2.5099999999999998"/>
  </r>
  <r>
    <d v="2024-12-09T00:00:00"/>
    <x v="9"/>
    <x v="2"/>
    <s v="Shopping"/>
    <x v="0"/>
    <s v="USA"/>
    <n v="116161"/>
    <n v="4379"/>
    <n v="3.7699999999999997E-2"/>
    <n v="1.77"/>
    <n v="7750.83"/>
    <n v="264"/>
    <n v="29.36"/>
    <n v="18090.29"/>
    <n v="10339.460000000001"/>
    <n v="1.3339810059051742"/>
    <n v="2.33"/>
  </r>
  <r>
    <d v="2024-01-09T00:00:00"/>
    <x v="0"/>
    <x v="0"/>
    <s v="Search"/>
    <x v="3"/>
    <s v="Australia"/>
    <n v="53544"/>
    <n v="1670"/>
    <n v="3.1199999999999999E-2"/>
    <n v="1.41"/>
    <n v="2354.6999999999998"/>
    <n v="20"/>
    <n v="117.73"/>
    <n v="4659.21"/>
    <n v="2304.5100000000002"/>
    <n v="0.97868518282583783"/>
    <n v="1.98"/>
  </r>
  <r>
    <d v="2024-12-13T00:00:00"/>
    <x v="9"/>
    <x v="2"/>
    <s v="Shopping"/>
    <x v="0"/>
    <s v="Canada"/>
    <n v="107126"/>
    <n v="3631"/>
    <n v="3.39E-2"/>
    <n v="1.08"/>
    <n v="3921.48"/>
    <n v="260"/>
    <n v="15.08"/>
    <n v="19151.86"/>
    <n v="15230.380000000001"/>
    <n v="3.8838346746636478"/>
    <n v="4.88"/>
  </r>
  <r>
    <d v="2024-10-29T00:00:00"/>
    <x v="3"/>
    <x v="0"/>
    <s v="Shopping"/>
    <x v="1"/>
    <s v="USA"/>
    <n v="182395"/>
    <n v="8517"/>
    <n v="4.6699999999999998E-2"/>
    <n v="3.45"/>
    <n v="29383.65"/>
    <n v="517"/>
    <n v="56.83"/>
    <n v="27133.78"/>
    <n v="-2249.8700000000026"/>
    <n v="-7.6568772089240192E-2"/>
    <n v="0.92"/>
  </r>
  <r>
    <d v="2024-10-15T00:00:00"/>
    <x v="3"/>
    <x v="2"/>
    <s v="Video"/>
    <x v="3"/>
    <s v="USA"/>
    <n v="39253"/>
    <n v="1122"/>
    <n v="2.86E-2"/>
    <n v="1.25"/>
    <n v="1402.5"/>
    <n v="81"/>
    <n v="17.309999999999999"/>
    <n v="15452.61"/>
    <n v="14050.11"/>
    <n v="10.017903743315509"/>
    <n v="11.02"/>
  </r>
  <r>
    <d v="2024-02-26T00:00:00"/>
    <x v="2"/>
    <x v="1"/>
    <s v="Search"/>
    <x v="4"/>
    <s v="Canada"/>
    <n v="109794"/>
    <n v="3886"/>
    <n v="3.5400000000000001E-2"/>
    <n v="1.61"/>
    <n v="6256.46"/>
    <n v="73"/>
    <n v="85.7"/>
    <n v="9808.76"/>
    <n v="3552.3"/>
    <n v="0.56778114141223635"/>
    <n v="1.57"/>
  </r>
  <r>
    <d v="2024-11-09T00:00:00"/>
    <x v="6"/>
    <x v="0"/>
    <s v="Video"/>
    <x v="4"/>
    <s v="UAE"/>
    <n v="27612"/>
    <n v="963"/>
    <n v="3.49E-2"/>
    <n v="3.3"/>
    <n v="3177.9"/>
    <n v="75"/>
    <n v="42.37"/>
    <n v="12575.02"/>
    <n v="9397.1200000000008"/>
    <n v="2.9570219327228675"/>
    <n v="3.96"/>
  </r>
  <r>
    <d v="2024-10-13T00:00:00"/>
    <x v="3"/>
    <x v="2"/>
    <s v="Search"/>
    <x v="4"/>
    <s v="India"/>
    <n v="61994"/>
    <n v="1847"/>
    <n v="2.98E-2"/>
    <n v="0.8"/>
    <n v="1477.6"/>
    <n v="147"/>
    <n v="10.050000000000001"/>
    <n v="5622.21"/>
    <n v="4144.6100000000006"/>
    <n v="2.8049607471575535"/>
    <n v="3.8"/>
  </r>
  <r>
    <d v="2024-10-05T00:00:00"/>
    <x v="3"/>
    <x v="0"/>
    <s v="Search"/>
    <x v="4"/>
    <s v="UAE"/>
    <n v="48953"/>
    <n v="2447"/>
    <n v="0.05"/>
    <n v="1.1100000000000001"/>
    <n v="2716.17"/>
    <n v="144"/>
    <n v="18.86"/>
    <n v="17526.62"/>
    <n v="14810.449999999999"/>
    <n v="5.4526962598070075"/>
    <n v="6.45"/>
  </r>
  <r>
    <d v="2024-04-18T00:00:00"/>
    <x v="5"/>
    <x v="0"/>
    <s v="Search"/>
    <x v="4"/>
    <s v="Germany"/>
    <n v="13484"/>
    <n v="382"/>
    <n v="2.8400000000000002E-2"/>
    <n v="1.34"/>
    <n v="511.88"/>
    <n v="23"/>
    <n v="22.26"/>
    <n v="1623.76"/>
    <n v="1111.8800000000001"/>
    <n v="2.1721497225912327"/>
    <n v="3.17"/>
  </r>
  <r>
    <d v="2024-11-16T00:00:00"/>
    <x v="6"/>
    <x v="1"/>
    <s v="Display"/>
    <x v="1"/>
    <s v="UK"/>
    <n v="13255"/>
    <n v="709"/>
    <n v="5.3499999999999999E-2"/>
    <n v="1.32"/>
    <n v="935.88"/>
    <n v="37"/>
    <n v="25.29"/>
    <n v="11059.11"/>
    <n v="10123.230000000001"/>
    <n v="10.816803436337993"/>
    <n v="11.82"/>
  </r>
  <r>
    <d v="2024-11-08T00:00:00"/>
    <x v="6"/>
    <x v="2"/>
    <s v="Video"/>
    <x v="1"/>
    <s v="Australia"/>
    <n v="162889"/>
    <n v="4658"/>
    <n v="2.86E-2"/>
    <n v="1.1100000000000001"/>
    <n v="5170.38"/>
    <n v="332"/>
    <n v="15.57"/>
    <n v="57094.6"/>
    <n v="51924.22"/>
    <n v="10.042631295958904"/>
    <n v="11.04"/>
  </r>
  <r>
    <d v="2024-10-28T00:00:00"/>
    <x v="3"/>
    <x v="1"/>
    <s v="Shopping"/>
    <x v="2"/>
    <s v="UAE"/>
    <n v="21972"/>
    <n v="1915"/>
    <n v="8.72E-2"/>
    <n v="1.05"/>
    <n v="2010.75"/>
    <n v="36"/>
    <n v="55.85"/>
    <n v="2412.15"/>
    <n v="401.40000000000009"/>
    <n v="0.199627004848937"/>
    <n v="1.2"/>
  </r>
  <r>
    <d v="2024-08-20T00:00:00"/>
    <x v="4"/>
    <x v="1"/>
    <s v="Shopping"/>
    <x v="3"/>
    <s v="Canada"/>
    <n v="186136"/>
    <n v="13885"/>
    <n v="7.46E-2"/>
    <n v="0.95"/>
    <n v="13190.75"/>
    <n v="891"/>
    <n v="14.8"/>
    <n v="133397.70000000001"/>
    <n v="120206.95000000001"/>
    <n v="9.1129731061539339"/>
    <n v="10.11"/>
  </r>
  <r>
    <d v="2024-04-28T00:00:00"/>
    <x v="5"/>
    <x v="0"/>
    <s v="Display"/>
    <x v="2"/>
    <s v="UAE"/>
    <n v="135171"/>
    <n v="5231"/>
    <n v="3.8699999999999998E-2"/>
    <n v="1.78"/>
    <n v="9311.18"/>
    <n v="149"/>
    <n v="62.49"/>
    <n v="19918.919999999998"/>
    <n v="10607.739999999998"/>
    <n v="1.1392476571175725"/>
    <n v="2.14"/>
  </r>
  <r>
    <d v="2024-03-27T00:00:00"/>
    <x v="11"/>
    <x v="2"/>
    <s v="Search"/>
    <x v="0"/>
    <s v="India"/>
    <n v="176656"/>
    <n v="2897"/>
    <n v="1.6400000000000001E-2"/>
    <n v="1.87"/>
    <n v="5417.39"/>
    <n v="86"/>
    <n v="62.99"/>
    <n v="23130.95"/>
    <n v="17713.560000000001"/>
    <n v="3.2697590537140577"/>
    <n v="4.2699999999999996"/>
  </r>
  <r>
    <d v="2024-02-06T00:00:00"/>
    <x v="2"/>
    <x v="0"/>
    <s v="Display"/>
    <x v="2"/>
    <s v="USA"/>
    <n v="51678"/>
    <n v="2966"/>
    <n v="5.74E-2"/>
    <n v="2.58"/>
    <n v="7652.28"/>
    <n v="192"/>
    <n v="39.86"/>
    <n v="21240.9"/>
    <n v="13588.620000000003"/>
    <n v="1.7757609496777436"/>
    <n v="2.78"/>
  </r>
  <r>
    <d v="2024-08-11T00:00:00"/>
    <x v="4"/>
    <x v="2"/>
    <s v="Search"/>
    <x v="3"/>
    <s v="Germany"/>
    <n v="26491"/>
    <n v="423"/>
    <n v="1.6E-2"/>
    <n v="0.95"/>
    <n v="401.85"/>
    <n v="28"/>
    <n v="14.35"/>
    <n v="3219.77"/>
    <n v="2817.92"/>
    <n v="7.0123677989299491"/>
    <n v="8.01"/>
  </r>
  <r>
    <d v="2024-09-15T00:00:00"/>
    <x v="7"/>
    <x v="2"/>
    <s v="Shopping"/>
    <x v="2"/>
    <s v="UK"/>
    <n v="174862"/>
    <n v="3846"/>
    <n v="2.1999999999999999E-2"/>
    <n v="0.45"/>
    <n v="1730.7"/>
    <n v="299"/>
    <n v="5.79"/>
    <n v="67036.78"/>
    <n v="65306.080000000002"/>
    <n v="37.733911134223149"/>
    <n v="38.729999999999997"/>
  </r>
  <r>
    <d v="2024-10-13T00:00:00"/>
    <x v="3"/>
    <x v="2"/>
    <s v="Video"/>
    <x v="4"/>
    <s v="Germany"/>
    <n v="77353"/>
    <n v="1895"/>
    <n v="2.4500000000000001E-2"/>
    <n v="1.69"/>
    <n v="3202.55"/>
    <n v="73"/>
    <n v="43.87"/>
    <n v="9316.26"/>
    <n v="6113.71"/>
    <n v="1.9090131301619022"/>
    <n v="2.91"/>
  </r>
  <r>
    <d v="2024-03-17T00:00:00"/>
    <x v="11"/>
    <x v="2"/>
    <s v="Shopping"/>
    <x v="1"/>
    <s v="UAE"/>
    <n v="108726"/>
    <n v="2968"/>
    <n v="2.7300000000000001E-2"/>
    <n v="2.3199999999999998"/>
    <n v="6885.76"/>
    <n v="49"/>
    <n v="140.53"/>
    <n v="2393.62"/>
    <n v="-4492.1400000000003"/>
    <n v="-0.65238114601728792"/>
    <n v="0.35"/>
  </r>
  <r>
    <d v="2024-06-28T00:00:00"/>
    <x v="1"/>
    <x v="0"/>
    <s v="Search"/>
    <x v="0"/>
    <s v="UK"/>
    <n v="196883"/>
    <n v="10119"/>
    <n v="5.1400000000000001E-2"/>
    <n v="1.48"/>
    <n v="14976.12"/>
    <n v="636"/>
    <n v="23.55"/>
    <n v="121588.49"/>
    <n v="106612.37000000001"/>
    <n v="7.1188245019404226"/>
    <n v="8.1199999999999992"/>
  </r>
  <r>
    <d v="2024-12-23T00:00:00"/>
    <x v="9"/>
    <x v="0"/>
    <s v="Search"/>
    <x v="1"/>
    <s v="UAE"/>
    <n v="180627"/>
    <n v="8074"/>
    <n v="4.4699999999999997E-2"/>
    <n v="1.58"/>
    <n v="12756.92"/>
    <n v="266"/>
    <n v="47.96"/>
    <n v="72041.279999999999"/>
    <n v="59284.36"/>
    <n v="4.6472314633939851"/>
    <n v="5.65"/>
  </r>
  <r>
    <d v="2024-02-25T00:00:00"/>
    <x v="2"/>
    <x v="0"/>
    <s v="Video"/>
    <x v="3"/>
    <s v="India"/>
    <n v="85196"/>
    <n v="2572"/>
    <n v="3.0200000000000001E-2"/>
    <n v="2.29"/>
    <n v="5889.88"/>
    <n v="34"/>
    <n v="173.23"/>
    <n v="8900.58"/>
    <n v="3010.7"/>
    <n v="0.511164913376843"/>
    <n v="1.51"/>
  </r>
  <r>
    <d v="2024-03-18T00:00:00"/>
    <x v="11"/>
    <x v="0"/>
    <s v="Video"/>
    <x v="4"/>
    <s v="Australia"/>
    <n v="74098"/>
    <n v="1911"/>
    <n v="2.58E-2"/>
    <n v="2.85"/>
    <n v="5446.35"/>
    <n v="91"/>
    <n v="59.85"/>
    <n v="9234.9599999999991"/>
    <n v="3788.6099999999988"/>
    <n v="0.69562367457104268"/>
    <n v="1.7"/>
  </r>
  <r>
    <d v="2024-01-07T00:00:00"/>
    <x v="0"/>
    <x v="1"/>
    <s v="Search"/>
    <x v="2"/>
    <s v="UK"/>
    <n v="166711"/>
    <n v="13670"/>
    <n v="8.2000000000000003E-2"/>
    <n v="1.5"/>
    <n v="20505"/>
    <n v="592"/>
    <n v="34.64"/>
    <n v="43676.76"/>
    <n v="23171.760000000002"/>
    <n v="1.130054133138259"/>
    <n v="2.13"/>
  </r>
  <r>
    <d v="2024-09-18T00:00:00"/>
    <x v="7"/>
    <x v="0"/>
    <s v="Video"/>
    <x v="2"/>
    <s v="UAE"/>
    <n v="141501"/>
    <n v="6452"/>
    <n v="4.5600000000000002E-2"/>
    <n v="2.97"/>
    <n v="19162.439999999999"/>
    <n v="193"/>
    <n v="99.29"/>
    <n v="47970.13"/>
    <n v="28807.69"/>
    <n v="1.5033414325106824"/>
    <n v="2.5"/>
  </r>
  <r>
    <d v="2024-03-30T00:00:00"/>
    <x v="11"/>
    <x v="0"/>
    <s v="Video"/>
    <x v="0"/>
    <s v="UAE"/>
    <n v="81303"/>
    <n v="4154"/>
    <n v="5.11E-2"/>
    <n v="1.95"/>
    <n v="8100.3"/>
    <n v="121"/>
    <n v="66.94"/>
    <n v="35667.19"/>
    <n v="27566.890000000003"/>
    <n v="3.4031937088749804"/>
    <n v="4.4000000000000004"/>
  </r>
  <r>
    <d v="2024-01-13T00:00:00"/>
    <x v="0"/>
    <x v="1"/>
    <s v="Shopping"/>
    <x v="3"/>
    <s v="India"/>
    <n v="83871"/>
    <n v="6382"/>
    <n v="7.6100000000000001E-2"/>
    <n v="1.05"/>
    <n v="6701.1"/>
    <n v="196"/>
    <n v="34.19"/>
    <n v="31406.57"/>
    <n v="24705.47"/>
    <n v="3.6867782901314707"/>
    <n v="4.6900000000000004"/>
  </r>
  <r>
    <d v="2024-11-05T00:00:00"/>
    <x v="6"/>
    <x v="2"/>
    <s v="Video"/>
    <x v="2"/>
    <s v="Germany"/>
    <n v="178013"/>
    <n v="1886"/>
    <n v="1.06E-2"/>
    <n v="1.1399999999999999"/>
    <n v="2150.04"/>
    <n v="83"/>
    <n v="25.9"/>
    <n v="22320.49"/>
    <n v="20170.45"/>
    <n v="9.3814301129281326"/>
    <n v="10.38"/>
  </r>
  <r>
    <d v="2024-09-10T00:00:00"/>
    <x v="7"/>
    <x v="2"/>
    <s v="Search"/>
    <x v="1"/>
    <s v="India"/>
    <n v="160341"/>
    <n v="2228"/>
    <n v="1.3899999999999999E-2"/>
    <n v="0.86"/>
    <n v="1916.08"/>
    <n v="70"/>
    <n v="27.37"/>
    <n v="6302.54"/>
    <n v="4386.46"/>
    <n v="2.2892885474510458"/>
    <n v="3.29"/>
  </r>
  <r>
    <d v="2024-06-15T00:00:00"/>
    <x v="1"/>
    <x v="0"/>
    <s v="Shopping"/>
    <x v="4"/>
    <s v="USA"/>
    <n v="138135"/>
    <n v="7721"/>
    <n v="5.5899999999999998E-2"/>
    <n v="1.66"/>
    <n v="12816.86"/>
    <n v="112"/>
    <n v="114.44"/>
    <n v="4652.6000000000004"/>
    <n v="-8164.26"/>
    <n v="-0.63699377226559395"/>
    <n v="0.36"/>
  </r>
  <r>
    <d v="2024-10-09T00:00:00"/>
    <x v="3"/>
    <x v="2"/>
    <s v="Display"/>
    <x v="4"/>
    <s v="Germany"/>
    <n v="72500"/>
    <n v="1341"/>
    <n v="1.8499999999999999E-2"/>
    <n v="1.55"/>
    <n v="2078.5500000000002"/>
    <n v="30"/>
    <n v="69.290000000000006"/>
    <n v="5770.13"/>
    <n v="3691.58"/>
    <n v="1.776036179067138"/>
    <n v="2.78"/>
  </r>
  <r>
    <d v="2024-01-28T00:00:00"/>
    <x v="0"/>
    <x v="1"/>
    <s v="Display"/>
    <x v="2"/>
    <s v="India"/>
    <n v="104626"/>
    <n v="9144"/>
    <n v="8.7400000000000005E-2"/>
    <n v="1.1000000000000001"/>
    <n v="10058.4"/>
    <n v="389"/>
    <n v="25.86"/>
    <n v="83739.39"/>
    <n v="73680.990000000005"/>
    <n v="7.3253191362443335"/>
    <n v="8.33"/>
  </r>
  <r>
    <d v="2024-11-04T00:00:00"/>
    <x v="6"/>
    <x v="0"/>
    <s v="Shopping"/>
    <x v="0"/>
    <s v="India"/>
    <n v="70107"/>
    <n v="4045"/>
    <n v="5.7700000000000001E-2"/>
    <n v="2.72"/>
    <n v="11002.4"/>
    <n v="203"/>
    <n v="54.2"/>
    <n v="22267.98"/>
    <n v="11265.58"/>
    <n v="1.0239202355849633"/>
    <n v="2.02"/>
  </r>
  <r>
    <d v="2024-02-22T00:00:00"/>
    <x v="2"/>
    <x v="2"/>
    <s v="Search"/>
    <x v="1"/>
    <s v="USA"/>
    <n v="63952"/>
    <n v="1451"/>
    <n v="2.2700000000000001E-2"/>
    <n v="2.2400000000000002"/>
    <n v="3250.24"/>
    <n v="86"/>
    <n v="37.79"/>
    <n v="25126.44"/>
    <n v="21876.199999999997"/>
    <n v="6.7306414295559707"/>
    <n v="7.73"/>
  </r>
  <r>
    <d v="2024-04-05T00:00:00"/>
    <x v="5"/>
    <x v="2"/>
    <s v="Shopping"/>
    <x v="4"/>
    <s v="UK"/>
    <n v="43148"/>
    <n v="979"/>
    <n v="2.2700000000000001E-2"/>
    <n v="1.1100000000000001"/>
    <n v="1086.69"/>
    <n v="71"/>
    <n v="15.31"/>
    <n v="7719.69"/>
    <n v="6633"/>
    <n v="6.1038566656544182"/>
    <n v="7.1"/>
  </r>
  <r>
    <d v="2024-03-06T00:00:00"/>
    <x v="11"/>
    <x v="0"/>
    <s v="Shopping"/>
    <x v="3"/>
    <s v="UAE"/>
    <n v="193326"/>
    <n v="12334"/>
    <n v="6.3799999999999996E-2"/>
    <n v="1.28"/>
    <n v="15787.52"/>
    <n v="715"/>
    <n v="22.08"/>
    <n v="196162.94"/>
    <n v="180375.42"/>
    <n v="11.425190276876926"/>
    <n v="12.43"/>
  </r>
  <r>
    <d v="2024-01-22T00:00:00"/>
    <x v="0"/>
    <x v="2"/>
    <s v="Search"/>
    <x v="0"/>
    <s v="USA"/>
    <n v="80507"/>
    <n v="2318"/>
    <n v="2.8799999999999999E-2"/>
    <n v="0.71"/>
    <n v="1645.78"/>
    <n v="119"/>
    <n v="13.83"/>
    <n v="23887.119999999999"/>
    <n v="22241.34"/>
    <n v="13.514163496943699"/>
    <n v="14.51"/>
  </r>
  <r>
    <d v="2024-01-27T00:00:00"/>
    <x v="0"/>
    <x v="2"/>
    <s v="Search"/>
    <x v="0"/>
    <s v="Canada"/>
    <n v="128556"/>
    <n v="4910"/>
    <n v="3.8199999999999998E-2"/>
    <n v="0.88"/>
    <n v="4320.8"/>
    <n v="55"/>
    <n v="78.56"/>
    <n v="10684.27"/>
    <n v="6363.47"/>
    <n v="1.4727527309757453"/>
    <n v="2.4700000000000002"/>
  </r>
  <r>
    <d v="2024-08-10T00:00:00"/>
    <x v="4"/>
    <x v="2"/>
    <s v="Search"/>
    <x v="2"/>
    <s v="UK"/>
    <n v="29055"/>
    <n v="912"/>
    <n v="3.1399999999999997E-2"/>
    <n v="1.47"/>
    <n v="1340.64"/>
    <n v="41"/>
    <n v="32.700000000000003"/>
    <n v="6404.23"/>
    <n v="5063.5899999999992"/>
    <n v="3.776994569757727"/>
    <n v="4.78"/>
  </r>
  <r>
    <d v="2024-04-03T00:00:00"/>
    <x v="5"/>
    <x v="2"/>
    <s v="Video"/>
    <x v="3"/>
    <s v="UAE"/>
    <n v="172517"/>
    <n v="3191"/>
    <n v="1.8499999999999999E-2"/>
    <n v="1.81"/>
    <n v="5775.71"/>
    <n v="96"/>
    <n v="60.16"/>
    <n v="13225.69"/>
    <n v="7449.9800000000005"/>
    <n v="1.2898812440375296"/>
    <n v="2.29"/>
  </r>
  <r>
    <d v="2024-01-18T00:00:00"/>
    <x v="0"/>
    <x v="2"/>
    <s v="Video"/>
    <x v="0"/>
    <s v="Canada"/>
    <n v="84712"/>
    <n v="1473"/>
    <n v="1.7399999999999999E-2"/>
    <n v="2.27"/>
    <n v="3343.71"/>
    <n v="74"/>
    <n v="45.19"/>
    <n v="3310.43"/>
    <n v="-33.2800000000002"/>
    <n v="-9.9530162603814927E-3"/>
    <n v="0.99"/>
  </r>
  <r>
    <d v="2024-12-02T00:00:00"/>
    <x v="9"/>
    <x v="0"/>
    <s v="Video"/>
    <x v="0"/>
    <s v="India"/>
    <n v="115760"/>
    <n v="2558"/>
    <n v="2.2100000000000002E-2"/>
    <n v="3.19"/>
    <n v="8160.02"/>
    <n v="164"/>
    <n v="49.76"/>
    <n v="37092.550000000003"/>
    <n v="28932.530000000002"/>
    <n v="3.5456444959693729"/>
    <n v="4.55"/>
  </r>
  <r>
    <d v="2024-04-16T00:00:00"/>
    <x v="5"/>
    <x v="0"/>
    <s v="Search"/>
    <x v="0"/>
    <s v="Germany"/>
    <n v="187831"/>
    <n v="7306"/>
    <n v="3.8899999999999997E-2"/>
    <n v="1.37"/>
    <n v="10009.219999999999"/>
    <n v="321"/>
    <n v="31.18"/>
    <n v="91963.37"/>
    <n v="81954.149999999994"/>
    <n v="8.1878657877437"/>
    <n v="9.19"/>
  </r>
  <r>
    <d v="2024-01-18T00:00:00"/>
    <x v="0"/>
    <x v="2"/>
    <s v="Video"/>
    <x v="0"/>
    <s v="UK"/>
    <n v="72278"/>
    <n v="2421"/>
    <n v="3.3500000000000002E-2"/>
    <n v="1.29"/>
    <n v="3123.09"/>
    <n v="26"/>
    <n v="120.12"/>
    <n v="5625.44"/>
    <n v="2502.3499999999995"/>
    <n v="0.80124171893861507"/>
    <n v="1.8"/>
  </r>
  <r>
    <d v="2024-10-21T00:00:00"/>
    <x v="3"/>
    <x v="0"/>
    <s v="Search"/>
    <x v="1"/>
    <s v="USA"/>
    <n v="121107"/>
    <n v="3148"/>
    <n v="2.5999999999999999E-2"/>
    <n v="2.39"/>
    <n v="7523.72"/>
    <n v="243"/>
    <n v="30.96"/>
    <n v="33241.31"/>
    <n v="25717.589999999997"/>
    <n v="3.4182013684719785"/>
    <n v="4.42"/>
  </r>
  <r>
    <d v="2024-08-19T00:00:00"/>
    <x v="4"/>
    <x v="0"/>
    <s v="Shopping"/>
    <x v="0"/>
    <s v="India"/>
    <n v="112930"/>
    <n v="2427"/>
    <n v="2.1499999999999998E-2"/>
    <n v="0.95"/>
    <n v="2305.65"/>
    <n v="53"/>
    <n v="43.5"/>
    <n v="10549.62"/>
    <n v="8243.9700000000012"/>
    <n v="3.5755513629562166"/>
    <n v="4.58"/>
  </r>
  <r>
    <d v="2024-12-14T00:00:00"/>
    <x v="9"/>
    <x v="0"/>
    <s v="Video"/>
    <x v="3"/>
    <s v="Canada"/>
    <n v="94767"/>
    <n v="4662"/>
    <n v="4.9200000000000001E-2"/>
    <n v="2.9"/>
    <n v="13519.8"/>
    <n v="136"/>
    <n v="99.41"/>
    <n v="33757.519999999997"/>
    <n v="20237.719999999998"/>
    <n v="1.4968949244811314"/>
    <n v="2.5"/>
  </r>
  <r>
    <d v="2024-10-28T00:00:00"/>
    <x v="3"/>
    <x v="1"/>
    <s v="Display"/>
    <x v="4"/>
    <s v="India"/>
    <n v="189933"/>
    <n v="13295"/>
    <n v="7.0000000000000007E-2"/>
    <n v="1.03"/>
    <n v="13693.85"/>
    <n v="284"/>
    <n v="48.22"/>
    <n v="45485.98"/>
    <n v="31792.130000000005"/>
    <n v="2.3216356247512571"/>
    <n v="3.32"/>
  </r>
  <r>
    <d v="2024-09-21T00:00:00"/>
    <x v="7"/>
    <x v="2"/>
    <s v="Shopping"/>
    <x v="0"/>
    <s v="Canada"/>
    <n v="17281"/>
    <n v="793"/>
    <n v="4.5900000000000003E-2"/>
    <n v="1.18"/>
    <n v="935.74"/>
    <n v="46"/>
    <n v="20.34"/>
    <n v="12594.97"/>
    <n v="11659.23"/>
    <n v="12.459903391967854"/>
    <n v="13.46"/>
  </r>
  <r>
    <d v="2024-03-11T00:00:00"/>
    <x v="11"/>
    <x v="0"/>
    <s v="Video"/>
    <x v="0"/>
    <s v="UK"/>
    <n v="41388"/>
    <n v="964"/>
    <n v="2.3300000000000001E-2"/>
    <n v="3.04"/>
    <n v="2930.56"/>
    <n v="72"/>
    <n v="40.700000000000003"/>
    <n v="19679.400000000001"/>
    <n v="16748.84"/>
    <n v="5.7152353133872023"/>
    <n v="6.72"/>
  </r>
  <r>
    <d v="2024-11-09T00:00:00"/>
    <x v="6"/>
    <x v="0"/>
    <s v="Shopping"/>
    <x v="1"/>
    <s v="USA"/>
    <n v="52083"/>
    <n v="2781"/>
    <n v="5.3400000000000003E-2"/>
    <n v="2.64"/>
    <n v="7341.84"/>
    <n v="160"/>
    <n v="45.89"/>
    <n v="39686.47"/>
    <n v="32344.63"/>
    <n v="4.4055209593235487"/>
    <n v="5.41"/>
  </r>
  <r>
    <d v="2024-12-02T00:00:00"/>
    <x v="9"/>
    <x v="0"/>
    <s v="Video"/>
    <x v="4"/>
    <s v="UAE"/>
    <n v="110109"/>
    <n v="2378"/>
    <n v="2.1600000000000001E-2"/>
    <n v="3.19"/>
    <n v="7585.82"/>
    <n v="41"/>
    <n v="185.02"/>
    <n v="6931.99"/>
    <n v="-653.82999999999993"/>
    <n v="-8.6191077563137528E-2"/>
    <n v="0.91"/>
  </r>
  <r>
    <d v="2024-07-26T00:00:00"/>
    <x v="10"/>
    <x v="1"/>
    <s v="Display"/>
    <x v="0"/>
    <s v="Canada"/>
    <n v="73743"/>
    <n v="1991"/>
    <n v="2.7E-2"/>
    <n v="1.77"/>
    <n v="3524.07"/>
    <n v="155"/>
    <n v="22.74"/>
    <n v="29721.14"/>
    <n v="26197.07"/>
    <n v="7.4337541535781071"/>
    <n v="8.43"/>
  </r>
  <r>
    <d v="2024-07-28T00:00:00"/>
    <x v="10"/>
    <x v="0"/>
    <s v="Shopping"/>
    <x v="2"/>
    <s v="Australia"/>
    <n v="79189"/>
    <n v="4315"/>
    <n v="5.45E-2"/>
    <n v="0.92"/>
    <n v="3969.8"/>
    <n v="197"/>
    <n v="20.149999999999999"/>
    <n v="21995.7"/>
    <n v="18025.900000000001"/>
    <n v="4.54075772079198"/>
    <n v="5.54"/>
  </r>
  <r>
    <d v="2024-12-13T00:00:00"/>
    <x v="9"/>
    <x v="2"/>
    <s v="Search"/>
    <x v="0"/>
    <s v="USA"/>
    <n v="179943"/>
    <n v="4174"/>
    <n v="2.3199999999999998E-2"/>
    <n v="2.2000000000000002"/>
    <n v="9182.7999999999993"/>
    <n v="289"/>
    <n v="31.77"/>
    <n v="32129.87"/>
    <n v="22947.07"/>
    <n v="2.4989186304830771"/>
    <n v="3.5"/>
  </r>
  <r>
    <d v="2024-03-08T00:00:00"/>
    <x v="11"/>
    <x v="0"/>
    <s v="Search"/>
    <x v="4"/>
    <s v="Canada"/>
    <n v="22414"/>
    <n v="472"/>
    <n v="2.1100000000000001E-2"/>
    <n v="2.5099999999999998"/>
    <n v="1184.72"/>
    <n v="34"/>
    <n v="34.840000000000003"/>
    <n v="7160.99"/>
    <n v="5976.2699999999995"/>
    <n v="5.0444577621716515"/>
    <n v="6.04"/>
  </r>
  <r>
    <d v="2024-11-07T00:00:00"/>
    <x v="6"/>
    <x v="2"/>
    <s v="Video"/>
    <x v="3"/>
    <s v="Australia"/>
    <n v="107299"/>
    <n v="2585"/>
    <n v="2.41E-2"/>
    <n v="1.32"/>
    <n v="3412.2"/>
    <n v="110"/>
    <n v="31.02"/>
    <n v="23820.26"/>
    <n v="20408.059999999998"/>
    <n v="5.9809096770412049"/>
    <n v="6.98"/>
  </r>
  <r>
    <d v="2024-04-03T00:00:00"/>
    <x v="5"/>
    <x v="1"/>
    <s v="Shopping"/>
    <x v="3"/>
    <s v="Australia"/>
    <n v="68815"/>
    <n v="3172"/>
    <n v="4.6100000000000002E-2"/>
    <n v="0.79"/>
    <n v="2505.88"/>
    <n v="76"/>
    <n v="32.97"/>
    <n v="2602.5700000000002"/>
    <n v="96.690000000000055"/>
    <n v="3.8585247497884993E-2"/>
    <n v="1.04"/>
  </r>
  <r>
    <d v="2024-10-24T00:00:00"/>
    <x v="3"/>
    <x v="0"/>
    <s v="Display"/>
    <x v="1"/>
    <s v="Germany"/>
    <n v="164457"/>
    <n v="8321"/>
    <n v="5.0599999999999999E-2"/>
    <n v="1.76"/>
    <n v="14644.96"/>
    <n v="610"/>
    <n v="24.01"/>
    <n v="27104.12"/>
    <n v="12459.16"/>
    <n v="0.850747287804132"/>
    <n v="1.85"/>
  </r>
  <r>
    <d v="2024-11-17T00:00:00"/>
    <x v="6"/>
    <x v="0"/>
    <s v="Display"/>
    <x v="4"/>
    <s v="India"/>
    <n v="105477"/>
    <n v="6391"/>
    <n v="6.0600000000000001E-2"/>
    <n v="1.84"/>
    <n v="11759.44"/>
    <n v="116"/>
    <n v="101.37"/>
    <n v="17001.07"/>
    <n v="5241.6299999999992"/>
    <n v="0.44573806235671076"/>
    <n v="1.45"/>
  </r>
  <r>
    <d v="2024-12-05T00:00:00"/>
    <x v="9"/>
    <x v="0"/>
    <s v="Video"/>
    <x v="0"/>
    <s v="UK"/>
    <n v="160816"/>
    <n v="9745"/>
    <n v="6.0600000000000001E-2"/>
    <n v="1.22"/>
    <n v="11888.9"/>
    <n v="553"/>
    <n v="21.5"/>
    <n v="62922.41"/>
    <n v="51033.51"/>
    <n v="4.2925342125848482"/>
    <n v="5.29"/>
  </r>
  <r>
    <d v="2024-09-02T00:00:00"/>
    <x v="7"/>
    <x v="0"/>
    <s v="Display"/>
    <x v="2"/>
    <s v="UK"/>
    <n v="23904"/>
    <n v="609"/>
    <n v="2.5499999999999998E-2"/>
    <n v="1.66"/>
    <n v="1010.94"/>
    <n v="35"/>
    <n v="28.88"/>
    <n v="7211.31"/>
    <n v="6200.3700000000008"/>
    <n v="6.1332720042732509"/>
    <n v="7.13"/>
  </r>
  <r>
    <d v="2024-12-30T00:00:00"/>
    <x v="9"/>
    <x v="2"/>
    <s v="Display"/>
    <x v="3"/>
    <s v="USA"/>
    <n v="60448"/>
    <n v="1493"/>
    <n v="2.47E-2"/>
    <n v="2.29"/>
    <n v="3418.97"/>
    <n v="89"/>
    <n v="38.42"/>
    <n v="24577.78"/>
    <n v="21158.809999999998"/>
    <n v="6.1886503830100876"/>
    <n v="7.19"/>
  </r>
  <r>
    <d v="2024-08-24T00:00:00"/>
    <x v="4"/>
    <x v="1"/>
    <s v="Video"/>
    <x v="0"/>
    <s v="UAE"/>
    <n v="138332"/>
    <n v="9558"/>
    <n v="6.9099999999999995E-2"/>
    <n v="0.35"/>
    <n v="3345.3"/>
    <n v="195"/>
    <n v="17.16"/>
    <n v="26087.06"/>
    <n v="22741.760000000002"/>
    <n v="6.7981227393656773"/>
    <n v="7.8"/>
  </r>
  <r>
    <d v="2024-03-12T00:00:00"/>
    <x v="11"/>
    <x v="0"/>
    <s v="Video"/>
    <x v="3"/>
    <s v="India"/>
    <n v="112399"/>
    <n v="3585"/>
    <n v="3.1899999999999998E-2"/>
    <n v="3.11"/>
    <n v="11149.35"/>
    <n v="91"/>
    <n v="122.52"/>
    <n v="20140.14"/>
    <n v="8990.7899999999991"/>
    <n v="0.80639588854955657"/>
    <n v="1.81"/>
  </r>
  <r>
    <d v="2024-02-16T00:00:00"/>
    <x v="2"/>
    <x v="0"/>
    <s v="Video"/>
    <x v="4"/>
    <s v="Germany"/>
    <n v="180069"/>
    <n v="5780"/>
    <n v="3.2099999999999997E-2"/>
    <n v="1.47"/>
    <n v="8496.6"/>
    <n v="272"/>
    <n v="31.24"/>
    <n v="74348.97"/>
    <n v="65852.37"/>
    <n v="7.7504378221876982"/>
    <n v="8.75"/>
  </r>
  <r>
    <d v="2024-09-27T00:00:00"/>
    <x v="7"/>
    <x v="2"/>
    <s v="Shopping"/>
    <x v="0"/>
    <s v="USA"/>
    <n v="155354"/>
    <n v="3371"/>
    <n v="2.1700000000000001E-2"/>
    <n v="1.27"/>
    <n v="4281.17"/>
    <n v="100"/>
    <n v="42.81"/>
    <n v="7916.95"/>
    <n v="3635.7799999999997"/>
    <n v="0.84924915385280186"/>
    <n v="1.85"/>
  </r>
  <r>
    <d v="2024-05-15T00:00:00"/>
    <x v="8"/>
    <x v="2"/>
    <s v="Shopping"/>
    <x v="0"/>
    <s v="UAE"/>
    <n v="163564"/>
    <n v="1946"/>
    <n v="1.1900000000000001E-2"/>
    <n v="0.66"/>
    <n v="1284.3599999999999"/>
    <n v="72"/>
    <n v="17.84"/>
    <n v="6787.22"/>
    <n v="5502.8600000000006"/>
    <n v="4.2845152449469008"/>
    <n v="5.28"/>
  </r>
  <r>
    <d v="2024-01-11T00:00:00"/>
    <x v="0"/>
    <x v="1"/>
    <s v="Display"/>
    <x v="0"/>
    <s v="UK"/>
    <n v="146587"/>
    <n v="5995"/>
    <n v="4.0899999999999999E-2"/>
    <n v="1.52"/>
    <n v="9112.4"/>
    <n v="161"/>
    <n v="56.6"/>
    <n v="27684.26"/>
    <n v="18571.86"/>
    <n v="2.0380865633642071"/>
    <n v="3.04"/>
  </r>
  <r>
    <d v="2024-03-29T00:00:00"/>
    <x v="11"/>
    <x v="0"/>
    <s v="Display"/>
    <x v="2"/>
    <s v="USA"/>
    <n v="79843"/>
    <n v="2427"/>
    <n v="3.04E-2"/>
    <n v="1.43"/>
    <n v="3470.61"/>
    <n v="127"/>
    <n v="27.33"/>
    <n v="27833.99"/>
    <n v="24363.38"/>
    <n v="7.0199129259697859"/>
    <n v="8.02"/>
  </r>
  <r>
    <d v="2024-10-11T00:00:00"/>
    <x v="3"/>
    <x v="2"/>
    <s v="Video"/>
    <x v="3"/>
    <s v="Canada"/>
    <n v="128245"/>
    <n v="2949"/>
    <n v="2.3E-2"/>
    <n v="1.59"/>
    <n v="4688.91"/>
    <n v="85"/>
    <n v="55.16"/>
    <n v="8616.7199999999993"/>
    <n v="3927.8099999999995"/>
    <n v="0.83768082560765711"/>
    <n v="1.84"/>
  </r>
  <r>
    <d v="2024-09-26T00:00:00"/>
    <x v="7"/>
    <x v="0"/>
    <s v="Shopping"/>
    <x v="0"/>
    <s v="Australia"/>
    <n v="161252"/>
    <n v="8046"/>
    <n v="4.99E-2"/>
    <n v="3.05"/>
    <n v="24540.3"/>
    <n v="550"/>
    <n v="44.62"/>
    <n v="130994.6"/>
    <n v="106454.3"/>
    <n v="4.3379380040178814"/>
    <n v="5.34"/>
  </r>
  <r>
    <d v="2024-01-24T00:00:00"/>
    <x v="0"/>
    <x v="1"/>
    <s v="Shopping"/>
    <x v="3"/>
    <s v="Germany"/>
    <n v="107262"/>
    <n v="5127"/>
    <n v="4.7800000000000002E-2"/>
    <n v="1.24"/>
    <n v="6357.48"/>
    <n v="343"/>
    <n v="18.53"/>
    <n v="93405.13"/>
    <n v="87047.650000000009"/>
    <n v="13.692162617892626"/>
    <n v="14.69"/>
  </r>
  <r>
    <d v="2024-05-24T00:00:00"/>
    <x v="8"/>
    <x v="2"/>
    <s v="Video"/>
    <x v="3"/>
    <s v="Germany"/>
    <n v="22139"/>
    <n v="458"/>
    <n v="2.07E-2"/>
    <n v="0.43"/>
    <n v="196.94"/>
    <n v="8"/>
    <n v="24.62"/>
    <n v="2367.39"/>
    <n v="2170.4499999999998"/>
    <n v="11.020869300294505"/>
    <n v="12.02"/>
  </r>
  <r>
    <d v="2024-04-17T00:00:00"/>
    <x v="5"/>
    <x v="2"/>
    <s v="Shopping"/>
    <x v="3"/>
    <s v="India"/>
    <n v="30618"/>
    <n v="719"/>
    <n v="2.35E-2"/>
    <n v="1.27"/>
    <n v="913.13"/>
    <n v="40"/>
    <n v="22.83"/>
    <n v="6289.61"/>
    <n v="5376.48"/>
    <n v="5.8879677592456714"/>
    <n v="6.89"/>
  </r>
  <r>
    <d v="2024-12-12T00:00:00"/>
    <x v="9"/>
    <x v="0"/>
    <s v="Search"/>
    <x v="2"/>
    <s v="Canada"/>
    <n v="78606"/>
    <n v="3914"/>
    <n v="4.9799999999999997E-2"/>
    <n v="1.23"/>
    <n v="4814.22"/>
    <n v="88"/>
    <n v="54.71"/>
    <n v="6101.96"/>
    <n v="1287.7399999999998"/>
    <n v="0.26748673720768884"/>
    <n v="1.27"/>
  </r>
  <r>
    <d v="2024-02-22T00:00:00"/>
    <x v="2"/>
    <x v="0"/>
    <s v="Display"/>
    <x v="3"/>
    <s v="Germany"/>
    <n v="31885"/>
    <n v="1613"/>
    <n v="5.0599999999999999E-2"/>
    <n v="1.01"/>
    <n v="1629.13"/>
    <n v="67"/>
    <n v="24.32"/>
    <n v="19023.45"/>
    <n v="17394.32"/>
    <n v="10.677060762492863"/>
    <n v="11.68"/>
  </r>
  <r>
    <d v="2024-08-18T00:00:00"/>
    <x v="4"/>
    <x v="1"/>
    <s v="Shopping"/>
    <x v="1"/>
    <s v="Canada"/>
    <n v="11713"/>
    <n v="334"/>
    <n v="2.86E-2"/>
    <n v="1.46"/>
    <n v="487.64"/>
    <n v="13"/>
    <n v="37.51"/>
    <n v="2344.33"/>
    <n v="1856.69"/>
    <n v="3.8075014354851944"/>
    <n v="4.8099999999999996"/>
  </r>
  <r>
    <d v="2024-04-04T00:00:00"/>
    <x v="5"/>
    <x v="2"/>
    <s v="Shopping"/>
    <x v="4"/>
    <s v="UK"/>
    <n v="26637"/>
    <n v="479"/>
    <n v="1.7999999999999999E-2"/>
    <n v="0.83"/>
    <n v="397.57"/>
    <n v="35"/>
    <n v="11.36"/>
    <n v="1488.52"/>
    <n v="1090.95"/>
    <n v="2.7440450738234778"/>
    <n v="3.74"/>
  </r>
  <r>
    <d v="2024-07-30T00:00:00"/>
    <x v="10"/>
    <x v="0"/>
    <s v="Display"/>
    <x v="1"/>
    <s v="India"/>
    <n v="44387"/>
    <n v="1886"/>
    <n v="4.2500000000000003E-2"/>
    <n v="2.81"/>
    <n v="5299.66"/>
    <n v="112"/>
    <n v="47.32"/>
    <n v="16115.2"/>
    <n v="10815.54"/>
    <n v="2.0407988436994073"/>
    <n v="3.04"/>
  </r>
  <r>
    <d v="2024-01-03T00:00:00"/>
    <x v="0"/>
    <x v="2"/>
    <s v="Search"/>
    <x v="4"/>
    <s v="UK"/>
    <n v="91392"/>
    <n v="2705"/>
    <n v="2.9600000000000001E-2"/>
    <n v="2.04"/>
    <n v="5518.2"/>
    <n v="87"/>
    <n v="63.43"/>
    <n v="12147.08"/>
    <n v="6628.88"/>
    <n v="1.2012757783335146"/>
    <n v="2.2000000000000002"/>
  </r>
  <r>
    <d v="2024-09-24T00:00:00"/>
    <x v="7"/>
    <x v="1"/>
    <s v="Search"/>
    <x v="1"/>
    <s v="UK"/>
    <n v="31727"/>
    <n v="2233"/>
    <n v="7.0400000000000004E-2"/>
    <n v="0.46"/>
    <n v="1027.18"/>
    <n v="74"/>
    <n v="13.88"/>
    <n v="9946.57"/>
    <n v="8919.39"/>
    <n v="8.6833758445452585"/>
    <n v="9.68"/>
  </r>
  <r>
    <d v="2024-08-23T00:00:00"/>
    <x v="4"/>
    <x v="2"/>
    <s v="Shopping"/>
    <x v="3"/>
    <s v="Germany"/>
    <n v="154676"/>
    <n v="1624"/>
    <n v="1.0500000000000001E-2"/>
    <n v="1.69"/>
    <n v="2744.56"/>
    <n v="26"/>
    <n v="105.56"/>
    <n v="1813.36"/>
    <n v="-931.2"/>
    <n v="-0.33928935785699715"/>
    <n v="0.66"/>
  </r>
  <r>
    <d v="2024-08-14T00:00:00"/>
    <x v="4"/>
    <x v="2"/>
    <s v="Shopping"/>
    <x v="4"/>
    <s v="UK"/>
    <n v="122710"/>
    <n v="5129"/>
    <n v="4.1799999999999997E-2"/>
    <n v="1.02"/>
    <n v="5231.58"/>
    <n v="157"/>
    <n v="33.32"/>
    <n v="24344.87"/>
    <n v="19113.29"/>
    <n v="3.653445039548282"/>
    <n v="4.6500000000000004"/>
  </r>
  <r>
    <d v="2024-12-22T00:00:00"/>
    <x v="9"/>
    <x v="1"/>
    <s v="Search"/>
    <x v="1"/>
    <s v="Canada"/>
    <n v="194117"/>
    <n v="16422"/>
    <n v="8.4599999999999995E-2"/>
    <n v="1.33"/>
    <n v="21841.26"/>
    <n v="1133"/>
    <n v="19.28"/>
    <n v="121361.12"/>
    <n v="99519.86"/>
    <n v="4.55650727110066"/>
    <n v="5.56"/>
  </r>
  <r>
    <d v="2024-02-03T00:00:00"/>
    <x v="2"/>
    <x v="1"/>
    <s v="Shopping"/>
    <x v="2"/>
    <s v="Australia"/>
    <n v="23043"/>
    <n v="1534"/>
    <n v="6.6600000000000006E-2"/>
    <n v="1.36"/>
    <n v="2086.2399999999998"/>
    <n v="119"/>
    <n v="17.53"/>
    <n v="6284.67"/>
    <n v="4198.43"/>
    <n v="2.012438645601657"/>
    <n v="3.01"/>
  </r>
  <r>
    <d v="2024-02-23T00:00:00"/>
    <x v="2"/>
    <x v="0"/>
    <s v="Search"/>
    <x v="0"/>
    <s v="USA"/>
    <n v="21198"/>
    <n v="703"/>
    <n v="3.32E-2"/>
    <n v="1.96"/>
    <n v="1377.88"/>
    <n v="28"/>
    <n v="49.21"/>
    <n v="6226.83"/>
    <n v="4848.95"/>
    <n v="3.519138096205765"/>
    <n v="4.5199999999999996"/>
  </r>
  <r>
    <d v="2024-06-20T00:00:00"/>
    <x v="1"/>
    <x v="2"/>
    <s v="Display"/>
    <x v="2"/>
    <s v="India"/>
    <n v="132208"/>
    <n v="3133"/>
    <n v="2.3699999999999999E-2"/>
    <n v="1.57"/>
    <n v="4918.8100000000004"/>
    <n v="183"/>
    <n v="26.88"/>
    <n v="53669.78"/>
    <n v="48750.97"/>
    <n v="9.9111309442731059"/>
    <n v="10.91"/>
  </r>
  <r>
    <d v="2024-02-16T00:00:00"/>
    <x v="2"/>
    <x v="2"/>
    <s v="Shopping"/>
    <x v="0"/>
    <s v="India"/>
    <n v="19040"/>
    <n v="784"/>
    <n v="4.1200000000000001E-2"/>
    <n v="1.93"/>
    <n v="1513.12"/>
    <n v="39"/>
    <n v="38.799999999999997"/>
    <n v="5591.9"/>
    <n v="4078.7799999999997"/>
    <n v="2.695609072644602"/>
    <n v="3.7"/>
  </r>
  <r>
    <d v="2024-03-15T00:00:00"/>
    <x v="11"/>
    <x v="0"/>
    <s v="Display"/>
    <x v="2"/>
    <s v="India"/>
    <n v="157270"/>
    <n v="5535"/>
    <n v="3.5200000000000002E-2"/>
    <n v="1"/>
    <n v="5535"/>
    <n v="356"/>
    <n v="15.55"/>
    <n v="86412.59"/>
    <n v="80877.59"/>
    <n v="14.612030713640468"/>
    <n v="15.61"/>
  </r>
  <r>
    <d v="2024-01-07T00:00:00"/>
    <x v="0"/>
    <x v="0"/>
    <s v="Video"/>
    <x v="4"/>
    <s v="UK"/>
    <n v="33433"/>
    <n v="1698"/>
    <n v="5.0799999999999998E-2"/>
    <n v="2.93"/>
    <n v="4975.1400000000003"/>
    <n v="60"/>
    <n v="82.92"/>
    <n v="4216.8100000000004"/>
    <n v="-758.32999999999993"/>
    <n v="-0.15242385138910661"/>
    <n v="0.85"/>
  </r>
  <r>
    <d v="2024-03-27T00:00:00"/>
    <x v="11"/>
    <x v="2"/>
    <s v="Video"/>
    <x v="0"/>
    <s v="Germany"/>
    <n v="94786"/>
    <n v="2682"/>
    <n v="2.8299999999999999E-2"/>
    <n v="1.5"/>
    <n v="4023"/>
    <n v="155"/>
    <n v="25.95"/>
    <n v="6510.51"/>
    <n v="2487.5100000000002"/>
    <n v="0.61832214765100679"/>
    <n v="1.62"/>
  </r>
  <r>
    <d v="2024-04-25T00:00:00"/>
    <x v="5"/>
    <x v="2"/>
    <s v="Display"/>
    <x v="4"/>
    <s v="Australia"/>
    <n v="144895"/>
    <n v="2158"/>
    <n v="1.49E-2"/>
    <n v="1.92"/>
    <n v="4143.3599999999997"/>
    <n v="151"/>
    <n v="27.44"/>
    <n v="25541.81"/>
    <n v="21398.45"/>
    <n v="5.1645162380290399"/>
    <n v="6.16"/>
  </r>
  <r>
    <d v="2024-12-10T00:00:00"/>
    <x v="9"/>
    <x v="2"/>
    <s v="Display"/>
    <x v="0"/>
    <s v="Germany"/>
    <n v="57996"/>
    <n v="1705"/>
    <n v="2.9399999999999999E-2"/>
    <n v="2.04"/>
    <n v="3478.2"/>
    <n v="127"/>
    <n v="27.39"/>
    <n v="26935.06"/>
    <n v="23456.86"/>
    <n v="6.7439652693922145"/>
    <n v="7.74"/>
  </r>
  <r>
    <d v="2024-09-02T00:00:00"/>
    <x v="7"/>
    <x v="0"/>
    <s v="Shopping"/>
    <x v="2"/>
    <s v="Canada"/>
    <n v="154631"/>
    <n v="4793"/>
    <n v="3.1E-2"/>
    <n v="3.14"/>
    <n v="15050.02"/>
    <n v="155"/>
    <n v="97.1"/>
    <n v="15403.3"/>
    <n v="353.27999999999884"/>
    <n v="2.3473722958507619E-2"/>
    <n v="1.02"/>
  </r>
  <r>
    <d v="2024-02-28T00:00:00"/>
    <x v="2"/>
    <x v="2"/>
    <s v="Video"/>
    <x v="3"/>
    <s v="Germany"/>
    <n v="56209"/>
    <n v="1405"/>
    <n v="2.5000000000000001E-2"/>
    <n v="2.39"/>
    <n v="3357.95"/>
    <n v="94"/>
    <n v="35.72"/>
    <n v="20195.05"/>
    <n v="16837.099999999999"/>
    <n v="5.0141008651111543"/>
    <n v="6.01"/>
  </r>
  <r>
    <d v="2024-07-06T00:00:00"/>
    <x v="10"/>
    <x v="1"/>
    <s v="Video"/>
    <x v="3"/>
    <s v="Canada"/>
    <n v="187411"/>
    <n v="15667"/>
    <n v="8.3599999999999994E-2"/>
    <n v="0.43"/>
    <n v="6736.81"/>
    <n v="996"/>
    <n v="6.76"/>
    <n v="51799.95"/>
    <n v="45063.14"/>
    <n v="6.6890917214527343"/>
    <n v="7.69"/>
  </r>
  <r>
    <d v="2024-09-10T00:00:00"/>
    <x v="7"/>
    <x v="0"/>
    <s v="Video"/>
    <x v="0"/>
    <s v="India"/>
    <n v="46583"/>
    <n v="2319"/>
    <n v="4.9799999999999997E-2"/>
    <n v="2.76"/>
    <n v="6400.44"/>
    <n v="50"/>
    <n v="128.01"/>
    <n v="11413.39"/>
    <n v="5012.95"/>
    <n v="0.78321959115310824"/>
    <n v="1.78"/>
  </r>
  <r>
    <d v="2024-03-09T00:00:00"/>
    <x v="11"/>
    <x v="2"/>
    <s v="Display"/>
    <x v="4"/>
    <s v="Canada"/>
    <n v="17438"/>
    <n v="371"/>
    <n v="2.1299999999999999E-2"/>
    <n v="1.63"/>
    <n v="604.73"/>
    <n v="19"/>
    <n v="31.83"/>
    <n v="902.7"/>
    <n v="297.97000000000003"/>
    <n v="0.49273229375093019"/>
    <n v="1.49"/>
  </r>
  <r>
    <d v="2024-03-11T00:00:00"/>
    <x v="11"/>
    <x v="0"/>
    <s v="Video"/>
    <x v="3"/>
    <s v="UAE"/>
    <n v="122784"/>
    <n v="6237"/>
    <n v="5.0799999999999998E-2"/>
    <n v="2.69"/>
    <n v="16777.53"/>
    <n v="134"/>
    <n v="125.21"/>
    <n v="15407.61"/>
    <n v="-1369.9199999999983"/>
    <n v="-8.1652066782178206E-2"/>
    <n v="0.92"/>
  </r>
  <r>
    <d v="2024-09-08T00:00:00"/>
    <x v="7"/>
    <x v="2"/>
    <s v="Shopping"/>
    <x v="1"/>
    <s v="Germany"/>
    <n v="151730"/>
    <n v="2063"/>
    <n v="1.3599999999999999E-2"/>
    <n v="0.74"/>
    <n v="1526.62"/>
    <n v="32"/>
    <n v="47.71"/>
    <n v="6146.93"/>
    <n v="4620.3100000000004"/>
    <n v="3.0264964431227162"/>
    <n v="4.03"/>
  </r>
  <r>
    <d v="2024-08-20T00:00:00"/>
    <x v="4"/>
    <x v="0"/>
    <s v="Search"/>
    <x v="0"/>
    <s v="India"/>
    <n v="83498"/>
    <n v="3531"/>
    <n v="4.2299999999999997E-2"/>
    <n v="1.03"/>
    <n v="3636.93"/>
    <n v="234"/>
    <n v="15.54"/>
    <n v="36561.1"/>
    <n v="32924.17"/>
    <n v="9.0527367862455428"/>
    <n v="10.050000000000001"/>
  </r>
  <r>
    <d v="2024-10-21T00:00:00"/>
    <x v="3"/>
    <x v="1"/>
    <s v="Shopping"/>
    <x v="0"/>
    <s v="UK"/>
    <n v="194060"/>
    <n v="11721"/>
    <n v="6.0400000000000002E-2"/>
    <n v="1.73"/>
    <n v="20277.330000000002"/>
    <n v="504"/>
    <n v="40.229999999999997"/>
    <n v="76238.77"/>
    <n v="55961.440000000002"/>
    <n v="2.759803189078641"/>
    <n v="3.76"/>
  </r>
  <r>
    <d v="2024-03-17T00:00:00"/>
    <x v="11"/>
    <x v="0"/>
    <s v="Shopping"/>
    <x v="4"/>
    <s v="Germany"/>
    <n v="30118"/>
    <n v="951"/>
    <n v="3.1600000000000003E-2"/>
    <n v="3.28"/>
    <n v="3119.28"/>
    <n v="30"/>
    <n v="103.98"/>
    <n v="2408.7600000000002"/>
    <n v="-710.52"/>
    <n v="-0.22778333461568051"/>
    <n v="0.77"/>
  </r>
  <r>
    <d v="2024-03-05T00:00:00"/>
    <x v="11"/>
    <x v="2"/>
    <s v="Search"/>
    <x v="2"/>
    <s v="USA"/>
    <n v="88904"/>
    <n v="1724"/>
    <n v="1.9400000000000001E-2"/>
    <n v="1"/>
    <n v="1724"/>
    <n v="59"/>
    <n v="29.22"/>
    <n v="8894.16"/>
    <n v="7170.16"/>
    <n v="4.1590255220417633"/>
    <n v="5.16"/>
  </r>
  <r>
    <d v="2024-12-18T00:00:00"/>
    <x v="9"/>
    <x v="0"/>
    <s v="Display"/>
    <x v="2"/>
    <s v="Australia"/>
    <n v="119911"/>
    <n v="4592"/>
    <n v="3.8300000000000001E-2"/>
    <n v="2.83"/>
    <n v="12995.36"/>
    <n v="163"/>
    <n v="79.73"/>
    <n v="24856.01"/>
    <n v="11860.649999999998"/>
    <n v="0.91268345009295604"/>
    <n v="1.91"/>
  </r>
  <r>
    <d v="2024-05-22T00:00:00"/>
    <x v="8"/>
    <x v="2"/>
    <s v="Search"/>
    <x v="1"/>
    <s v="UK"/>
    <n v="184702"/>
    <n v="5134"/>
    <n v="2.7799999999999998E-2"/>
    <n v="2.0099999999999998"/>
    <n v="10319.34"/>
    <n v="70"/>
    <n v="147.41999999999999"/>
    <n v="16883.490000000002"/>
    <n v="6564.1500000000015"/>
    <n v="0.63610172743605709"/>
    <n v="1.64"/>
  </r>
  <r>
    <d v="2024-04-11T00:00:00"/>
    <x v="5"/>
    <x v="2"/>
    <s v="Video"/>
    <x v="0"/>
    <s v="USA"/>
    <n v="5209"/>
    <n v="198"/>
    <n v="3.8100000000000002E-2"/>
    <n v="0.7"/>
    <n v="138.6"/>
    <n v="3"/>
    <n v="46.2"/>
    <n v="490.6"/>
    <n v="352"/>
    <n v="2.53968253968254"/>
    <n v="3.54"/>
  </r>
  <r>
    <d v="2024-06-19T00:00:00"/>
    <x v="1"/>
    <x v="2"/>
    <s v="Display"/>
    <x v="4"/>
    <s v="India"/>
    <n v="88717"/>
    <n v="816"/>
    <n v="9.1999999999999998E-3"/>
    <n v="1.87"/>
    <n v="1525.92"/>
    <n v="46"/>
    <n v="33.17"/>
    <n v="4879.0200000000004"/>
    <n v="3353.1000000000004"/>
    <n v="2.1974284366152879"/>
    <n v="3.2"/>
  </r>
  <r>
    <d v="2024-08-06T00:00:00"/>
    <x v="4"/>
    <x v="0"/>
    <s v="Shopping"/>
    <x v="4"/>
    <s v="India"/>
    <n v="146788"/>
    <n v="6003"/>
    <n v="4.0899999999999999E-2"/>
    <n v="2.42"/>
    <n v="14527.26"/>
    <n v="476"/>
    <n v="30.52"/>
    <n v="104420.05"/>
    <n v="89892.790000000008"/>
    <n v="6.1878695638406693"/>
    <n v="7.19"/>
  </r>
  <r>
    <d v="2024-01-30T00:00:00"/>
    <x v="0"/>
    <x v="0"/>
    <s v="Video"/>
    <x v="3"/>
    <s v="Australia"/>
    <n v="89052"/>
    <n v="2591"/>
    <n v="2.9100000000000001E-2"/>
    <n v="3.66"/>
    <n v="9483.06"/>
    <n v="190"/>
    <n v="49.91"/>
    <n v="12653.72"/>
    <n v="3170.66"/>
    <n v="0.33434988284372347"/>
    <n v="1.33"/>
  </r>
  <r>
    <d v="2024-10-29T00:00:00"/>
    <x v="3"/>
    <x v="0"/>
    <s v="Shopping"/>
    <x v="4"/>
    <s v="Germany"/>
    <n v="46971"/>
    <n v="2437"/>
    <n v="5.1900000000000002E-2"/>
    <n v="2.04"/>
    <n v="4971.4799999999996"/>
    <n v="141"/>
    <n v="35.26"/>
    <n v="14817.7"/>
    <n v="9846.2200000000012"/>
    <n v="1.9805410058976405"/>
    <n v="2.98"/>
  </r>
  <r>
    <d v="2024-09-26T00:00:00"/>
    <x v="7"/>
    <x v="2"/>
    <s v="Shopping"/>
    <x v="4"/>
    <s v="UK"/>
    <n v="185419"/>
    <n v="7750"/>
    <n v="4.1799999999999997E-2"/>
    <n v="1.38"/>
    <n v="10695"/>
    <n v="400"/>
    <n v="26.74"/>
    <n v="13470.33"/>
    <n v="2775.33"/>
    <n v="0.2594978962131837"/>
    <n v="1.26"/>
  </r>
  <r>
    <d v="2024-06-27T00:00:00"/>
    <x v="1"/>
    <x v="0"/>
    <s v="Display"/>
    <x v="1"/>
    <s v="UAE"/>
    <n v="36391"/>
    <n v="1684"/>
    <n v="4.6300000000000001E-2"/>
    <n v="3.59"/>
    <n v="6045.56"/>
    <n v="18"/>
    <n v="335.86"/>
    <n v="4868.51"/>
    <n v="-1177.0500000000002"/>
    <n v="-0.19469660378856551"/>
    <n v="0.81"/>
  </r>
  <r>
    <d v="2024-04-03T00:00:00"/>
    <x v="5"/>
    <x v="0"/>
    <s v="Display"/>
    <x v="1"/>
    <s v="India"/>
    <n v="169575"/>
    <n v="3730"/>
    <n v="2.1999999999999999E-2"/>
    <n v="2.71"/>
    <n v="10108.299999999999"/>
    <n v="284"/>
    <n v="35.590000000000003"/>
    <n v="8952.89"/>
    <n v="-1155.4099999999999"/>
    <n v="-0.11430309745456703"/>
    <n v="0.89"/>
  </r>
  <r>
    <d v="2024-07-24T00:00:00"/>
    <x v="10"/>
    <x v="0"/>
    <s v="Video"/>
    <x v="4"/>
    <s v="UK"/>
    <n v="146656"/>
    <n v="5719"/>
    <n v="3.9E-2"/>
    <n v="1.75"/>
    <n v="10008.25"/>
    <n v="357"/>
    <n v="28.03"/>
    <n v="62250.35"/>
    <n v="52242.1"/>
    <n v="5.219903579546874"/>
    <n v="6.22"/>
  </r>
  <r>
    <d v="2024-05-25T00:00:00"/>
    <x v="8"/>
    <x v="0"/>
    <s v="Display"/>
    <x v="0"/>
    <s v="Germany"/>
    <n v="116972"/>
    <n v="6269"/>
    <n v="5.3600000000000002E-2"/>
    <n v="2.83"/>
    <n v="17741.27"/>
    <n v="83"/>
    <n v="213.75"/>
    <n v="8852.61"/>
    <n v="-8888.66"/>
    <n v="-0.50101599265441532"/>
    <n v="0.5"/>
  </r>
  <r>
    <d v="2024-11-17T00:00:00"/>
    <x v="6"/>
    <x v="2"/>
    <s v="Search"/>
    <x v="3"/>
    <s v="Canada"/>
    <n v="45664"/>
    <n v="516"/>
    <n v="1.1299999999999999E-2"/>
    <n v="1.67"/>
    <n v="861.72"/>
    <n v="34"/>
    <n v="25.34"/>
    <n v="7132.56"/>
    <n v="6270.84"/>
    <n v="7.2771201782481549"/>
    <n v="8.2799999999999994"/>
  </r>
  <r>
    <d v="2024-12-15T00:00:00"/>
    <x v="9"/>
    <x v="2"/>
    <s v="Shopping"/>
    <x v="3"/>
    <s v="UK"/>
    <n v="125759"/>
    <n v="2804"/>
    <n v="2.23E-2"/>
    <n v="1.75"/>
    <n v="4907"/>
    <n v="164"/>
    <n v="29.92"/>
    <n v="46752.65"/>
    <n v="41845.65"/>
    <n v="8.5277460770328108"/>
    <n v="9.5299999999999994"/>
  </r>
  <r>
    <d v="2024-03-24T00:00:00"/>
    <x v="11"/>
    <x v="0"/>
    <s v="Shopping"/>
    <x v="1"/>
    <s v="UAE"/>
    <n v="26529"/>
    <n v="1106"/>
    <n v="4.1700000000000001E-2"/>
    <n v="1.78"/>
    <n v="1968.68"/>
    <n v="78"/>
    <n v="25.24"/>
    <n v="2995.39"/>
    <n v="1026.7099999999998"/>
    <n v="0.52152203506918327"/>
    <n v="1.52"/>
  </r>
  <r>
    <d v="2024-12-13T00:00:00"/>
    <x v="9"/>
    <x v="1"/>
    <s v="Shopping"/>
    <x v="1"/>
    <s v="India"/>
    <n v="114863"/>
    <n v="5766"/>
    <n v="5.0200000000000002E-2"/>
    <n v="1.63"/>
    <n v="9398.58"/>
    <n v="89"/>
    <n v="105.6"/>
    <n v="22499.919999999998"/>
    <n v="13101.339999999998"/>
    <n v="1.3939701529379969"/>
    <n v="2.39"/>
  </r>
  <r>
    <d v="2024-10-24T00:00:00"/>
    <x v="3"/>
    <x v="2"/>
    <s v="Display"/>
    <x v="2"/>
    <s v="USA"/>
    <n v="171353"/>
    <n v="5534"/>
    <n v="3.2300000000000002E-2"/>
    <n v="1.86"/>
    <n v="10293.24"/>
    <n v="221"/>
    <n v="46.58"/>
    <n v="52725.19"/>
    <n v="42431.950000000004"/>
    <n v="4.1223123137126896"/>
    <n v="5.12"/>
  </r>
  <r>
    <d v="2024-12-22T00:00:00"/>
    <x v="9"/>
    <x v="2"/>
    <s v="Shopping"/>
    <x v="1"/>
    <s v="UK"/>
    <n v="49522"/>
    <n v="1554"/>
    <n v="3.1399999999999997E-2"/>
    <n v="1.71"/>
    <n v="2657.34"/>
    <n v="23"/>
    <n v="115.54"/>
    <n v="1909.73"/>
    <n v="-747.61000000000013"/>
    <n v="-0.28133772870614981"/>
    <n v="0.72"/>
  </r>
  <r>
    <d v="2024-05-03T00:00:00"/>
    <x v="8"/>
    <x v="0"/>
    <s v="Search"/>
    <x v="2"/>
    <s v="India"/>
    <n v="136135"/>
    <n v="7936"/>
    <n v="5.8299999999999998E-2"/>
    <n v="1.36"/>
    <n v="10792.96"/>
    <n v="406"/>
    <n v="26.58"/>
    <n v="40442.85"/>
    <n v="29649.89"/>
    <n v="2.7471509206000952"/>
    <n v="3.75"/>
  </r>
  <r>
    <d v="2024-05-11T00:00:00"/>
    <x v="8"/>
    <x v="2"/>
    <s v="Video"/>
    <x v="2"/>
    <s v="UK"/>
    <n v="172108"/>
    <n v="6109"/>
    <n v="3.5499999999999997E-2"/>
    <n v="2.2799999999999998"/>
    <n v="13928.52"/>
    <n v="435"/>
    <n v="32.020000000000003"/>
    <n v="13163.33"/>
    <n v="-765.19000000000051"/>
    <n v="-5.493692079273322E-2"/>
    <n v="0.95"/>
  </r>
  <r>
    <d v="2024-10-24T00:00:00"/>
    <x v="3"/>
    <x v="1"/>
    <s v="Video"/>
    <x v="1"/>
    <s v="India"/>
    <n v="193151"/>
    <n v="12168"/>
    <n v="6.3E-2"/>
    <n v="1.1299999999999999"/>
    <n v="13749.84"/>
    <n v="612"/>
    <n v="22.47"/>
    <n v="109401"/>
    <n v="95651.16"/>
    <n v="6.9565289487004938"/>
    <n v="7.96"/>
  </r>
  <r>
    <d v="2024-06-21T00:00:00"/>
    <x v="1"/>
    <x v="1"/>
    <s v="Display"/>
    <x v="1"/>
    <s v="Canada"/>
    <n v="102519"/>
    <n v="4285"/>
    <n v="4.1799999999999997E-2"/>
    <n v="1.2"/>
    <n v="5142"/>
    <n v="137"/>
    <n v="37.53"/>
    <n v="26733.75"/>
    <n v="21591.75"/>
    <n v="4.1990956826137689"/>
    <n v="5.2"/>
  </r>
  <r>
    <d v="2024-09-06T00:00:00"/>
    <x v="7"/>
    <x v="0"/>
    <s v="Shopping"/>
    <x v="2"/>
    <s v="Germany"/>
    <n v="36092"/>
    <n v="1050"/>
    <n v="2.9100000000000001E-2"/>
    <n v="3.68"/>
    <n v="3864"/>
    <n v="34"/>
    <n v="113.65"/>
    <n v="1685.69"/>
    <n v="-2178.31"/>
    <n v="-0.56374482401656312"/>
    <n v="0.44"/>
  </r>
  <r>
    <d v="2024-09-01T00:00:00"/>
    <x v="7"/>
    <x v="1"/>
    <s v="Video"/>
    <x v="1"/>
    <s v="Australia"/>
    <n v="6628"/>
    <n v="261"/>
    <n v="3.95E-2"/>
    <n v="1.28"/>
    <n v="334.08"/>
    <n v="11"/>
    <n v="30.37"/>
    <n v="2224.48"/>
    <n v="1890.4"/>
    <n v="5.65852490421456"/>
    <n v="6.66"/>
  </r>
  <r>
    <d v="2024-03-23T00:00:00"/>
    <x v="11"/>
    <x v="2"/>
    <s v="Video"/>
    <x v="3"/>
    <s v="UK"/>
    <n v="28593"/>
    <n v="694"/>
    <n v="2.4299999999999999E-2"/>
    <n v="1.58"/>
    <n v="1096.52"/>
    <n v="7"/>
    <n v="156.65"/>
    <n v="2098"/>
    <n v="1001.48"/>
    <n v="0.91332579433115679"/>
    <n v="1.91"/>
  </r>
  <r>
    <d v="2024-06-03T00:00:00"/>
    <x v="1"/>
    <x v="2"/>
    <s v="Search"/>
    <x v="1"/>
    <s v="Germany"/>
    <n v="186845"/>
    <n v="4204"/>
    <n v="2.2499999999999999E-2"/>
    <n v="1.81"/>
    <n v="7609.24"/>
    <n v="275"/>
    <n v="27.67"/>
    <n v="24004.25"/>
    <n v="16395.010000000002"/>
    <n v="2.1546185952867831"/>
    <n v="3.15"/>
  </r>
  <r>
    <d v="2024-08-14T00:00:00"/>
    <x v="4"/>
    <x v="2"/>
    <s v="Search"/>
    <x v="0"/>
    <s v="USA"/>
    <n v="25930"/>
    <n v="609"/>
    <n v="2.35E-2"/>
    <n v="0.55000000000000004"/>
    <n v="334.95"/>
    <n v="7"/>
    <n v="47.85"/>
    <n v="509.29"/>
    <n v="174.34000000000003"/>
    <n v="0.5204955963576654"/>
    <n v="1.52"/>
  </r>
  <r>
    <d v="2024-10-26T00:00:00"/>
    <x v="3"/>
    <x v="0"/>
    <s v="Display"/>
    <x v="0"/>
    <s v="UAE"/>
    <n v="114914"/>
    <n v="3803"/>
    <n v="3.3099999999999997E-2"/>
    <n v="2.69"/>
    <n v="10230.07"/>
    <n v="224"/>
    <n v="45.67"/>
    <n v="67007.759999999995"/>
    <n v="56777.689999999995"/>
    <n v="5.550078347459988"/>
    <n v="6.55"/>
  </r>
  <r>
    <d v="2024-09-27T00:00:00"/>
    <x v="7"/>
    <x v="0"/>
    <s v="Display"/>
    <x v="1"/>
    <s v="Australia"/>
    <n v="34652"/>
    <n v="866"/>
    <n v="2.5000000000000001E-2"/>
    <n v="1.57"/>
    <n v="1359.62"/>
    <n v="43"/>
    <n v="31.62"/>
    <n v="2728.57"/>
    <n v="1368.9500000000003"/>
    <n v="1.0068622115002723"/>
    <n v="2.0099999999999998"/>
  </r>
  <r>
    <d v="2024-02-21T00:00:00"/>
    <x v="2"/>
    <x v="0"/>
    <s v="Display"/>
    <x v="1"/>
    <s v="India"/>
    <n v="136585"/>
    <n v="5668"/>
    <n v="4.1500000000000002E-2"/>
    <n v="2.89"/>
    <n v="16380.52"/>
    <n v="120"/>
    <n v="136.5"/>
    <n v="20065.189999999999"/>
    <n v="3684.6699999999983"/>
    <n v="0.22494218742750524"/>
    <n v="1.22"/>
  </r>
  <r>
    <d v="2024-11-23T00:00:00"/>
    <x v="6"/>
    <x v="0"/>
    <s v="Display"/>
    <x v="2"/>
    <s v="Canada"/>
    <n v="192822"/>
    <n v="6228"/>
    <n v="3.2300000000000002E-2"/>
    <n v="3.35"/>
    <n v="20863.8"/>
    <n v="87"/>
    <n v="239.81"/>
    <n v="18207.05"/>
    <n v="-2656.75"/>
    <n v="-0.1273377812287311"/>
    <n v="0.87"/>
  </r>
  <r>
    <d v="2024-12-30T00:00:00"/>
    <x v="9"/>
    <x v="0"/>
    <s v="Search"/>
    <x v="2"/>
    <s v="UK"/>
    <n v="63738"/>
    <n v="1306"/>
    <n v="2.0500000000000001E-2"/>
    <n v="0.93"/>
    <n v="1214.58"/>
    <n v="87"/>
    <n v="13.96"/>
    <n v="16951.52"/>
    <n v="15736.94"/>
    <n v="12.956692848556704"/>
    <n v="13.96"/>
  </r>
  <r>
    <d v="2024-02-28T00:00:00"/>
    <x v="2"/>
    <x v="0"/>
    <s v="Search"/>
    <x v="0"/>
    <s v="India"/>
    <n v="28267"/>
    <n v="1769"/>
    <n v="6.2600000000000003E-2"/>
    <n v="2.59"/>
    <n v="4581.71"/>
    <n v="33"/>
    <n v="138.84"/>
    <n v="1968.12"/>
    <n v="-2613.59"/>
    <n v="-0.57043985760774907"/>
    <n v="0.43"/>
  </r>
  <r>
    <d v="2024-04-04T00:00:00"/>
    <x v="5"/>
    <x v="2"/>
    <s v="Display"/>
    <x v="0"/>
    <s v="Australia"/>
    <n v="42606"/>
    <n v="1495"/>
    <n v="3.5099999999999999E-2"/>
    <n v="0.77"/>
    <n v="1151.1500000000001"/>
    <n v="96"/>
    <n v="11.99"/>
    <n v="14890.27"/>
    <n v="13739.12"/>
    <n v="11.935125743821395"/>
    <n v="12.94"/>
  </r>
  <r>
    <d v="2024-01-22T00:00:00"/>
    <x v="0"/>
    <x v="1"/>
    <s v="Display"/>
    <x v="2"/>
    <s v="Canada"/>
    <n v="120409"/>
    <n v="8356"/>
    <n v="6.9400000000000003E-2"/>
    <n v="0.96"/>
    <n v="8021.76"/>
    <n v="663"/>
    <n v="12.1"/>
    <n v="50787.7"/>
    <n v="42765.939999999995"/>
    <n v="5.3312415230572832"/>
    <n v="6.33"/>
  </r>
  <r>
    <d v="2024-05-04T00:00:00"/>
    <x v="8"/>
    <x v="1"/>
    <s v="Display"/>
    <x v="1"/>
    <s v="Germany"/>
    <n v="120210"/>
    <n v="6455"/>
    <n v="5.3699999999999998E-2"/>
    <n v="1.78"/>
    <n v="11489.9"/>
    <n v="289"/>
    <n v="39.76"/>
    <n v="23286.47"/>
    <n v="11796.570000000002"/>
    <n v="1.0266903976535915"/>
    <n v="2.0299999999999998"/>
  </r>
  <r>
    <d v="2024-08-07T00:00:00"/>
    <x v="4"/>
    <x v="2"/>
    <s v="Search"/>
    <x v="2"/>
    <s v="UAE"/>
    <n v="96360"/>
    <n v="3247"/>
    <n v="3.3700000000000001E-2"/>
    <n v="0.43"/>
    <n v="1396.21"/>
    <n v="211"/>
    <n v="6.62"/>
    <n v="50567.51"/>
    <n v="49171.3"/>
    <n v="35.217696478323461"/>
    <n v="36.22"/>
  </r>
  <r>
    <d v="2024-04-22T00:00:00"/>
    <x v="5"/>
    <x v="1"/>
    <s v="Shopping"/>
    <x v="1"/>
    <s v="Canada"/>
    <n v="186006"/>
    <n v="9002"/>
    <n v="4.8399999999999999E-2"/>
    <n v="1.52"/>
    <n v="13683.04"/>
    <n v="266"/>
    <n v="51.44"/>
    <n v="31194.26"/>
    <n v="17511.219999999998"/>
    <n v="1.2797755469544776"/>
    <n v="2.2799999999999998"/>
  </r>
  <r>
    <d v="2024-10-14T00:00:00"/>
    <x v="3"/>
    <x v="0"/>
    <s v="Shopping"/>
    <x v="4"/>
    <s v="Germany"/>
    <n v="34036"/>
    <n v="2086"/>
    <n v="6.13E-2"/>
    <n v="3.45"/>
    <n v="7196.7"/>
    <n v="110"/>
    <n v="65.42"/>
    <n v="21503.08"/>
    <n v="14306.380000000001"/>
    <n v="1.9879083468812095"/>
    <n v="2.99"/>
  </r>
  <r>
    <d v="2024-02-10T00:00:00"/>
    <x v="2"/>
    <x v="1"/>
    <s v="Shopping"/>
    <x v="3"/>
    <s v="USA"/>
    <n v="116709"/>
    <n v="6640"/>
    <n v="5.6899999999999999E-2"/>
    <n v="1.97"/>
    <n v="13080.8"/>
    <n v="304"/>
    <n v="43.03"/>
    <n v="83458.179999999993"/>
    <n v="70377.37999999999"/>
    <n v="5.3802045746437521"/>
    <n v="6.38"/>
  </r>
  <r>
    <d v="2024-06-05T00:00:00"/>
    <x v="1"/>
    <x v="2"/>
    <s v="Shopping"/>
    <x v="1"/>
    <s v="UK"/>
    <n v="98276"/>
    <n v="2368"/>
    <n v="2.41E-2"/>
    <n v="1.41"/>
    <n v="3338.88"/>
    <n v="115"/>
    <n v="29.03"/>
    <n v="21637.86"/>
    <n v="18298.98"/>
    <n v="5.4805743243243237"/>
    <n v="6.48"/>
  </r>
  <r>
    <d v="2024-09-19T00:00:00"/>
    <x v="7"/>
    <x v="0"/>
    <s v="Shopping"/>
    <x v="1"/>
    <s v="UK"/>
    <n v="162353"/>
    <n v="3977"/>
    <n v="2.4500000000000001E-2"/>
    <n v="1.45"/>
    <n v="5766.65"/>
    <n v="57"/>
    <n v="101.17"/>
    <n v="15175.48"/>
    <n v="9408.83"/>
    <n v="1.631593732929864"/>
    <n v="2.63"/>
  </r>
  <r>
    <d v="2024-12-05T00:00:00"/>
    <x v="9"/>
    <x v="2"/>
    <s v="Search"/>
    <x v="3"/>
    <s v="UK"/>
    <n v="129790"/>
    <n v="5697"/>
    <n v="4.3900000000000002E-2"/>
    <n v="0.52"/>
    <n v="2962.44"/>
    <n v="223"/>
    <n v="13.28"/>
    <n v="58627.34"/>
    <n v="55664.899999999994"/>
    <n v="18.790220223869511"/>
    <n v="19.79"/>
  </r>
  <r>
    <d v="2024-12-18T00:00:00"/>
    <x v="9"/>
    <x v="0"/>
    <s v="Video"/>
    <x v="2"/>
    <s v="India"/>
    <n v="184982"/>
    <n v="4772"/>
    <n v="2.58E-2"/>
    <n v="3.08"/>
    <n v="14697.76"/>
    <n v="141"/>
    <n v="104.24"/>
    <n v="26098.46"/>
    <n v="11400.699999999999"/>
    <n v="0.77567602138012859"/>
    <n v="1.78"/>
  </r>
  <r>
    <d v="2024-08-16T00:00:00"/>
    <x v="4"/>
    <x v="0"/>
    <s v="Search"/>
    <x v="0"/>
    <s v="UK"/>
    <n v="166673"/>
    <n v="4733"/>
    <n v="2.8400000000000002E-2"/>
    <n v="0.84"/>
    <n v="3975.72"/>
    <n v="336"/>
    <n v="11.83"/>
    <n v="98987.51"/>
    <n v="95011.79"/>
    <n v="23.898008411055105"/>
    <n v="24.9"/>
  </r>
  <r>
    <d v="2024-06-05T00:00:00"/>
    <x v="1"/>
    <x v="0"/>
    <s v="Video"/>
    <x v="1"/>
    <s v="UAE"/>
    <n v="109148"/>
    <n v="3951"/>
    <n v="3.6200000000000003E-2"/>
    <n v="1.79"/>
    <n v="7072.29"/>
    <n v="249"/>
    <n v="28.4"/>
    <n v="56329.34"/>
    <n v="49257.049999999996"/>
    <n v="6.9647949956803235"/>
    <n v="7.96"/>
  </r>
  <r>
    <d v="2024-12-26T00:00:00"/>
    <x v="9"/>
    <x v="0"/>
    <s v="Video"/>
    <x v="1"/>
    <s v="USA"/>
    <n v="173700"/>
    <n v="7208"/>
    <n v="4.1500000000000002E-2"/>
    <n v="2.29"/>
    <n v="16506.32"/>
    <n v="178"/>
    <n v="92.73"/>
    <n v="32171.360000000001"/>
    <n v="15665.04"/>
    <n v="0.94903285529421466"/>
    <n v="1.95"/>
  </r>
  <r>
    <d v="2024-04-27T00:00:00"/>
    <x v="5"/>
    <x v="2"/>
    <s v="Video"/>
    <x v="1"/>
    <s v="UAE"/>
    <n v="173001"/>
    <n v="3477"/>
    <n v="2.01E-2"/>
    <n v="0.95"/>
    <n v="3303.15"/>
    <n v="51"/>
    <n v="64.77"/>
    <n v="11186.61"/>
    <n v="7883.4600000000009"/>
    <n v="2.3866491076699514"/>
    <n v="3.39"/>
  </r>
  <r>
    <d v="2024-01-29T00:00:00"/>
    <x v="0"/>
    <x v="2"/>
    <s v="Search"/>
    <x v="0"/>
    <s v="UK"/>
    <n v="56534"/>
    <n v="1079"/>
    <n v="1.9099999999999999E-2"/>
    <n v="0.6"/>
    <n v="647.4"/>
    <n v="27"/>
    <n v="23.98"/>
    <n v="4508.3900000000003"/>
    <n v="3860.9900000000002"/>
    <n v="5.9638399752857589"/>
    <n v="6.96"/>
  </r>
  <r>
    <d v="2024-12-15T00:00:00"/>
    <x v="9"/>
    <x v="0"/>
    <s v="Search"/>
    <x v="2"/>
    <s v="Australia"/>
    <n v="58520"/>
    <n v="3604"/>
    <n v="6.1600000000000002E-2"/>
    <n v="1.48"/>
    <n v="5333.92"/>
    <n v="265"/>
    <n v="20.13"/>
    <n v="78186.23"/>
    <n v="72852.31"/>
    <n v="13.658305711371748"/>
    <n v="14.66"/>
  </r>
  <r>
    <d v="2024-09-10T00:00:00"/>
    <x v="7"/>
    <x v="0"/>
    <s v="Video"/>
    <x v="2"/>
    <s v="Canada"/>
    <n v="111071"/>
    <n v="2865"/>
    <n v="2.58E-2"/>
    <n v="2.83"/>
    <n v="8107.95"/>
    <n v="39"/>
    <n v="207.9"/>
    <n v="8971.2800000000007"/>
    <n v="863.33000000000084"/>
    <n v="0.10647944301580559"/>
    <n v="1.1100000000000001"/>
  </r>
  <r>
    <d v="2024-04-08T00:00:00"/>
    <x v="5"/>
    <x v="0"/>
    <s v="Shopping"/>
    <x v="3"/>
    <s v="India"/>
    <n v="153750"/>
    <n v="4920"/>
    <n v="3.2000000000000001E-2"/>
    <n v="2.98"/>
    <n v="14661.6"/>
    <n v="117"/>
    <n v="125.31"/>
    <n v="30000.6"/>
    <n v="15338.999999999998"/>
    <n v="1.0462023244393517"/>
    <n v="2.0499999999999998"/>
  </r>
  <r>
    <d v="2024-05-02T00:00:00"/>
    <x v="8"/>
    <x v="2"/>
    <s v="Display"/>
    <x v="3"/>
    <s v="USA"/>
    <n v="108717"/>
    <n v="1435"/>
    <n v="1.32E-2"/>
    <n v="1.75"/>
    <n v="2511.25"/>
    <n v="108"/>
    <n v="23.25"/>
    <n v="22074.54"/>
    <n v="19563.29"/>
    <n v="7.7902598307615731"/>
    <n v="8.7899999999999991"/>
  </r>
  <r>
    <d v="2024-06-13T00:00:00"/>
    <x v="1"/>
    <x v="0"/>
    <s v="Shopping"/>
    <x v="4"/>
    <s v="India"/>
    <n v="141455"/>
    <n v="2673"/>
    <n v="1.89E-2"/>
    <n v="2.82"/>
    <n v="7537.86"/>
    <n v="122"/>
    <n v="61.79"/>
    <n v="19810.32"/>
    <n v="12272.46"/>
    <n v="1.6281093042322357"/>
    <n v="2.63"/>
  </r>
  <r>
    <d v="2024-12-04T00:00:00"/>
    <x v="9"/>
    <x v="2"/>
    <s v="Search"/>
    <x v="2"/>
    <s v="USA"/>
    <n v="158742"/>
    <n v="5778"/>
    <n v="3.6400000000000002E-2"/>
    <n v="2.17"/>
    <n v="12538.26"/>
    <n v="388"/>
    <n v="32.32"/>
    <n v="68610.11"/>
    <n v="56071.85"/>
    <n v="4.4720599189999248"/>
    <n v="5.47"/>
  </r>
  <r>
    <d v="2024-04-26T00:00:00"/>
    <x v="5"/>
    <x v="2"/>
    <s v="Search"/>
    <x v="4"/>
    <s v="Germany"/>
    <n v="26845"/>
    <n v="528"/>
    <n v="1.9699999999999999E-2"/>
    <n v="2.08"/>
    <n v="1098.24"/>
    <n v="11"/>
    <n v="99.84"/>
    <n v="1590.52"/>
    <n v="492.28"/>
    <n v="0.44824446386946382"/>
    <n v="1.45"/>
  </r>
  <r>
    <d v="2024-10-05T00:00:00"/>
    <x v="3"/>
    <x v="0"/>
    <s v="Video"/>
    <x v="0"/>
    <s v="USA"/>
    <n v="92332"/>
    <n v="5336"/>
    <n v="5.7799999999999997E-2"/>
    <n v="0.94"/>
    <n v="5015.84"/>
    <n v="213"/>
    <n v="23.55"/>
    <n v="39347.29"/>
    <n v="34331.449999999997"/>
    <n v="6.8446062872818905"/>
    <n v="7.84"/>
  </r>
  <r>
    <d v="2024-09-05T00:00:00"/>
    <x v="7"/>
    <x v="0"/>
    <s v="Search"/>
    <x v="4"/>
    <s v="India"/>
    <n v="90953"/>
    <n v="4365"/>
    <n v="4.8000000000000001E-2"/>
    <n v="3.04"/>
    <n v="13269.6"/>
    <n v="73"/>
    <n v="181.78"/>
    <n v="19836.75"/>
    <n v="6567.15"/>
    <n v="0.49490188099113758"/>
    <n v="1.49"/>
  </r>
  <r>
    <d v="2024-09-26T00:00:00"/>
    <x v="7"/>
    <x v="2"/>
    <s v="Shopping"/>
    <x v="3"/>
    <s v="Canada"/>
    <n v="15047"/>
    <n v="368"/>
    <n v="2.4500000000000001E-2"/>
    <n v="1.06"/>
    <n v="390.08"/>
    <n v="27"/>
    <n v="14.45"/>
    <n v="6244.19"/>
    <n v="5854.11"/>
    <n v="15.007460008203445"/>
    <n v="16.010000000000002"/>
  </r>
  <r>
    <d v="2024-04-12T00:00:00"/>
    <x v="5"/>
    <x v="0"/>
    <s v="Search"/>
    <x v="2"/>
    <s v="UAE"/>
    <n v="57632"/>
    <n v="1256"/>
    <n v="2.18E-2"/>
    <n v="1.75"/>
    <n v="2198"/>
    <n v="20"/>
    <n v="109.9"/>
    <n v="1647.61"/>
    <n v="-550.3900000000001"/>
    <n v="-0.25040491355777983"/>
    <n v="0.75"/>
  </r>
  <r>
    <d v="2024-10-28T00:00:00"/>
    <x v="3"/>
    <x v="1"/>
    <s v="Shopping"/>
    <x v="1"/>
    <s v="UAE"/>
    <n v="193568"/>
    <n v="12659"/>
    <n v="6.54E-2"/>
    <n v="1.24"/>
    <n v="15697.16"/>
    <n v="366"/>
    <n v="42.89"/>
    <n v="17585.84"/>
    <n v="1888.6800000000003"/>
    <n v="0.12031985403729084"/>
    <n v="1.1200000000000001"/>
  </r>
  <r>
    <d v="2024-05-21T00:00:00"/>
    <x v="8"/>
    <x v="0"/>
    <s v="Video"/>
    <x v="3"/>
    <s v="Germany"/>
    <n v="30343"/>
    <n v="743"/>
    <n v="2.4500000000000001E-2"/>
    <n v="3.05"/>
    <n v="2266.15"/>
    <n v="39"/>
    <n v="58.11"/>
    <n v="7450.31"/>
    <n v="5184.16"/>
    <n v="2.2876508615934514"/>
    <n v="3.29"/>
  </r>
  <r>
    <d v="2024-08-23T00:00:00"/>
    <x v="4"/>
    <x v="2"/>
    <s v="Display"/>
    <x v="3"/>
    <s v="Germany"/>
    <n v="6903"/>
    <n v="225"/>
    <n v="3.2599999999999997E-2"/>
    <n v="1.92"/>
    <n v="432"/>
    <n v="7"/>
    <n v="61.71"/>
    <n v="513.46"/>
    <n v="81.460000000000036"/>
    <n v="0.18856481481481491"/>
    <n v="1.19"/>
  </r>
  <r>
    <d v="2024-02-18T00:00:00"/>
    <x v="2"/>
    <x v="1"/>
    <s v="Display"/>
    <x v="3"/>
    <s v="USA"/>
    <n v="194291"/>
    <n v="9248"/>
    <n v="4.7600000000000003E-2"/>
    <n v="1.08"/>
    <n v="9987.84"/>
    <n v="669"/>
    <n v="14.93"/>
    <n v="34771.85"/>
    <n v="24784.01"/>
    <n v="2.4814184047802126"/>
    <n v="3.48"/>
  </r>
  <r>
    <d v="2024-08-09T00:00:00"/>
    <x v="4"/>
    <x v="2"/>
    <s v="Shopping"/>
    <x v="2"/>
    <s v="India"/>
    <n v="25704"/>
    <n v="616"/>
    <n v="2.4E-2"/>
    <n v="1"/>
    <n v="616"/>
    <n v="18"/>
    <n v="34.22"/>
    <n v="2381.36"/>
    <n v="1765.3600000000001"/>
    <n v="2.8658441558441559"/>
    <n v="3.87"/>
  </r>
  <r>
    <d v="2024-05-31T00:00:00"/>
    <x v="8"/>
    <x v="0"/>
    <s v="Display"/>
    <x v="2"/>
    <s v="Germany"/>
    <n v="18696"/>
    <n v="327"/>
    <n v="1.7500000000000002E-2"/>
    <n v="2.61"/>
    <n v="853.47"/>
    <n v="8"/>
    <n v="106.68"/>
    <n v="1284.99"/>
    <n v="431.52"/>
    <n v="0.50560652395514782"/>
    <n v="1.51"/>
  </r>
  <r>
    <d v="2024-02-16T00:00:00"/>
    <x v="2"/>
    <x v="2"/>
    <s v="Video"/>
    <x v="1"/>
    <s v="UK"/>
    <n v="165408"/>
    <n v="1670"/>
    <n v="1.01E-2"/>
    <n v="1.3"/>
    <n v="2171"/>
    <n v="80"/>
    <n v="27.14"/>
    <n v="9561"/>
    <n v="7390"/>
    <n v="3.4039613081529247"/>
    <n v="4.4000000000000004"/>
  </r>
  <r>
    <d v="2024-04-14T00:00:00"/>
    <x v="5"/>
    <x v="0"/>
    <s v="Search"/>
    <x v="4"/>
    <s v="Australia"/>
    <n v="191372"/>
    <n v="11711"/>
    <n v="6.1199999999999997E-2"/>
    <n v="2.48"/>
    <n v="29043.279999999999"/>
    <n v="335"/>
    <n v="86.7"/>
    <n v="75028.42"/>
    <n v="45985.14"/>
    <n v="1.5833314969934527"/>
    <n v="2.58"/>
  </r>
  <r>
    <d v="2024-09-06T00:00:00"/>
    <x v="7"/>
    <x v="2"/>
    <s v="Display"/>
    <x v="1"/>
    <s v="USA"/>
    <n v="71247"/>
    <n v="1888"/>
    <n v="2.6499999999999999E-2"/>
    <n v="0.47"/>
    <n v="887.36"/>
    <n v="57"/>
    <n v="15.57"/>
    <n v="9045.86"/>
    <n v="8158.5000000000009"/>
    <n v="9.1941263974035348"/>
    <n v="10.19"/>
  </r>
  <r>
    <d v="2024-04-11T00:00:00"/>
    <x v="5"/>
    <x v="1"/>
    <s v="Search"/>
    <x v="0"/>
    <s v="UAE"/>
    <n v="132294"/>
    <n v="7527"/>
    <n v="5.6899999999999999E-2"/>
    <n v="0.9"/>
    <n v="6774.3"/>
    <n v="262"/>
    <n v="25.86"/>
    <n v="50030.33"/>
    <n v="43256.03"/>
    <n v="6.3853136117384821"/>
    <n v="7.39"/>
  </r>
  <r>
    <d v="2024-12-29T00:00:00"/>
    <x v="9"/>
    <x v="1"/>
    <s v="Display"/>
    <x v="4"/>
    <s v="Germany"/>
    <n v="66086"/>
    <n v="3317"/>
    <n v="5.0200000000000002E-2"/>
    <n v="0.33"/>
    <n v="1094.6099999999999"/>
    <n v="206"/>
    <n v="5.31"/>
    <n v="51119.73"/>
    <n v="50025.120000000003"/>
    <n v="45.701318277742764"/>
    <n v="46.7"/>
  </r>
  <r>
    <d v="2024-12-23T00:00:00"/>
    <x v="9"/>
    <x v="0"/>
    <s v="Search"/>
    <x v="2"/>
    <s v="UK"/>
    <n v="186232"/>
    <n v="9292"/>
    <n v="4.99E-2"/>
    <n v="2.4"/>
    <n v="22300.799999999999"/>
    <n v="265"/>
    <n v="84.15"/>
    <n v="67766.02"/>
    <n v="45465.22"/>
    <n v="2.0387259649878033"/>
    <n v="3.04"/>
  </r>
  <r>
    <d v="2024-11-01T00:00:00"/>
    <x v="6"/>
    <x v="1"/>
    <s v="Shopping"/>
    <x v="2"/>
    <s v="India"/>
    <n v="145225"/>
    <n v="5562"/>
    <n v="3.8300000000000001E-2"/>
    <n v="0.84"/>
    <n v="4672.08"/>
    <n v="378"/>
    <n v="12.36"/>
    <n v="102053.93"/>
    <n v="97381.849999999991"/>
    <n v="20.843360986969401"/>
    <n v="21.84"/>
  </r>
  <r>
    <d v="2024-05-27T00:00:00"/>
    <x v="8"/>
    <x v="0"/>
    <s v="Search"/>
    <x v="3"/>
    <s v="Germany"/>
    <n v="15470"/>
    <n v="529"/>
    <n v="3.4200000000000001E-2"/>
    <n v="1.2"/>
    <n v="634.79999999999995"/>
    <n v="5"/>
    <n v="126.96"/>
    <n v="1223.76"/>
    <n v="588.96"/>
    <n v="0.92778827977315703"/>
    <n v="1.93"/>
  </r>
  <r>
    <d v="2024-04-05T00:00:00"/>
    <x v="5"/>
    <x v="0"/>
    <s v="Display"/>
    <x v="2"/>
    <s v="Australia"/>
    <n v="91814"/>
    <n v="2607"/>
    <n v="2.8400000000000002E-2"/>
    <n v="2.48"/>
    <n v="6465.36"/>
    <n v="129"/>
    <n v="50.12"/>
    <n v="25405.84"/>
    <n v="18940.48"/>
    <n v="2.9295321528886249"/>
    <n v="3.93"/>
  </r>
  <r>
    <d v="2024-03-24T00:00:00"/>
    <x v="11"/>
    <x v="0"/>
    <s v="Display"/>
    <x v="1"/>
    <s v="Australia"/>
    <n v="96087"/>
    <n v="3238"/>
    <n v="3.3700000000000001E-2"/>
    <n v="3.04"/>
    <n v="9843.52"/>
    <n v="45"/>
    <n v="218.74"/>
    <n v="7783"/>
    <n v="-2060.5200000000004"/>
    <n v="-0.20932755762166383"/>
    <n v="0.79"/>
  </r>
  <r>
    <d v="2024-03-12T00:00:00"/>
    <x v="11"/>
    <x v="0"/>
    <s v="Shopping"/>
    <x v="0"/>
    <s v="Germany"/>
    <n v="92943"/>
    <n v="5037"/>
    <n v="5.4199999999999998E-2"/>
    <n v="2.2599999999999998"/>
    <n v="11383.62"/>
    <n v="232"/>
    <n v="49.07"/>
    <n v="64994.16"/>
    <n v="53610.54"/>
    <n v="4.7094456772098852"/>
    <n v="5.71"/>
  </r>
  <r>
    <d v="2024-04-10T00:00:00"/>
    <x v="5"/>
    <x v="2"/>
    <s v="Display"/>
    <x v="3"/>
    <s v="India"/>
    <n v="36411"/>
    <n v="873"/>
    <n v="2.4E-2"/>
    <n v="2.0299999999999998"/>
    <n v="1772.19"/>
    <n v="47"/>
    <n v="37.71"/>
    <n v="13565.96"/>
    <n v="11793.769999999999"/>
    <n v="6.6549128479451971"/>
    <n v="7.65"/>
  </r>
  <r>
    <d v="2024-08-17T00:00:00"/>
    <x v="4"/>
    <x v="2"/>
    <s v="Video"/>
    <x v="1"/>
    <s v="USA"/>
    <n v="145170"/>
    <n v="4688"/>
    <n v="3.2300000000000002E-2"/>
    <n v="1.75"/>
    <n v="8204"/>
    <n v="106"/>
    <n v="77.400000000000006"/>
    <n v="30413.14"/>
    <n v="22209.14"/>
    <n v="2.7071111652852267"/>
    <n v="3.71"/>
  </r>
  <r>
    <d v="2024-03-25T00:00:00"/>
    <x v="11"/>
    <x v="0"/>
    <s v="Video"/>
    <x v="4"/>
    <s v="Germany"/>
    <n v="146428"/>
    <n v="2796"/>
    <n v="1.9099999999999999E-2"/>
    <n v="2.2400000000000002"/>
    <n v="6263.04"/>
    <n v="164"/>
    <n v="38.19"/>
    <n v="33829.22"/>
    <n v="27566.18"/>
    <n v="4.4014057071326382"/>
    <n v="5.4"/>
  </r>
  <r>
    <d v="2024-08-28T00:00:00"/>
    <x v="4"/>
    <x v="0"/>
    <s v="Search"/>
    <x v="0"/>
    <s v="Germany"/>
    <n v="151772"/>
    <n v="6237"/>
    <n v="4.1099999999999998E-2"/>
    <n v="1.02"/>
    <n v="6361.74"/>
    <n v="302"/>
    <n v="21.07"/>
    <n v="77929.210000000006"/>
    <n v="71567.47"/>
    <n v="11.249669115682188"/>
    <n v="12.25"/>
  </r>
  <r>
    <d v="2024-01-19T00:00:00"/>
    <x v="0"/>
    <x v="1"/>
    <s v="Search"/>
    <x v="4"/>
    <s v="USA"/>
    <n v="179561"/>
    <n v="8600"/>
    <n v="4.7899999999999998E-2"/>
    <n v="1.44"/>
    <n v="12384"/>
    <n v="212"/>
    <n v="58.42"/>
    <n v="34386.07"/>
    <n v="22002.07"/>
    <n v="1.7766529392764858"/>
    <n v="2.78"/>
  </r>
  <r>
    <d v="2024-09-11T00:00:00"/>
    <x v="7"/>
    <x v="0"/>
    <s v="Search"/>
    <x v="1"/>
    <s v="UAE"/>
    <n v="100381"/>
    <n v="5691"/>
    <n v="5.67E-2"/>
    <n v="0.83"/>
    <n v="4723.53"/>
    <n v="321"/>
    <n v="14.72"/>
    <n v="58283.85"/>
    <n v="53560.32"/>
    <n v="11.339045163257142"/>
    <n v="12.34"/>
  </r>
  <r>
    <d v="2024-12-23T00:00:00"/>
    <x v="9"/>
    <x v="1"/>
    <s v="Display"/>
    <x v="4"/>
    <s v="India"/>
    <n v="180552"/>
    <n v="6030"/>
    <n v="3.3399999999999999E-2"/>
    <n v="1.7"/>
    <n v="10251"/>
    <n v="383"/>
    <n v="26.77"/>
    <n v="23539.41"/>
    <n v="13288.41"/>
    <n v="1.2963037752414399"/>
    <n v="2.2999999999999998"/>
  </r>
  <r>
    <d v="2024-07-03T00:00:00"/>
    <x v="10"/>
    <x v="1"/>
    <s v="Display"/>
    <x v="1"/>
    <s v="USA"/>
    <n v="163328"/>
    <n v="4981"/>
    <n v="3.0499999999999999E-2"/>
    <n v="1.21"/>
    <n v="6027.01"/>
    <n v="142"/>
    <n v="42.44"/>
    <n v="21158.33"/>
    <n v="15131.320000000002"/>
    <n v="2.5105848505311923"/>
    <n v="3.51"/>
  </r>
  <r>
    <d v="2024-06-03T00:00:00"/>
    <x v="1"/>
    <x v="1"/>
    <s v="Display"/>
    <x v="1"/>
    <s v="USA"/>
    <n v="93635"/>
    <n v="4363"/>
    <n v="4.6600000000000003E-2"/>
    <n v="1.36"/>
    <n v="5933.68"/>
    <n v="117"/>
    <n v="50.72"/>
    <n v="29999.39"/>
    <n v="24065.71"/>
    <n v="4.0557815723126289"/>
    <n v="5.0599999999999996"/>
  </r>
  <r>
    <d v="2024-12-29T00:00:00"/>
    <x v="9"/>
    <x v="0"/>
    <s v="Display"/>
    <x v="3"/>
    <s v="UAE"/>
    <n v="133526"/>
    <n v="4633"/>
    <n v="3.4700000000000002E-2"/>
    <n v="3.07"/>
    <n v="14223.31"/>
    <n v="340"/>
    <n v="41.83"/>
    <n v="62193.85"/>
    <n v="47970.54"/>
    <n v="3.3726706371442372"/>
    <n v="4.37"/>
  </r>
  <r>
    <d v="2024-02-06T00:00:00"/>
    <x v="2"/>
    <x v="1"/>
    <s v="Video"/>
    <x v="4"/>
    <s v="Canada"/>
    <n v="48475"/>
    <n v="3160"/>
    <n v="6.5199999999999994E-2"/>
    <n v="0.76"/>
    <n v="2401.6"/>
    <n v="124"/>
    <n v="19.37"/>
    <n v="19990.89"/>
    <n v="17589.29"/>
    <n v="7.3239881745503004"/>
    <n v="8.32"/>
  </r>
  <r>
    <d v="2024-11-13T00:00:00"/>
    <x v="6"/>
    <x v="1"/>
    <s v="Video"/>
    <x v="0"/>
    <s v="India"/>
    <n v="195722"/>
    <n v="12624"/>
    <n v="6.4500000000000002E-2"/>
    <n v="2.0099999999999998"/>
    <n v="25374.240000000002"/>
    <n v="755"/>
    <n v="33.61"/>
    <n v="129016.77"/>
    <n v="103642.53"/>
    <n v="4.0845570153037096"/>
    <n v="5.08"/>
  </r>
  <r>
    <d v="2024-05-04T00:00:00"/>
    <x v="8"/>
    <x v="0"/>
    <s v="Search"/>
    <x v="2"/>
    <s v="UK"/>
    <n v="106277"/>
    <n v="6961"/>
    <n v="6.5500000000000003E-2"/>
    <n v="2.96"/>
    <n v="20604.560000000001"/>
    <n v="180"/>
    <n v="114.47"/>
    <n v="42397.440000000002"/>
    <n v="21792.880000000001"/>
    <n v="1.0576726705156527"/>
    <n v="2.06"/>
  </r>
  <r>
    <d v="2024-01-22T00:00:00"/>
    <x v="0"/>
    <x v="0"/>
    <s v="Shopping"/>
    <x v="0"/>
    <s v="Australia"/>
    <n v="153953"/>
    <n v="5095"/>
    <n v="3.3099999999999997E-2"/>
    <n v="2.86"/>
    <n v="14571.7"/>
    <n v="110"/>
    <n v="132.47"/>
    <n v="30634.7"/>
    <n v="16063"/>
    <n v="1.102342211272535"/>
    <n v="2.1"/>
  </r>
  <r>
    <d v="2024-09-07T00:00:00"/>
    <x v="7"/>
    <x v="2"/>
    <s v="Video"/>
    <x v="2"/>
    <s v="Germany"/>
    <n v="142135"/>
    <n v="2387"/>
    <n v="1.6799999999999999E-2"/>
    <n v="1.92"/>
    <n v="4583.04"/>
    <n v="98"/>
    <n v="46.77"/>
    <n v="25385.35"/>
    <n v="20802.309999999998"/>
    <n v="4.5389763126658282"/>
    <n v="5.54"/>
  </r>
  <r>
    <d v="2024-11-25T00:00:00"/>
    <x v="6"/>
    <x v="0"/>
    <s v="Shopping"/>
    <x v="1"/>
    <s v="Canada"/>
    <n v="107891"/>
    <n v="3733"/>
    <n v="3.4599999999999999E-2"/>
    <n v="2.31"/>
    <n v="8623.23"/>
    <n v="148"/>
    <n v="58.27"/>
    <n v="15202.91"/>
    <n v="6579.68"/>
    <n v="0.76301803384578637"/>
    <n v="1.76"/>
  </r>
  <r>
    <d v="2024-03-20T00:00:00"/>
    <x v="11"/>
    <x v="1"/>
    <s v="Video"/>
    <x v="3"/>
    <s v="USA"/>
    <n v="191380"/>
    <n v="8171"/>
    <n v="4.2700000000000002E-2"/>
    <n v="0.5"/>
    <n v="4085.5"/>
    <n v="572"/>
    <n v="7.14"/>
    <n v="155778.92000000001"/>
    <n v="151693.42000000001"/>
    <n v="37.129707502141727"/>
    <n v="38.130000000000003"/>
  </r>
  <r>
    <d v="2024-08-11T00:00:00"/>
    <x v="4"/>
    <x v="2"/>
    <s v="Search"/>
    <x v="2"/>
    <s v="UK"/>
    <n v="123372"/>
    <n v="3355"/>
    <n v="2.7199999999999998E-2"/>
    <n v="2.2999999999999998"/>
    <n v="7716.5"/>
    <n v="224"/>
    <n v="34.450000000000003"/>
    <n v="57352.38"/>
    <n v="49635.88"/>
    <n v="6.4324343938314001"/>
    <n v="7.43"/>
  </r>
  <r>
    <d v="2024-12-24T00:00:00"/>
    <x v="9"/>
    <x v="0"/>
    <s v="Search"/>
    <x v="4"/>
    <s v="UAE"/>
    <n v="104464"/>
    <n v="4314"/>
    <n v="4.1300000000000003E-2"/>
    <n v="2.2599999999999998"/>
    <n v="9749.64"/>
    <n v="82"/>
    <n v="118.9"/>
    <n v="10226.11"/>
    <n v="476.47000000000116"/>
    <n v="4.8870522398775873E-2"/>
    <n v="1.05"/>
  </r>
  <r>
    <d v="2024-06-03T00:00:00"/>
    <x v="1"/>
    <x v="0"/>
    <s v="Video"/>
    <x v="3"/>
    <s v="UK"/>
    <n v="113502"/>
    <n v="2235"/>
    <n v="1.9699999999999999E-2"/>
    <n v="1.21"/>
    <n v="2704.35"/>
    <n v="34"/>
    <n v="79.540000000000006"/>
    <n v="6126.9"/>
    <n v="3422.5499999999997"/>
    <n v="1.2655721337844583"/>
    <n v="2.27"/>
  </r>
  <r>
    <d v="2024-09-09T00:00:00"/>
    <x v="7"/>
    <x v="0"/>
    <s v="Shopping"/>
    <x v="2"/>
    <s v="Australia"/>
    <n v="95196"/>
    <n v="3170"/>
    <n v="3.3300000000000003E-2"/>
    <n v="1.05"/>
    <n v="3328.5"/>
    <n v="170"/>
    <n v="19.579999999999998"/>
    <n v="13047.52"/>
    <n v="9719.02"/>
    <n v="2.9199399128736672"/>
    <n v="3.92"/>
  </r>
  <r>
    <d v="2024-01-27T00:00:00"/>
    <x v="0"/>
    <x v="0"/>
    <s v="Display"/>
    <x v="2"/>
    <s v="UK"/>
    <n v="86362"/>
    <n v="2547"/>
    <n v="2.9499999999999998E-2"/>
    <n v="1.41"/>
    <n v="3591.27"/>
    <n v="164"/>
    <n v="21.9"/>
    <n v="33307.300000000003"/>
    <n v="29716.030000000002"/>
    <n v="8.2745184851041564"/>
    <n v="9.27"/>
  </r>
  <r>
    <d v="2024-06-28T00:00:00"/>
    <x v="1"/>
    <x v="0"/>
    <s v="Search"/>
    <x v="4"/>
    <s v="USA"/>
    <n v="78532"/>
    <n v="4735"/>
    <n v="6.0299999999999999E-2"/>
    <n v="2.82"/>
    <n v="13352.7"/>
    <n v="310"/>
    <n v="43.07"/>
    <n v="45765.16"/>
    <n v="32412.460000000003"/>
    <n v="2.4274086888794026"/>
    <n v="3.43"/>
  </r>
  <r>
    <d v="2024-03-19T00:00:00"/>
    <x v="11"/>
    <x v="0"/>
    <s v="Shopping"/>
    <x v="2"/>
    <s v="Canada"/>
    <n v="184081"/>
    <n v="5135"/>
    <n v="2.7900000000000001E-2"/>
    <n v="2.1800000000000002"/>
    <n v="11194.3"/>
    <n v="96"/>
    <n v="116.61"/>
    <n v="24545.05"/>
    <n v="13350.75"/>
    <n v="1.1926382176643471"/>
    <n v="2.19"/>
  </r>
  <r>
    <d v="2024-01-28T00:00:00"/>
    <x v="0"/>
    <x v="2"/>
    <s v="Display"/>
    <x v="2"/>
    <s v="Canada"/>
    <n v="93966"/>
    <n v="2104"/>
    <n v="2.24E-2"/>
    <n v="0.97"/>
    <n v="2040.88"/>
    <n v="157"/>
    <n v="13"/>
    <n v="6975.9"/>
    <n v="4935.0199999999995"/>
    <n v="2.4180843557680998"/>
    <n v="3.42"/>
  </r>
  <r>
    <d v="2024-07-23T00:00:00"/>
    <x v="10"/>
    <x v="0"/>
    <s v="Video"/>
    <x v="3"/>
    <s v="UAE"/>
    <n v="28667"/>
    <n v="1338"/>
    <n v="4.6699999999999998E-2"/>
    <n v="2.9"/>
    <n v="3880.2"/>
    <n v="24"/>
    <n v="161.66999999999999"/>
    <n v="3421.56"/>
    <n v="-458.63999999999987"/>
    <n v="-0.11820009277872272"/>
    <n v="0.88"/>
  </r>
  <r>
    <d v="2024-01-21T00:00:00"/>
    <x v="0"/>
    <x v="0"/>
    <s v="Display"/>
    <x v="2"/>
    <s v="Australia"/>
    <n v="154239"/>
    <n v="7465"/>
    <n v="4.8399999999999999E-2"/>
    <n v="3.2"/>
    <n v="23888"/>
    <n v="484"/>
    <n v="49.36"/>
    <n v="25632.04"/>
    <n v="1744.0400000000009"/>
    <n v="7.3009042196918991E-2"/>
    <n v="1.07"/>
  </r>
  <r>
    <d v="2024-04-05T00:00:00"/>
    <x v="5"/>
    <x v="2"/>
    <s v="Video"/>
    <x v="0"/>
    <s v="UAE"/>
    <n v="103576"/>
    <n v="1263"/>
    <n v="1.2200000000000001E-2"/>
    <n v="0.47"/>
    <n v="593.61"/>
    <n v="22"/>
    <n v="26.98"/>
    <n v="5190.25"/>
    <n v="4596.6400000000003"/>
    <n v="7.7435353178012507"/>
    <n v="8.74"/>
  </r>
  <r>
    <d v="2024-09-25T00:00:00"/>
    <x v="7"/>
    <x v="1"/>
    <s v="Video"/>
    <x v="1"/>
    <s v="India"/>
    <n v="111154"/>
    <n v="5124"/>
    <n v="4.6100000000000002E-2"/>
    <n v="0.89"/>
    <n v="4560.3599999999997"/>
    <n v="368"/>
    <n v="12.39"/>
    <n v="82164.399999999994"/>
    <n v="77604.039999999994"/>
    <n v="17.017086370374269"/>
    <n v="18.02"/>
  </r>
  <r>
    <d v="2024-10-28T00:00:00"/>
    <x v="3"/>
    <x v="0"/>
    <s v="Search"/>
    <x v="4"/>
    <s v="USA"/>
    <n v="104456"/>
    <n v="6403"/>
    <n v="6.13E-2"/>
    <n v="2.11"/>
    <n v="13510.33"/>
    <n v="440"/>
    <n v="30.71"/>
    <n v="111130.68"/>
    <n v="97620.349999999991"/>
    <n v="7.2256081087582604"/>
    <n v="8.23"/>
  </r>
  <r>
    <d v="2024-10-12T00:00:00"/>
    <x v="3"/>
    <x v="2"/>
    <s v="Display"/>
    <x v="3"/>
    <s v="UAE"/>
    <n v="173307"/>
    <n v="3292"/>
    <n v="1.9E-2"/>
    <n v="1.03"/>
    <n v="3390.76"/>
    <n v="74"/>
    <n v="45.82"/>
    <n v="21574.44"/>
    <n v="18183.68"/>
    <n v="5.3627151435076499"/>
    <n v="6.36"/>
  </r>
  <r>
    <d v="2024-03-10T00:00:00"/>
    <x v="11"/>
    <x v="0"/>
    <s v="Display"/>
    <x v="0"/>
    <s v="Australia"/>
    <n v="197459"/>
    <n v="5667"/>
    <n v="2.87E-2"/>
    <n v="3.56"/>
    <n v="20174.52"/>
    <n v="105"/>
    <n v="192.14"/>
    <n v="17723.39"/>
    <n v="-2451.130000000001"/>
    <n v="-0.12149632308476241"/>
    <n v="0.88"/>
  </r>
  <r>
    <d v="2024-09-01T00:00:00"/>
    <x v="7"/>
    <x v="1"/>
    <s v="Video"/>
    <x v="1"/>
    <s v="UK"/>
    <n v="154676"/>
    <n v="5970"/>
    <n v="3.8600000000000002E-2"/>
    <n v="1.0900000000000001"/>
    <n v="6507.3"/>
    <n v="107"/>
    <n v="60.82"/>
    <n v="14099.39"/>
    <n v="7592.0899999999992"/>
    <n v="1.1667035483226529"/>
    <n v="2.17"/>
  </r>
  <r>
    <d v="2024-04-24T00:00:00"/>
    <x v="5"/>
    <x v="2"/>
    <s v="Video"/>
    <x v="0"/>
    <s v="India"/>
    <n v="138528"/>
    <n v="3698"/>
    <n v="2.6700000000000002E-2"/>
    <n v="2.27"/>
    <n v="8394.4599999999991"/>
    <n v="264"/>
    <n v="31.8"/>
    <n v="34788.99"/>
    <n v="26394.53"/>
    <n v="3.1442796796935122"/>
    <n v="4.1399999999999997"/>
  </r>
  <r>
    <d v="2024-08-01T00:00:00"/>
    <x v="4"/>
    <x v="0"/>
    <s v="Display"/>
    <x v="3"/>
    <s v="Canada"/>
    <n v="188490"/>
    <n v="6879"/>
    <n v="3.6499999999999998E-2"/>
    <n v="2.84"/>
    <n v="19536.36"/>
    <n v="279"/>
    <n v="70.02"/>
    <n v="18268.77"/>
    <n v="-1267.5900000000001"/>
    <n v="-6.4883632365496963E-2"/>
    <n v="0.94"/>
  </r>
  <r>
    <d v="2024-09-21T00:00:00"/>
    <x v="7"/>
    <x v="1"/>
    <s v="Display"/>
    <x v="3"/>
    <s v="USA"/>
    <n v="155929"/>
    <n v="6408"/>
    <n v="4.1099999999999998E-2"/>
    <n v="0.97"/>
    <n v="6215.76"/>
    <n v="481"/>
    <n v="12.92"/>
    <n v="51123.92"/>
    <n v="44908.159999999996"/>
    <n v="7.2248864177510059"/>
    <n v="8.2200000000000006"/>
  </r>
  <r>
    <d v="2024-05-31T00:00:00"/>
    <x v="8"/>
    <x v="0"/>
    <s v="Display"/>
    <x v="1"/>
    <s v="Canada"/>
    <n v="177220"/>
    <n v="4607"/>
    <n v="2.5999999999999999E-2"/>
    <n v="2.3199999999999998"/>
    <n v="10688.24"/>
    <n v="114"/>
    <n v="93.76"/>
    <n v="9297.0300000000007"/>
    <n v="-1391.2099999999991"/>
    <n v="-0.13016268347267643"/>
    <n v="0.87"/>
  </r>
  <r>
    <d v="2024-10-10T00:00:00"/>
    <x v="3"/>
    <x v="2"/>
    <s v="Video"/>
    <x v="4"/>
    <s v="Canada"/>
    <n v="188552"/>
    <n v="6373"/>
    <n v="3.3799999999999997E-2"/>
    <n v="0.65"/>
    <n v="4142.45"/>
    <n v="129"/>
    <n v="32.11"/>
    <n v="8973.49"/>
    <n v="4831.04"/>
    <n v="1.1662277154823837"/>
    <n v="2.17"/>
  </r>
  <r>
    <d v="2024-09-15T00:00:00"/>
    <x v="7"/>
    <x v="0"/>
    <s v="Video"/>
    <x v="4"/>
    <s v="Canada"/>
    <n v="136460"/>
    <n v="4462"/>
    <n v="3.27E-2"/>
    <n v="0.88"/>
    <n v="3926.56"/>
    <n v="322"/>
    <n v="12.19"/>
    <n v="59937.98"/>
    <n v="56011.420000000006"/>
    <n v="14.264755918666722"/>
    <n v="15.26"/>
  </r>
  <r>
    <d v="2024-10-07T00:00:00"/>
    <x v="3"/>
    <x v="1"/>
    <s v="Display"/>
    <x v="2"/>
    <s v="Canada"/>
    <n v="124614"/>
    <n v="4573"/>
    <n v="3.6700000000000003E-2"/>
    <n v="0.28999999999999998"/>
    <n v="1326.17"/>
    <n v="240"/>
    <n v="5.53"/>
    <n v="46988.2"/>
    <n v="45662.03"/>
    <n v="34.43150576472096"/>
    <n v="35.43"/>
  </r>
  <r>
    <d v="2024-04-15T00:00:00"/>
    <x v="5"/>
    <x v="2"/>
    <s v="Video"/>
    <x v="3"/>
    <s v="India"/>
    <n v="28359"/>
    <n v="612"/>
    <n v="2.1600000000000001E-2"/>
    <n v="0.75"/>
    <n v="459"/>
    <n v="30"/>
    <n v="15.3"/>
    <n v="6591.07"/>
    <n v="6132.07"/>
    <n v="13.359629629629628"/>
    <n v="14.36"/>
  </r>
  <r>
    <d v="2024-06-28T00:00:00"/>
    <x v="1"/>
    <x v="2"/>
    <s v="Search"/>
    <x v="4"/>
    <s v="USA"/>
    <n v="81759"/>
    <n v="1316"/>
    <n v="1.61E-2"/>
    <n v="0.9"/>
    <n v="1184.4000000000001"/>
    <n v="46"/>
    <n v="25.75"/>
    <n v="6171.89"/>
    <n v="4987.49"/>
    <n v="4.2109844647078685"/>
    <n v="5.21"/>
  </r>
  <r>
    <d v="2024-04-05T00:00:00"/>
    <x v="5"/>
    <x v="2"/>
    <s v="Video"/>
    <x v="4"/>
    <s v="Germany"/>
    <n v="131230"/>
    <n v="2139"/>
    <n v="1.6299999999999999E-2"/>
    <n v="2.23"/>
    <n v="4769.97"/>
    <n v="105"/>
    <n v="45.43"/>
    <n v="24738.73"/>
    <n v="19968.759999999998"/>
    <n v="4.1863491803931678"/>
    <n v="5.19"/>
  </r>
  <r>
    <d v="2024-06-01T00:00:00"/>
    <x v="1"/>
    <x v="1"/>
    <s v="Search"/>
    <x v="4"/>
    <s v="Canada"/>
    <n v="49659"/>
    <n v="2413"/>
    <n v="4.8599999999999997E-2"/>
    <n v="1.45"/>
    <n v="3498.85"/>
    <n v="191"/>
    <n v="18.32"/>
    <n v="38157.72"/>
    <n v="34658.870000000003"/>
    <n v="9.9057890449719199"/>
    <n v="10.91"/>
  </r>
  <r>
    <d v="2024-02-07T00:00:00"/>
    <x v="2"/>
    <x v="1"/>
    <s v="Display"/>
    <x v="0"/>
    <s v="Germany"/>
    <n v="103029"/>
    <n v="6830"/>
    <n v="6.6299999999999998E-2"/>
    <n v="0.52"/>
    <n v="3551.6"/>
    <n v="148"/>
    <n v="24"/>
    <n v="14545.74"/>
    <n v="10994.14"/>
    <n v="3.0955456695573824"/>
    <n v="4.0999999999999996"/>
  </r>
  <r>
    <d v="2024-06-01T00:00:00"/>
    <x v="1"/>
    <x v="1"/>
    <s v="Shopping"/>
    <x v="2"/>
    <s v="Canada"/>
    <n v="52368"/>
    <n v="3351"/>
    <n v="6.4000000000000001E-2"/>
    <n v="0.61"/>
    <n v="2044.11"/>
    <n v="117"/>
    <n v="17.47"/>
    <n v="12829.28"/>
    <n v="10785.17"/>
    <n v="5.2762180117508359"/>
    <n v="6.28"/>
  </r>
  <r>
    <d v="2024-06-15T00:00:00"/>
    <x v="1"/>
    <x v="1"/>
    <s v="Video"/>
    <x v="1"/>
    <s v="Canada"/>
    <n v="144585"/>
    <n v="8357"/>
    <n v="5.7799999999999997E-2"/>
    <n v="0.52"/>
    <n v="4345.6400000000003"/>
    <n v="412"/>
    <n v="10.55"/>
    <n v="78373.31"/>
    <n v="74027.67"/>
    <n v="17.034929262433149"/>
    <n v="18.03"/>
  </r>
  <r>
    <d v="2024-03-22T00:00:00"/>
    <x v="11"/>
    <x v="1"/>
    <s v="Shopping"/>
    <x v="0"/>
    <s v="UK"/>
    <n v="40308"/>
    <n v="3853"/>
    <n v="9.5600000000000004E-2"/>
    <n v="1.0900000000000001"/>
    <n v="4199.7700000000004"/>
    <n v="291"/>
    <n v="14.43"/>
    <n v="33059.93"/>
    <n v="28860.16"/>
    <n v="6.8718429818775784"/>
    <n v="7.87"/>
  </r>
  <r>
    <d v="2024-08-08T00:00:00"/>
    <x v="4"/>
    <x v="1"/>
    <s v="Search"/>
    <x v="4"/>
    <s v="Germany"/>
    <n v="43635"/>
    <n v="2469"/>
    <n v="5.6599999999999998E-2"/>
    <n v="1.21"/>
    <n v="2987.49"/>
    <n v="133"/>
    <n v="22.46"/>
    <n v="19667.27"/>
    <n v="16679.78"/>
    <n v="5.583208646723504"/>
    <n v="6.58"/>
  </r>
  <r>
    <d v="2024-08-08T00:00:00"/>
    <x v="4"/>
    <x v="2"/>
    <s v="Search"/>
    <x v="1"/>
    <s v="India"/>
    <n v="164074"/>
    <n v="6152"/>
    <n v="3.7499999999999999E-2"/>
    <n v="0.95"/>
    <n v="5844.4"/>
    <n v="360"/>
    <n v="16.23"/>
    <n v="47241.24"/>
    <n v="41396.839999999997"/>
    <n v="7.0831633700636507"/>
    <n v="8.08"/>
  </r>
  <r>
    <d v="2024-08-13T00:00:00"/>
    <x v="4"/>
    <x v="2"/>
    <s v="Shopping"/>
    <x v="2"/>
    <s v="Canada"/>
    <n v="107300"/>
    <n v="2693"/>
    <n v="2.5100000000000001E-2"/>
    <n v="0.56999999999999995"/>
    <n v="1535.01"/>
    <n v="153"/>
    <n v="10.029999999999999"/>
    <n v="18121.16"/>
    <n v="16586.150000000001"/>
    <n v="10.805239053817241"/>
    <n v="11.81"/>
  </r>
  <r>
    <d v="2024-11-04T00:00:00"/>
    <x v="6"/>
    <x v="2"/>
    <s v="Display"/>
    <x v="1"/>
    <s v="India"/>
    <n v="177443"/>
    <n v="4400"/>
    <n v="2.4799999999999999E-2"/>
    <n v="2.17"/>
    <n v="9548"/>
    <n v="231"/>
    <n v="41.33"/>
    <n v="43094.26"/>
    <n v="33546.26"/>
    <n v="3.5134331797235023"/>
    <n v="4.51"/>
  </r>
  <r>
    <d v="2024-04-20T00:00:00"/>
    <x v="5"/>
    <x v="1"/>
    <s v="Shopping"/>
    <x v="1"/>
    <s v="UAE"/>
    <n v="141268"/>
    <n v="7402"/>
    <n v="5.2400000000000002E-2"/>
    <n v="1.24"/>
    <n v="9178.48"/>
    <n v="335"/>
    <n v="27.4"/>
    <n v="31326.97"/>
    <n v="22148.49"/>
    <n v="2.4130890953621953"/>
    <n v="3.41"/>
  </r>
  <r>
    <d v="2024-05-26T00:00:00"/>
    <x v="8"/>
    <x v="1"/>
    <s v="Display"/>
    <x v="1"/>
    <s v="Germany"/>
    <n v="145631"/>
    <n v="4194"/>
    <n v="2.8799999999999999E-2"/>
    <n v="0.84"/>
    <n v="3522.96"/>
    <n v="59"/>
    <n v="59.71"/>
    <n v="15427.34"/>
    <n v="11904.380000000001"/>
    <n v="3.379084633376479"/>
    <n v="4.38"/>
  </r>
  <r>
    <d v="2024-11-22T00:00:00"/>
    <x v="6"/>
    <x v="1"/>
    <s v="Search"/>
    <x v="1"/>
    <s v="Canada"/>
    <n v="191041"/>
    <n v="7393"/>
    <n v="3.8699999999999998E-2"/>
    <n v="0.53"/>
    <n v="3918.29"/>
    <n v="446"/>
    <n v="8.7899999999999991"/>
    <n v="15789.02"/>
    <n v="11870.73"/>
    <n v="3.0295690211801576"/>
    <n v="4.03"/>
  </r>
  <r>
    <d v="2024-11-13T00:00:00"/>
    <x v="6"/>
    <x v="1"/>
    <s v="Video"/>
    <x v="2"/>
    <s v="UK"/>
    <n v="72145"/>
    <n v="3058"/>
    <n v="4.24E-2"/>
    <n v="0.77"/>
    <n v="2354.66"/>
    <n v="78"/>
    <n v="30.19"/>
    <n v="7543.67"/>
    <n v="5189.01"/>
    <n v="2.2037194329542271"/>
    <n v="3.2"/>
  </r>
  <r>
    <d v="2024-03-04T00:00:00"/>
    <x v="11"/>
    <x v="2"/>
    <s v="Video"/>
    <x v="3"/>
    <s v="UAE"/>
    <n v="113447"/>
    <n v="1826"/>
    <n v="1.61E-2"/>
    <n v="1.73"/>
    <n v="3158.98"/>
    <n v="24"/>
    <n v="131.62"/>
    <n v="4477.79"/>
    <n v="1318.81"/>
    <n v="0.41747969281223685"/>
    <n v="1.42"/>
  </r>
  <r>
    <d v="2024-12-12T00:00:00"/>
    <x v="9"/>
    <x v="1"/>
    <s v="Search"/>
    <x v="2"/>
    <s v="India"/>
    <n v="195512"/>
    <n v="8328"/>
    <n v="4.2599999999999999E-2"/>
    <n v="1.63"/>
    <n v="13574.64"/>
    <n v="198"/>
    <n v="68.56"/>
    <n v="14486.58"/>
    <n v="911.94000000000051"/>
    <n v="6.7179682113116854E-2"/>
    <n v="1.07"/>
  </r>
  <r>
    <d v="2024-06-19T00:00:00"/>
    <x v="1"/>
    <x v="2"/>
    <s v="Search"/>
    <x v="3"/>
    <s v="USA"/>
    <n v="149446"/>
    <n v="6456"/>
    <n v="4.3200000000000002E-2"/>
    <n v="2.19"/>
    <n v="14138.64"/>
    <n v="397"/>
    <n v="35.61"/>
    <n v="118768.88"/>
    <n v="104630.24"/>
    <n v="7.4003044140030445"/>
    <n v="8.4"/>
  </r>
  <r>
    <d v="2024-09-03T00:00:00"/>
    <x v="7"/>
    <x v="1"/>
    <s v="Video"/>
    <x v="3"/>
    <s v="Germany"/>
    <n v="154307"/>
    <n v="9212"/>
    <n v="5.9700000000000003E-2"/>
    <n v="1.3"/>
    <n v="11975.6"/>
    <n v="700"/>
    <n v="17.11"/>
    <n v="61706.239999999998"/>
    <n v="49730.64"/>
    <n v="4.152663749624236"/>
    <n v="5.15"/>
  </r>
  <r>
    <d v="2024-11-26T00:00:00"/>
    <x v="6"/>
    <x v="2"/>
    <s v="Display"/>
    <x v="2"/>
    <s v="India"/>
    <n v="149675"/>
    <n v="3143"/>
    <n v="2.1000000000000001E-2"/>
    <n v="1.55"/>
    <n v="4871.6499999999996"/>
    <n v="147"/>
    <n v="33.14"/>
    <n v="33184.47"/>
    <n v="28312.82"/>
    <n v="5.8117516652468879"/>
    <n v="6.81"/>
  </r>
  <r>
    <d v="2024-04-05T00:00:00"/>
    <x v="5"/>
    <x v="1"/>
    <s v="Shopping"/>
    <x v="2"/>
    <s v="UAE"/>
    <n v="184065"/>
    <n v="6350"/>
    <n v="3.4500000000000003E-2"/>
    <n v="1.34"/>
    <n v="8509"/>
    <n v="273"/>
    <n v="31.17"/>
    <n v="39093.51"/>
    <n v="30584.510000000002"/>
    <n v="3.5943718415795045"/>
    <n v="4.59"/>
  </r>
  <r>
    <d v="2024-10-04T00:00:00"/>
    <x v="3"/>
    <x v="1"/>
    <s v="Search"/>
    <x v="1"/>
    <s v="Germany"/>
    <n v="64484"/>
    <n v="2966"/>
    <n v="4.5999999999999999E-2"/>
    <n v="1.25"/>
    <n v="3707.5"/>
    <n v="227"/>
    <n v="16.329999999999998"/>
    <n v="27232.61"/>
    <n v="23525.11"/>
    <n v="6.3452757923128793"/>
    <n v="7.35"/>
  </r>
  <r>
    <d v="2024-07-28T00:00:00"/>
    <x v="10"/>
    <x v="2"/>
    <s v="Video"/>
    <x v="1"/>
    <s v="UAE"/>
    <n v="148088"/>
    <n v="4561"/>
    <n v="3.0800000000000001E-2"/>
    <n v="1.36"/>
    <n v="6202.96"/>
    <n v="173"/>
    <n v="35.86"/>
    <n v="48056.97"/>
    <n v="41854.01"/>
    <n v="6.7474254227014203"/>
    <n v="7.75"/>
  </r>
  <r>
    <d v="2024-09-09T00:00:00"/>
    <x v="7"/>
    <x v="0"/>
    <s v="Display"/>
    <x v="3"/>
    <s v="India"/>
    <n v="28068"/>
    <n v="990"/>
    <n v="3.5299999999999998E-2"/>
    <n v="1.01"/>
    <n v="999.9"/>
    <n v="28"/>
    <n v="35.71"/>
    <n v="5661.1"/>
    <n v="4661.2000000000007"/>
    <n v="4.6616661666166621"/>
    <n v="5.66"/>
  </r>
  <r>
    <d v="2024-03-23T00:00:00"/>
    <x v="11"/>
    <x v="1"/>
    <s v="Search"/>
    <x v="2"/>
    <s v="USA"/>
    <n v="131385"/>
    <n v="6910"/>
    <n v="5.2600000000000001E-2"/>
    <n v="0.34"/>
    <n v="2349.4"/>
    <n v="206"/>
    <n v="11.4"/>
    <n v="6729.96"/>
    <n v="4380.5599999999995"/>
    <n v="1.864544138929088"/>
    <n v="2.86"/>
  </r>
  <r>
    <d v="2024-05-16T00:00:00"/>
    <x v="8"/>
    <x v="1"/>
    <s v="Search"/>
    <x v="1"/>
    <s v="UAE"/>
    <n v="77882"/>
    <n v="3029"/>
    <n v="3.8899999999999997E-2"/>
    <n v="0.47"/>
    <n v="1423.63"/>
    <n v="228"/>
    <n v="6.24"/>
    <n v="44433.62"/>
    <n v="43009.990000000005"/>
    <n v="30.211494559681942"/>
    <n v="31.21"/>
  </r>
  <r>
    <d v="2024-09-10T00:00:00"/>
    <x v="7"/>
    <x v="1"/>
    <s v="Shopping"/>
    <x v="2"/>
    <s v="UAE"/>
    <n v="90066"/>
    <n v="6025"/>
    <n v="6.6900000000000001E-2"/>
    <n v="1.77"/>
    <n v="10664.25"/>
    <n v="417"/>
    <n v="25.57"/>
    <n v="40275.46"/>
    <n v="29611.21"/>
    <n v="2.7766800290690861"/>
    <n v="3.78"/>
  </r>
  <r>
    <d v="2024-07-25T00:00:00"/>
    <x v="10"/>
    <x v="2"/>
    <s v="Shopping"/>
    <x v="4"/>
    <s v="India"/>
    <n v="186775"/>
    <n v="2409"/>
    <n v="1.29E-2"/>
    <n v="0.69"/>
    <n v="1662.21"/>
    <n v="107"/>
    <n v="15.53"/>
    <n v="10079.709999999999"/>
    <n v="8417.5"/>
    <n v="5.0640412462925859"/>
    <n v="6.06"/>
  </r>
  <r>
    <d v="2024-04-15T00:00:00"/>
    <x v="5"/>
    <x v="0"/>
    <s v="Video"/>
    <x v="0"/>
    <s v="India"/>
    <n v="57328"/>
    <n v="2161"/>
    <n v="3.7699999999999997E-2"/>
    <n v="1.53"/>
    <n v="3306.33"/>
    <n v="99"/>
    <n v="33.4"/>
    <n v="17903.97"/>
    <n v="14597.640000000001"/>
    <n v="4.4150583880011984"/>
    <n v="5.42"/>
  </r>
  <r>
    <d v="2024-02-22T00:00:00"/>
    <x v="2"/>
    <x v="0"/>
    <s v="Video"/>
    <x v="3"/>
    <s v="India"/>
    <n v="87570"/>
    <n v="3415"/>
    <n v="3.9E-2"/>
    <n v="2.57"/>
    <n v="8776.5499999999993"/>
    <n v="236"/>
    <n v="37.19"/>
    <n v="46705.85"/>
    <n v="37929.300000000003"/>
    <n v="4.3216639795819551"/>
    <n v="5.32"/>
  </r>
  <r>
    <d v="2024-06-18T00:00:00"/>
    <x v="1"/>
    <x v="2"/>
    <s v="Video"/>
    <x v="3"/>
    <s v="UAE"/>
    <n v="54864"/>
    <n v="1876"/>
    <n v="3.4200000000000001E-2"/>
    <n v="1.52"/>
    <n v="2851.52"/>
    <n v="121"/>
    <n v="23.57"/>
    <n v="23640.39"/>
    <n v="20788.87"/>
    <n v="7.2904521097519916"/>
    <n v="8.2899999999999991"/>
  </r>
  <r>
    <d v="2024-11-04T00:00:00"/>
    <x v="6"/>
    <x v="0"/>
    <s v="Display"/>
    <x v="3"/>
    <s v="Australia"/>
    <n v="91861"/>
    <n v="2535"/>
    <n v="2.76E-2"/>
    <n v="1.24"/>
    <n v="3143.4"/>
    <n v="137"/>
    <n v="22.94"/>
    <n v="8299.82"/>
    <n v="5156.42"/>
    <n v="1.6403957498250301"/>
    <n v="2.64"/>
  </r>
  <r>
    <d v="2024-06-04T00:00:00"/>
    <x v="1"/>
    <x v="2"/>
    <s v="Search"/>
    <x v="4"/>
    <s v="Australia"/>
    <n v="16920"/>
    <n v="389"/>
    <n v="2.3E-2"/>
    <n v="1.23"/>
    <n v="478.47"/>
    <n v="15"/>
    <n v="31.9"/>
    <n v="3222.58"/>
    <n v="2744.1099999999997"/>
    <n v="5.7351767090935679"/>
    <n v="6.74"/>
  </r>
  <r>
    <d v="2024-08-16T00:00:00"/>
    <x v="4"/>
    <x v="2"/>
    <s v="Shopping"/>
    <x v="2"/>
    <s v="India"/>
    <n v="117421"/>
    <n v="3428"/>
    <n v="2.92E-2"/>
    <n v="0.61"/>
    <n v="2091.08"/>
    <n v="99"/>
    <n v="21.12"/>
    <n v="25079.21"/>
    <n v="22988.129999999997"/>
    <n v="10.993424450523174"/>
    <n v="11.99"/>
  </r>
  <r>
    <d v="2024-06-29T00:00:00"/>
    <x v="1"/>
    <x v="0"/>
    <s v="Display"/>
    <x v="1"/>
    <s v="UK"/>
    <n v="146332"/>
    <n v="7184"/>
    <n v="4.9099999999999998E-2"/>
    <n v="2.8"/>
    <n v="20115.2"/>
    <n v="366"/>
    <n v="54.96"/>
    <n v="40775.67"/>
    <n v="20660.469999999998"/>
    <n v="1.0271073615972"/>
    <n v="2.0299999999999998"/>
  </r>
  <r>
    <d v="2024-01-11T00:00:00"/>
    <x v="0"/>
    <x v="2"/>
    <s v="Shopping"/>
    <x v="3"/>
    <s v="USA"/>
    <n v="144993"/>
    <n v="2783"/>
    <n v="1.9199999999999998E-2"/>
    <n v="1.47"/>
    <n v="4091.01"/>
    <n v="120"/>
    <n v="34.090000000000003"/>
    <n v="10562.14"/>
    <n v="6471.1299999999992"/>
    <n v="1.5817927602230253"/>
    <n v="2.58"/>
  </r>
  <r>
    <d v="2024-07-28T00:00:00"/>
    <x v="10"/>
    <x v="0"/>
    <s v="Display"/>
    <x v="0"/>
    <s v="Canada"/>
    <n v="35702"/>
    <n v="999"/>
    <n v="2.8000000000000001E-2"/>
    <n v="1.58"/>
    <n v="1578.42"/>
    <n v="15"/>
    <n v="105.23"/>
    <n v="2820.45"/>
    <n v="1242.0299999999997"/>
    <n v="0.78688181852738792"/>
    <n v="1.79"/>
  </r>
  <r>
    <d v="2024-09-01T00:00:00"/>
    <x v="7"/>
    <x v="0"/>
    <s v="Shopping"/>
    <x v="2"/>
    <s v="Germany"/>
    <n v="184976"/>
    <n v="6270"/>
    <n v="3.39E-2"/>
    <n v="2.66"/>
    <n v="16678.2"/>
    <n v="412"/>
    <n v="40.479999999999997"/>
    <n v="40433.910000000003"/>
    <n v="23755.710000000003"/>
    <n v="1.4243569449940643"/>
    <n v="2.42"/>
  </r>
  <r>
    <d v="2024-06-10T00:00:00"/>
    <x v="1"/>
    <x v="0"/>
    <s v="Search"/>
    <x v="4"/>
    <s v="UAE"/>
    <n v="119235"/>
    <n v="5258"/>
    <n v="4.41E-2"/>
    <n v="1.1000000000000001"/>
    <n v="5783.8"/>
    <n v="141"/>
    <n v="41.02"/>
    <n v="24150.02"/>
    <n v="18366.22"/>
    <n v="3.1754590407690446"/>
    <n v="4.18"/>
  </r>
  <r>
    <d v="2024-08-14T00:00:00"/>
    <x v="4"/>
    <x v="0"/>
    <s v="Shopping"/>
    <x v="1"/>
    <s v="India"/>
    <n v="127211"/>
    <n v="3968"/>
    <n v="3.1199999999999999E-2"/>
    <n v="2.63"/>
    <n v="10435.84"/>
    <n v="194"/>
    <n v="53.79"/>
    <n v="37337.18"/>
    <n v="26901.34"/>
    <n v="2.577783867901386"/>
    <n v="3.58"/>
  </r>
  <r>
    <d v="2024-12-16T00:00:00"/>
    <x v="9"/>
    <x v="1"/>
    <s v="Video"/>
    <x v="0"/>
    <s v="USA"/>
    <n v="27584"/>
    <n v="1561"/>
    <n v="5.6599999999999998E-2"/>
    <n v="0.94"/>
    <n v="1467.34"/>
    <n v="93"/>
    <n v="15.78"/>
    <n v="19425.98"/>
    <n v="17958.64"/>
    <n v="12.238908501097225"/>
    <n v="13.24"/>
  </r>
  <r>
    <d v="2024-05-25T00:00:00"/>
    <x v="8"/>
    <x v="0"/>
    <s v="Shopping"/>
    <x v="3"/>
    <s v="Germany"/>
    <n v="194928"/>
    <n v="9161"/>
    <n v="4.7E-2"/>
    <n v="1.88"/>
    <n v="17222.68"/>
    <n v="571"/>
    <n v="30.16"/>
    <n v="17839.23"/>
    <n v="616.54999999999927"/>
    <n v="3.5798725866125321E-2"/>
    <n v="1.04"/>
  </r>
  <r>
    <d v="2024-10-26T00:00:00"/>
    <x v="3"/>
    <x v="0"/>
    <s v="Search"/>
    <x v="4"/>
    <s v="Australia"/>
    <n v="90349"/>
    <n v="5420"/>
    <n v="0.06"/>
    <n v="3.02"/>
    <n v="16368.4"/>
    <n v="105"/>
    <n v="155.88999999999999"/>
    <n v="16913.07"/>
    <n v="544.67000000000007"/>
    <n v="3.327570196231764E-2"/>
    <n v="1.03"/>
  </r>
  <r>
    <d v="2024-07-08T00:00:00"/>
    <x v="10"/>
    <x v="1"/>
    <s v="Video"/>
    <x v="1"/>
    <s v="Germany"/>
    <n v="170011"/>
    <n v="10149"/>
    <n v="5.9700000000000003E-2"/>
    <n v="0.55000000000000004"/>
    <n v="5581.95"/>
    <n v="110"/>
    <n v="50.74"/>
    <n v="29617.759999999998"/>
    <n v="24035.809999999998"/>
    <n v="4.3059880507707877"/>
    <n v="5.31"/>
  </r>
  <r>
    <d v="2024-08-06T00:00:00"/>
    <x v="4"/>
    <x v="0"/>
    <s v="Display"/>
    <x v="2"/>
    <s v="USA"/>
    <n v="54158"/>
    <n v="3374"/>
    <n v="6.2300000000000001E-2"/>
    <n v="0.81"/>
    <n v="2732.94"/>
    <n v="55"/>
    <n v="49.69"/>
    <n v="5839.17"/>
    <n v="3106.23"/>
    <n v="1.1365891677094997"/>
    <n v="2.14"/>
  </r>
  <r>
    <d v="2024-01-02T00:00:00"/>
    <x v="0"/>
    <x v="2"/>
    <s v="Display"/>
    <x v="3"/>
    <s v="UK"/>
    <n v="143485"/>
    <n v="3945"/>
    <n v="2.75E-2"/>
    <n v="0.71"/>
    <n v="2800.95"/>
    <n v="187"/>
    <n v="14.98"/>
    <n v="30765.32"/>
    <n v="27964.37"/>
    <n v="9.9838876095610427"/>
    <n v="10.98"/>
  </r>
  <r>
    <d v="2024-02-18T00:00:00"/>
    <x v="2"/>
    <x v="0"/>
    <s v="Video"/>
    <x v="0"/>
    <s v="Canada"/>
    <n v="165470"/>
    <n v="4136"/>
    <n v="2.5000000000000001E-2"/>
    <n v="0.82"/>
    <n v="3391.52"/>
    <n v="56"/>
    <n v="60.56"/>
    <n v="12113.24"/>
    <n v="8721.7199999999993"/>
    <n v="2.5716257017502473"/>
    <n v="3.57"/>
  </r>
  <r>
    <d v="2024-05-11T00:00:00"/>
    <x v="8"/>
    <x v="2"/>
    <s v="Search"/>
    <x v="1"/>
    <s v="USA"/>
    <n v="112596"/>
    <n v="2668"/>
    <n v="2.3699999999999999E-2"/>
    <n v="1.2"/>
    <n v="3201.6"/>
    <n v="39"/>
    <n v="82.09"/>
    <n v="10899.61"/>
    <n v="7698.01"/>
    <n v="2.4044259120439779"/>
    <n v="3.4"/>
  </r>
  <r>
    <d v="2024-07-03T00:00:00"/>
    <x v="10"/>
    <x v="0"/>
    <s v="Video"/>
    <x v="1"/>
    <s v="Canada"/>
    <n v="82604"/>
    <n v="5146"/>
    <n v="6.2300000000000001E-2"/>
    <n v="2.88"/>
    <n v="14820.48"/>
    <n v="75"/>
    <n v="197.61"/>
    <n v="11977.45"/>
    <n v="-2843.0299999999988"/>
    <n v="-0.19183116876106571"/>
    <n v="0.81"/>
  </r>
  <r>
    <d v="2024-06-25T00:00:00"/>
    <x v="1"/>
    <x v="0"/>
    <s v="Display"/>
    <x v="2"/>
    <s v="UAE"/>
    <n v="162454"/>
    <n v="4337"/>
    <n v="2.6700000000000002E-2"/>
    <n v="1.57"/>
    <n v="6809.09"/>
    <n v="329"/>
    <n v="20.7"/>
    <n v="13568.06"/>
    <n v="6758.9699999999993"/>
    <n v="0.99263925135370501"/>
    <n v="1.99"/>
  </r>
  <r>
    <d v="2024-10-20T00:00:00"/>
    <x v="3"/>
    <x v="1"/>
    <s v="Shopping"/>
    <x v="4"/>
    <s v="UK"/>
    <n v="143667"/>
    <n v="6852"/>
    <n v="4.7699999999999999E-2"/>
    <n v="1.1299999999999999"/>
    <n v="7742.76"/>
    <n v="142"/>
    <n v="54.53"/>
    <n v="19589.64"/>
    <n v="11846.88"/>
    <n v="1.5300590487113122"/>
    <n v="2.5299999999999998"/>
  </r>
  <r>
    <d v="2024-02-16T00:00:00"/>
    <x v="2"/>
    <x v="0"/>
    <s v="Video"/>
    <x v="2"/>
    <s v="Australia"/>
    <n v="83702"/>
    <n v="3900"/>
    <n v="4.6600000000000003E-2"/>
    <n v="2.1800000000000002"/>
    <n v="8502"/>
    <n v="60"/>
    <n v="141.69999999999999"/>
    <n v="11812.78"/>
    <n v="3310.7800000000007"/>
    <n v="0.38941190308162793"/>
    <n v="1.39"/>
  </r>
  <r>
    <d v="2024-02-12T00:00:00"/>
    <x v="2"/>
    <x v="1"/>
    <s v="Video"/>
    <x v="0"/>
    <s v="USA"/>
    <n v="41497"/>
    <n v="3299"/>
    <n v="7.9500000000000001E-2"/>
    <n v="0.65"/>
    <n v="2144.35"/>
    <n v="112"/>
    <n v="19.149999999999999"/>
    <n v="6822.75"/>
    <n v="4678.3999999999996"/>
    <n v="2.1817333924032924"/>
    <n v="3.18"/>
  </r>
  <r>
    <d v="2024-05-26T00:00:00"/>
    <x v="8"/>
    <x v="0"/>
    <s v="Search"/>
    <x v="0"/>
    <s v="UAE"/>
    <n v="88442"/>
    <n v="2485"/>
    <n v="2.81E-2"/>
    <n v="2.89"/>
    <n v="7181.65"/>
    <n v="69"/>
    <n v="104.08"/>
    <n v="12989.18"/>
    <n v="5807.5300000000007"/>
    <n v="0.80866235475134562"/>
    <n v="1.81"/>
  </r>
  <r>
    <d v="2024-02-23T00:00:00"/>
    <x v="2"/>
    <x v="0"/>
    <s v="Shopping"/>
    <x v="3"/>
    <s v="UAE"/>
    <n v="143723"/>
    <n v="4254"/>
    <n v="2.9600000000000001E-2"/>
    <n v="1.1399999999999999"/>
    <n v="4849.5600000000004"/>
    <n v="281"/>
    <n v="17.260000000000002"/>
    <n v="41783.61"/>
    <n v="36934.050000000003"/>
    <n v="7.6159589735976043"/>
    <n v="8.6199999999999992"/>
  </r>
  <r>
    <d v="2024-10-15T00:00:00"/>
    <x v="3"/>
    <x v="2"/>
    <s v="Search"/>
    <x v="3"/>
    <s v="UK"/>
    <n v="30392"/>
    <n v="1325"/>
    <n v="4.36E-2"/>
    <n v="1.31"/>
    <n v="1735.75"/>
    <n v="101"/>
    <n v="17.190000000000001"/>
    <n v="3539.63"/>
    <n v="1803.88"/>
    <n v="1.0392510442171972"/>
    <n v="2.04"/>
  </r>
  <r>
    <d v="2024-05-10T00:00:00"/>
    <x v="8"/>
    <x v="0"/>
    <s v="Video"/>
    <x v="4"/>
    <s v="India"/>
    <n v="94412"/>
    <n v="4786"/>
    <n v="5.0700000000000002E-2"/>
    <n v="1.29"/>
    <n v="6173.94"/>
    <n v="343"/>
    <n v="18"/>
    <n v="93767.6"/>
    <n v="87593.66"/>
    <n v="14.187643546908459"/>
    <n v="15.19"/>
  </r>
  <r>
    <d v="2024-05-21T00:00:00"/>
    <x v="8"/>
    <x v="0"/>
    <s v="Video"/>
    <x v="1"/>
    <s v="UK"/>
    <n v="56305"/>
    <n v="1644"/>
    <n v="2.92E-2"/>
    <n v="1.65"/>
    <n v="2712.6"/>
    <n v="126"/>
    <n v="21.53"/>
    <n v="24269.48"/>
    <n v="21556.880000000001"/>
    <n v="7.9469438914694397"/>
    <n v="8.9499999999999993"/>
  </r>
  <r>
    <d v="2024-09-29T00:00:00"/>
    <x v="7"/>
    <x v="1"/>
    <s v="Display"/>
    <x v="3"/>
    <s v="Germany"/>
    <n v="142456"/>
    <n v="9943"/>
    <n v="6.9800000000000001E-2"/>
    <n v="0.91"/>
    <n v="9048.1299999999992"/>
    <n v="266"/>
    <n v="34.020000000000003"/>
    <n v="72736.17"/>
    <n v="63688.04"/>
    <n v="7.0388069136937697"/>
    <n v="8.0399999999999991"/>
  </r>
  <r>
    <d v="2024-12-26T00:00:00"/>
    <x v="9"/>
    <x v="2"/>
    <s v="Display"/>
    <x v="1"/>
    <s v="Australia"/>
    <n v="27169"/>
    <n v="546"/>
    <n v="2.01E-2"/>
    <n v="1.08"/>
    <n v="589.67999999999995"/>
    <n v="15"/>
    <n v="39.31"/>
    <n v="1578.78"/>
    <n v="989.1"/>
    <n v="1.6773504273504276"/>
    <n v="2.68"/>
  </r>
  <r>
    <d v="2024-09-15T00:00:00"/>
    <x v="7"/>
    <x v="0"/>
    <s v="Video"/>
    <x v="3"/>
    <s v="Germany"/>
    <n v="127179"/>
    <n v="5125"/>
    <n v="4.0300000000000002E-2"/>
    <n v="2.2200000000000002"/>
    <n v="11377.5"/>
    <n v="87"/>
    <n v="130.78"/>
    <n v="5905.23"/>
    <n v="-5472.27"/>
    <n v="-0.48097297297297303"/>
    <n v="0.52"/>
  </r>
  <r>
    <d v="2024-07-18T00:00:00"/>
    <x v="10"/>
    <x v="0"/>
    <s v="Shopping"/>
    <x v="0"/>
    <s v="USA"/>
    <n v="20797"/>
    <n v="846"/>
    <n v="4.07E-2"/>
    <n v="1.08"/>
    <n v="913.68"/>
    <n v="56"/>
    <n v="16.32"/>
    <n v="11660.97"/>
    <n v="10747.289999999999"/>
    <n v="11.762641187286578"/>
    <n v="12.76"/>
  </r>
  <r>
    <d v="2024-08-13T00:00:00"/>
    <x v="4"/>
    <x v="2"/>
    <s v="Shopping"/>
    <x v="4"/>
    <s v="USA"/>
    <n v="188201"/>
    <n v="5627"/>
    <n v="2.9899999999999999E-2"/>
    <n v="1.88"/>
    <n v="10578.76"/>
    <n v="77"/>
    <n v="137.38999999999999"/>
    <n v="14242.93"/>
    <n v="3664.17"/>
    <n v="0.34637046307884856"/>
    <n v="1.35"/>
  </r>
  <r>
    <d v="2024-06-03T00:00:00"/>
    <x v="1"/>
    <x v="1"/>
    <s v="Shopping"/>
    <x v="4"/>
    <s v="Canada"/>
    <n v="77726"/>
    <n v="2557"/>
    <n v="3.2899999999999999E-2"/>
    <n v="0.49"/>
    <n v="1252.93"/>
    <n v="37"/>
    <n v="33.86"/>
    <n v="2932.31"/>
    <n v="1679.3799999999999"/>
    <n v="1.3403621910242389"/>
    <n v="2.34"/>
  </r>
  <r>
    <d v="2024-03-10T00:00:00"/>
    <x v="11"/>
    <x v="2"/>
    <s v="Search"/>
    <x v="1"/>
    <s v="Australia"/>
    <n v="23123"/>
    <n v="286"/>
    <n v="1.24E-2"/>
    <n v="1.21"/>
    <n v="346.06"/>
    <n v="3"/>
    <n v="115.35"/>
    <n v="585.70000000000005"/>
    <n v="239.64000000000004"/>
    <n v="0.69248107264636205"/>
    <n v="1.69"/>
  </r>
  <r>
    <d v="2024-04-06T00:00:00"/>
    <x v="5"/>
    <x v="0"/>
    <s v="Search"/>
    <x v="3"/>
    <s v="Canada"/>
    <n v="86689"/>
    <n v="3727"/>
    <n v="4.2999999999999997E-2"/>
    <n v="1.1599999999999999"/>
    <n v="4323.32"/>
    <n v="276"/>
    <n v="15.66"/>
    <n v="76876.240000000005"/>
    <n v="72552.920000000013"/>
    <n v="16.781760313832891"/>
    <n v="17.78"/>
  </r>
  <r>
    <d v="2024-05-17T00:00:00"/>
    <x v="8"/>
    <x v="0"/>
    <s v="Search"/>
    <x v="2"/>
    <s v="USA"/>
    <n v="159251"/>
    <n v="9172"/>
    <n v="5.7599999999999998E-2"/>
    <n v="2.84"/>
    <n v="26048.48"/>
    <n v="407"/>
    <n v="64"/>
    <n v="30602.6"/>
    <n v="4554.119999999999"/>
    <n v="0.1748324662321947"/>
    <n v="1.17"/>
  </r>
  <r>
    <d v="2024-01-13T00:00:00"/>
    <x v="0"/>
    <x v="2"/>
    <s v="Display"/>
    <x v="4"/>
    <s v="UK"/>
    <n v="70180"/>
    <n v="736"/>
    <n v="1.0500000000000001E-2"/>
    <n v="1.4"/>
    <n v="1030.4000000000001"/>
    <n v="45"/>
    <n v="22.9"/>
    <n v="2168.7199999999998"/>
    <n v="1138.3199999999997"/>
    <n v="1.1047360248447202"/>
    <n v="2.1"/>
  </r>
  <r>
    <d v="2024-09-16T00:00:00"/>
    <x v="7"/>
    <x v="0"/>
    <s v="Video"/>
    <x v="0"/>
    <s v="Canada"/>
    <n v="83466"/>
    <n v="4089"/>
    <n v="4.9000000000000002E-2"/>
    <n v="2.2599999999999998"/>
    <n v="9241.14"/>
    <n v="108"/>
    <n v="85.57"/>
    <n v="12521.2"/>
    <n v="3280.0600000000013"/>
    <n v="0.35494105705573137"/>
    <n v="1.35"/>
  </r>
  <r>
    <d v="2024-11-13T00:00:00"/>
    <x v="6"/>
    <x v="2"/>
    <s v="Display"/>
    <x v="3"/>
    <s v="India"/>
    <n v="137602"/>
    <n v="2641"/>
    <n v="1.9199999999999998E-2"/>
    <n v="0.59"/>
    <n v="1558.19"/>
    <n v="179"/>
    <n v="8.6999999999999993"/>
    <n v="52473.54"/>
    <n v="50915.35"/>
    <n v="32.675957360783983"/>
    <n v="33.68"/>
  </r>
  <r>
    <d v="2024-09-03T00:00:00"/>
    <x v="7"/>
    <x v="1"/>
    <s v="Video"/>
    <x v="3"/>
    <s v="UAE"/>
    <n v="64222"/>
    <n v="2067"/>
    <n v="3.2199999999999999E-2"/>
    <n v="1.89"/>
    <n v="3906.63"/>
    <n v="68"/>
    <n v="57.45"/>
    <n v="14851.97"/>
    <n v="10945.34"/>
    <n v="2.8017344872690786"/>
    <n v="3.8"/>
  </r>
  <r>
    <d v="2024-07-08T00:00:00"/>
    <x v="10"/>
    <x v="1"/>
    <s v="Shopping"/>
    <x v="2"/>
    <s v="India"/>
    <n v="116739"/>
    <n v="4319"/>
    <n v="3.6999999999999998E-2"/>
    <n v="0.34"/>
    <n v="1468.46"/>
    <n v="306"/>
    <n v="4.8"/>
    <n v="46873.98"/>
    <n v="45405.520000000004"/>
    <n v="30.920501750132793"/>
    <n v="31.92"/>
  </r>
  <r>
    <d v="2024-12-30T00:00:00"/>
    <x v="9"/>
    <x v="2"/>
    <s v="Shopping"/>
    <x v="2"/>
    <s v="USA"/>
    <n v="50869"/>
    <n v="890"/>
    <n v="1.7500000000000002E-2"/>
    <n v="1.08"/>
    <n v="961.2"/>
    <n v="61"/>
    <n v="15.76"/>
    <n v="16803.54"/>
    <n v="15842.34"/>
    <n v="16.48183520599251"/>
    <n v="17.48"/>
  </r>
  <r>
    <d v="2024-12-02T00:00:00"/>
    <x v="9"/>
    <x v="2"/>
    <s v="Search"/>
    <x v="1"/>
    <s v="Germany"/>
    <n v="127155"/>
    <n v="3089"/>
    <n v="2.4299999999999999E-2"/>
    <n v="1.25"/>
    <n v="3861.25"/>
    <n v="95"/>
    <n v="40.64"/>
    <n v="23894.639999999999"/>
    <n v="20033.39"/>
    <n v="5.1883172547750078"/>
    <n v="6.19"/>
  </r>
  <r>
    <d v="2024-03-26T00:00:00"/>
    <x v="11"/>
    <x v="0"/>
    <s v="Video"/>
    <x v="1"/>
    <s v="Germany"/>
    <n v="162883"/>
    <n v="8974"/>
    <n v="5.5100000000000003E-2"/>
    <n v="2.38"/>
    <n v="21358.12"/>
    <n v="292"/>
    <n v="73.14"/>
    <n v="80812.08"/>
    <n v="59453.960000000006"/>
    <n v="2.7836700983045328"/>
    <n v="3.78"/>
  </r>
  <r>
    <d v="2024-01-17T00:00:00"/>
    <x v="0"/>
    <x v="1"/>
    <s v="Search"/>
    <x v="3"/>
    <s v="Canada"/>
    <n v="115716"/>
    <n v="7394"/>
    <n v="6.3899999999999998E-2"/>
    <n v="1.1599999999999999"/>
    <n v="8577.0400000000009"/>
    <n v="242"/>
    <n v="35.44"/>
    <n v="49142.559999999998"/>
    <n v="40565.519999999997"/>
    <n v="4.7295477227575002"/>
    <n v="5.73"/>
  </r>
  <r>
    <d v="2024-06-14T00:00:00"/>
    <x v="1"/>
    <x v="0"/>
    <s v="Video"/>
    <x v="1"/>
    <s v="USA"/>
    <n v="40306"/>
    <n v="1176"/>
    <n v="2.92E-2"/>
    <n v="0.85"/>
    <n v="999.6"/>
    <n v="41"/>
    <n v="24.38"/>
    <n v="11838.48"/>
    <n v="10838.88"/>
    <n v="10.843217286914765"/>
    <n v="11.84"/>
  </r>
  <r>
    <d v="2024-02-29T00:00:00"/>
    <x v="2"/>
    <x v="1"/>
    <s v="Search"/>
    <x v="0"/>
    <s v="Canada"/>
    <n v="138025"/>
    <n v="9192"/>
    <n v="6.6600000000000006E-2"/>
    <n v="0.64"/>
    <n v="5882.88"/>
    <n v="420"/>
    <n v="14.01"/>
    <n v="38810.35"/>
    <n v="32927.47"/>
    <n v="5.5971683937119234"/>
    <n v="6.6"/>
  </r>
  <r>
    <d v="2024-02-05T00:00:00"/>
    <x v="2"/>
    <x v="2"/>
    <s v="Video"/>
    <x v="3"/>
    <s v="India"/>
    <n v="145510"/>
    <n v="5805"/>
    <n v="3.9899999999999998E-2"/>
    <n v="1.04"/>
    <n v="6037.2"/>
    <n v="166"/>
    <n v="36.369999999999997"/>
    <n v="30713.7"/>
    <n v="24676.5"/>
    <n v="4.0874080699662096"/>
    <n v="5.09"/>
  </r>
  <r>
    <d v="2024-09-07T00:00:00"/>
    <x v="7"/>
    <x v="1"/>
    <s v="Display"/>
    <x v="0"/>
    <s v="USA"/>
    <n v="168297"/>
    <n v="10535"/>
    <n v="6.2600000000000003E-2"/>
    <n v="1.4"/>
    <n v="14749"/>
    <n v="561"/>
    <n v="26.29"/>
    <n v="30094.65"/>
    <n v="15345.650000000001"/>
    <n v="1.0404535900739034"/>
    <n v="2.04"/>
  </r>
  <r>
    <d v="2024-12-14T00:00:00"/>
    <x v="9"/>
    <x v="2"/>
    <s v="Search"/>
    <x v="4"/>
    <s v="Australia"/>
    <n v="66157"/>
    <n v="1687"/>
    <n v="2.5499999999999998E-2"/>
    <n v="1.3"/>
    <n v="2193.1"/>
    <n v="41"/>
    <n v="53.49"/>
    <n v="5082.9399999999996"/>
    <n v="2889.8399999999997"/>
    <n v="1.3176964114723451"/>
    <n v="2.3199999999999998"/>
  </r>
  <r>
    <d v="2024-03-26T00:00:00"/>
    <x v="11"/>
    <x v="2"/>
    <s v="Shopping"/>
    <x v="0"/>
    <s v="India"/>
    <n v="115003"/>
    <n v="2921"/>
    <n v="2.5399999999999999E-2"/>
    <n v="0.4"/>
    <n v="1168.4000000000001"/>
    <n v="36"/>
    <n v="32.46"/>
    <n v="4203.1899999999996"/>
    <n v="3034.7899999999995"/>
    <n v="2.5973895926052717"/>
    <n v="3.6"/>
  </r>
  <r>
    <d v="2024-01-19T00:00:00"/>
    <x v="0"/>
    <x v="2"/>
    <s v="Shopping"/>
    <x v="2"/>
    <s v="USA"/>
    <n v="173292"/>
    <n v="7330"/>
    <n v="4.2299999999999997E-2"/>
    <n v="1.88"/>
    <n v="13780.4"/>
    <n v="355"/>
    <n v="38.82"/>
    <n v="66981.679999999993"/>
    <n v="53201.279999999992"/>
    <n v="3.8606484572291073"/>
    <n v="4.8600000000000003"/>
  </r>
  <r>
    <d v="2024-01-07T00:00:00"/>
    <x v="0"/>
    <x v="2"/>
    <s v="Video"/>
    <x v="1"/>
    <s v="Germany"/>
    <n v="94440"/>
    <n v="2219"/>
    <n v="2.35E-2"/>
    <n v="1.93"/>
    <n v="4282.67"/>
    <n v="156"/>
    <n v="27.45"/>
    <n v="39424.239999999998"/>
    <n v="35141.57"/>
    <n v="8.205528326954914"/>
    <n v="9.2100000000000009"/>
  </r>
  <r>
    <d v="2024-06-24T00:00:00"/>
    <x v="1"/>
    <x v="2"/>
    <s v="Video"/>
    <x v="2"/>
    <s v="India"/>
    <n v="93003"/>
    <n v="1283"/>
    <n v="1.38E-2"/>
    <n v="1.76"/>
    <n v="2258.08"/>
    <n v="49"/>
    <n v="46.08"/>
    <n v="1614.11"/>
    <n v="-643.97"/>
    <n v="-0.28518475873308302"/>
    <n v="0.71"/>
  </r>
  <r>
    <d v="2024-02-02T00:00:00"/>
    <x v="2"/>
    <x v="1"/>
    <s v="Video"/>
    <x v="4"/>
    <s v="USA"/>
    <n v="112294"/>
    <n v="9039"/>
    <n v="8.0500000000000002E-2"/>
    <n v="0.99"/>
    <n v="8948.61"/>
    <n v="99"/>
    <n v="90.39"/>
    <n v="20435.34"/>
    <n v="11486.73"/>
    <n v="1.2836328770613534"/>
    <n v="2.2799999999999998"/>
  </r>
  <r>
    <d v="2024-05-22T00:00:00"/>
    <x v="8"/>
    <x v="2"/>
    <s v="Display"/>
    <x v="3"/>
    <s v="USA"/>
    <n v="165321"/>
    <n v="4447"/>
    <n v="2.69E-2"/>
    <n v="1.56"/>
    <n v="6937.32"/>
    <n v="301"/>
    <n v="23.05"/>
    <n v="23975.23"/>
    <n v="17037.91"/>
    <n v="2.4559786776449695"/>
    <n v="3.46"/>
  </r>
  <r>
    <d v="2024-11-11T00:00:00"/>
    <x v="6"/>
    <x v="1"/>
    <s v="Video"/>
    <x v="2"/>
    <s v="USA"/>
    <n v="137895"/>
    <n v="5901"/>
    <n v="4.2799999999999998E-2"/>
    <n v="1.34"/>
    <n v="7907.34"/>
    <n v="379"/>
    <n v="20.86"/>
    <n v="86835.97"/>
    <n v="78928.63"/>
    <n v="9.9816916940462921"/>
    <n v="10.98"/>
  </r>
  <r>
    <d v="2024-02-27T00:00:00"/>
    <x v="2"/>
    <x v="1"/>
    <s v="Display"/>
    <x v="4"/>
    <s v="Germany"/>
    <n v="7978"/>
    <n v="557"/>
    <n v="6.9900000000000004E-2"/>
    <n v="0.61"/>
    <n v="339.77"/>
    <n v="34"/>
    <n v="9.99"/>
    <n v="6686.61"/>
    <n v="6346.84"/>
    <n v="18.67981281455102"/>
    <n v="19.68"/>
  </r>
  <r>
    <d v="2024-02-08T00:00:00"/>
    <x v="2"/>
    <x v="1"/>
    <s v="Display"/>
    <x v="0"/>
    <s v="Germany"/>
    <n v="113994"/>
    <n v="4320"/>
    <n v="3.7900000000000003E-2"/>
    <n v="0.77"/>
    <n v="3326.4"/>
    <n v="142"/>
    <n v="23.43"/>
    <n v="25985.24"/>
    <n v="22658.84"/>
    <n v="6.8118205868205868"/>
    <n v="7.81"/>
  </r>
  <r>
    <d v="2024-02-16T00:00:00"/>
    <x v="2"/>
    <x v="0"/>
    <s v="Search"/>
    <x v="1"/>
    <s v="UAE"/>
    <n v="90794"/>
    <n v="5638"/>
    <n v="6.2100000000000002E-2"/>
    <n v="3.1"/>
    <n v="17477.8"/>
    <n v="217"/>
    <n v="80.540000000000006"/>
    <n v="54642.18"/>
    <n v="37164.380000000005"/>
    <n v="2.1263763173854837"/>
    <n v="3.13"/>
  </r>
  <r>
    <d v="2024-12-20T00:00:00"/>
    <x v="9"/>
    <x v="2"/>
    <s v="Display"/>
    <x v="2"/>
    <s v="Australia"/>
    <n v="118694"/>
    <n v="2338"/>
    <n v="1.9699999999999999E-2"/>
    <n v="2.2599999999999998"/>
    <n v="5283.88"/>
    <n v="76"/>
    <n v="69.52"/>
    <n v="6774.6"/>
    <n v="1490.7200000000003"/>
    <n v="0.28212601345980609"/>
    <n v="1.28"/>
  </r>
  <r>
    <d v="2024-07-17T00:00:00"/>
    <x v="10"/>
    <x v="0"/>
    <s v="Shopping"/>
    <x v="2"/>
    <s v="UAE"/>
    <n v="99805"/>
    <n v="1936"/>
    <n v="1.9400000000000001E-2"/>
    <n v="1.4"/>
    <n v="2710.4"/>
    <n v="112"/>
    <n v="24.2"/>
    <n v="29346.97"/>
    <n v="26636.57"/>
    <n v="9.8275420602125152"/>
    <n v="10.83"/>
  </r>
  <r>
    <d v="2024-01-30T00:00:00"/>
    <x v="0"/>
    <x v="0"/>
    <s v="Search"/>
    <x v="0"/>
    <s v="Canada"/>
    <n v="187156"/>
    <n v="3986"/>
    <n v="2.1299999999999999E-2"/>
    <n v="2.39"/>
    <n v="9526.5400000000009"/>
    <n v="269"/>
    <n v="35.409999999999997"/>
    <n v="34393.230000000003"/>
    <n v="24866.690000000002"/>
    <n v="2.6102540901523534"/>
    <n v="3.61"/>
  </r>
  <r>
    <d v="2024-08-04T00:00:00"/>
    <x v="4"/>
    <x v="1"/>
    <s v="Video"/>
    <x v="1"/>
    <s v="UAE"/>
    <n v="120152"/>
    <n v="4613"/>
    <n v="3.8399999999999997E-2"/>
    <n v="0.97"/>
    <n v="4474.6099999999997"/>
    <n v="108"/>
    <n v="41.43"/>
    <n v="27205.77"/>
    <n v="22731.16"/>
    <n v="5.0800315558227425"/>
    <n v="6.08"/>
  </r>
  <r>
    <d v="2024-12-16T00:00:00"/>
    <x v="9"/>
    <x v="0"/>
    <s v="Search"/>
    <x v="0"/>
    <s v="UK"/>
    <n v="117458"/>
    <n v="6824"/>
    <n v="5.8099999999999999E-2"/>
    <n v="2.0099999999999998"/>
    <n v="13716.24"/>
    <n v="251"/>
    <n v="54.65"/>
    <n v="12200.18"/>
    <n v="-1516.0599999999995"/>
    <n v="-0.11053029110018485"/>
    <n v="0.89"/>
  </r>
  <r>
    <d v="2024-06-22T00:00:00"/>
    <x v="1"/>
    <x v="2"/>
    <s v="Video"/>
    <x v="1"/>
    <s v="Australia"/>
    <n v="35398"/>
    <n v="1044"/>
    <n v="2.9499999999999998E-2"/>
    <n v="0.45"/>
    <n v="469.8"/>
    <n v="20"/>
    <n v="23.49"/>
    <n v="1596.24"/>
    <n v="1126.44"/>
    <n v="2.3977011494252873"/>
    <n v="3.4"/>
  </r>
  <r>
    <d v="2024-03-30T00:00:00"/>
    <x v="11"/>
    <x v="1"/>
    <s v="Video"/>
    <x v="2"/>
    <s v="India"/>
    <n v="98386"/>
    <n v="7556"/>
    <n v="7.6799999999999993E-2"/>
    <n v="0.35"/>
    <n v="2644.6"/>
    <n v="385"/>
    <n v="6.87"/>
    <n v="43735.3"/>
    <n v="41090.700000000004"/>
    <n v="15.53758602435151"/>
    <n v="16.54"/>
  </r>
  <r>
    <d v="2024-08-06T00:00:00"/>
    <x v="4"/>
    <x v="2"/>
    <s v="Video"/>
    <x v="4"/>
    <s v="Canada"/>
    <n v="70133"/>
    <n v="2293"/>
    <n v="3.27E-2"/>
    <n v="1.04"/>
    <n v="2384.7199999999998"/>
    <n v="75"/>
    <n v="31.8"/>
    <n v="14249.95"/>
    <n v="11865.230000000001"/>
    <n v="4.9755233318796348"/>
    <n v="5.98"/>
  </r>
  <r>
    <d v="2024-06-26T00:00:00"/>
    <x v="1"/>
    <x v="0"/>
    <s v="Video"/>
    <x v="3"/>
    <s v="USA"/>
    <n v="30169"/>
    <n v="1523"/>
    <n v="5.0500000000000003E-2"/>
    <n v="1.44"/>
    <n v="2193.12"/>
    <n v="34"/>
    <n v="64.5"/>
    <n v="8282.7099999999991"/>
    <n v="6089.5899999999992"/>
    <n v="2.7766788867002261"/>
    <n v="3.78"/>
  </r>
  <r>
    <d v="2024-01-25T00:00:00"/>
    <x v="0"/>
    <x v="0"/>
    <s v="Search"/>
    <x v="1"/>
    <s v="Germany"/>
    <n v="122959"/>
    <n v="3553"/>
    <n v="2.8899999999999999E-2"/>
    <n v="1.67"/>
    <n v="5933.51"/>
    <n v="133"/>
    <n v="44.61"/>
    <n v="11079.66"/>
    <n v="5146.1499999999996"/>
    <n v="0.86730282750007992"/>
    <n v="1.87"/>
  </r>
  <r>
    <d v="2024-04-12T00:00:00"/>
    <x v="5"/>
    <x v="2"/>
    <s v="Search"/>
    <x v="2"/>
    <s v="Australia"/>
    <n v="73083"/>
    <n v="3040"/>
    <n v="4.1599999999999998E-2"/>
    <n v="0.6"/>
    <n v="1824"/>
    <n v="203"/>
    <n v="8.99"/>
    <n v="29701.35"/>
    <n v="27877.35"/>
    <n v="15.283634868421052"/>
    <n v="16.28"/>
  </r>
  <r>
    <d v="2024-05-02T00:00:00"/>
    <x v="8"/>
    <x v="2"/>
    <s v="Display"/>
    <x v="0"/>
    <s v="India"/>
    <n v="113889"/>
    <n v="4623"/>
    <n v="4.0599999999999997E-2"/>
    <n v="1.19"/>
    <n v="5501.37"/>
    <n v="362"/>
    <n v="15.2"/>
    <n v="19216.96"/>
    <n v="13715.59"/>
    <n v="2.4931226221832019"/>
    <n v="3.49"/>
  </r>
  <r>
    <d v="2024-06-23T00:00:00"/>
    <x v="1"/>
    <x v="2"/>
    <s v="Search"/>
    <x v="2"/>
    <s v="Australia"/>
    <n v="57203"/>
    <n v="1029"/>
    <n v="1.7999999999999999E-2"/>
    <n v="0.87"/>
    <n v="895.23"/>
    <n v="11"/>
    <n v="81.38"/>
    <n v="1505.4"/>
    <n v="610.17000000000007"/>
    <n v="0.68157903555510879"/>
    <n v="1.68"/>
  </r>
  <r>
    <d v="2024-07-12T00:00:00"/>
    <x v="10"/>
    <x v="1"/>
    <s v="Display"/>
    <x v="3"/>
    <s v="UAE"/>
    <n v="36562"/>
    <n v="1257"/>
    <n v="3.44E-2"/>
    <n v="0.43"/>
    <n v="540.51"/>
    <n v="74"/>
    <n v="7.3"/>
    <n v="11838.52"/>
    <n v="11298.01"/>
    <n v="20.902499491221256"/>
    <n v="21.9"/>
  </r>
  <r>
    <d v="2024-12-01T00:00:00"/>
    <x v="9"/>
    <x v="0"/>
    <s v="Search"/>
    <x v="1"/>
    <s v="USA"/>
    <n v="177256"/>
    <n v="4059"/>
    <n v="2.29E-2"/>
    <n v="2.19"/>
    <n v="8889.2099999999991"/>
    <n v="138"/>
    <n v="64.41"/>
    <n v="32140.46"/>
    <n v="23251.25"/>
    <n v="2.6156711338802889"/>
    <n v="3.62"/>
  </r>
  <r>
    <d v="2024-02-23T00:00:00"/>
    <x v="2"/>
    <x v="1"/>
    <s v="Shopping"/>
    <x v="3"/>
    <s v="India"/>
    <n v="179036"/>
    <n v="11046"/>
    <n v="6.1699999999999998E-2"/>
    <n v="0.87"/>
    <n v="9610.02"/>
    <n v="787"/>
    <n v="12.21"/>
    <n v="127296.84"/>
    <n v="117686.81999999999"/>
    <n v="12.246261714335661"/>
    <n v="13.25"/>
  </r>
  <r>
    <d v="2024-07-02T00:00:00"/>
    <x v="10"/>
    <x v="0"/>
    <s v="Display"/>
    <x v="1"/>
    <s v="Germany"/>
    <n v="87481"/>
    <n v="4181"/>
    <n v="4.7800000000000002E-2"/>
    <n v="2.88"/>
    <n v="12041.28"/>
    <n v="104"/>
    <n v="115.78"/>
    <n v="28643.42"/>
    <n v="16602.14"/>
    <n v="1.3787687023306492"/>
    <n v="2.38"/>
  </r>
  <r>
    <d v="2024-06-22T00:00:00"/>
    <x v="1"/>
    <x v="1"/>
    <s v="Shopping"/>
    <x v="4"/>
    <s v="India"/>
    <n v="130645"/>
    <n v="8243"/>
    <n v="6.3100000000000003E-2"/>
    <n v="0.95"/>
    <n v="7830.85"/>
    <n v="356"/>
    <n v="22"/>
    <n v="16420.599999999999"/>
    <n v="8589.7499999999982"/>
    <n v="1.0969115740947659"/>
    <n v="2.1"/>
  </r>
  <r>
    <d v="2024-11-24T00:00:00"/>
    <x v="6"/>
    <x v="0"/>
    <s v="Search"/>
    <x v="3"/>
    <s v="India"/>
    <n v="121089"/>
    <n v="3499"/>
    <n v="2.8899999999999999E-2"/>
    <n v="0.93"/>
    <n v="3254.07"/>
    <n v="185"/>
    <n v="17.59"/>
    <n v="28042.42"/>
    <n v="24788.35"/>
    <n v="7.6176449799789179"/>
    <n v="8.6199999999999992"/>
  </r>
  <r>
    <d v="2024-05-07T00:00:00"/>
    <x v="8"/>
    <x v="0"/>
    <s v="Search"/>
    <x v="1"/>
    <s v="Canada"/>
    <n v="15589"/>
    <n v="285"/>
    <n v="1.83E-2"/>
    <n v="1.18"/>
    <n v="336.3"/>
    <n v="10"/>
    <n v="33.630000000000003"/>
    <n v="1359.76"/>
    <n v="1023.46"/>
    <n v="3.0432946773713945"/>
    <n v="4.04"/>
  </r>
  <r>
    <d v="2024-08-11T00:00:00"/>
    <x v="4"/>
    <x v="1"/>
    <s v="Search"/>
    <x v="0"/>
    <s v="Germany"/>
    <n v="101411"/>
    <n v="9370"/>
    <n v="9.2399999999999996E-2"/>
    <n v="0.81"/>
    <n v="7589.7"/>
    <n v="523"/>
    <n v="14.51"/>
    <n v="26633.21"/>
    <n v="19043.509999999998"/>
    <n v="2.5091255253830846"/>
    <n v="3.51"/>
  </r>
  <r>
    <d v="2024-03-25T00:00:00"/>
    <x v="11"/>
    <x v="0"/>
    <s v="Shopping"/>
    <x v="4"/>
    <s v="UK"/>
    <n v="142045"/>
    <n v="9161"/>
    <n v="6.4500000000000002E-2"/>
    <n v="2.39"/>
    <n v="21894.79"/>
    <n v="525"/>
    <n v="41.7"/>
    <n v="131680.16"/>
    <n v="109785.37"/>
    <n v="5.0142234750824279"/>
    <n v="6.01"/>
  </r>
  <r>
    <d v="2024-07-05T00:00:00"/>
    <x v="10"/>
    <x v="2"/>
    <s v="Shopping"/>
    <x v="2"/>
    <s v="UK"/>
    <n v="42236"/>
    <n v="1013"/>
    <n v="2.4E-2"/>
    <n v="1.43"/>
    <n v="1448.59"/>
    <n v="29"/>
    <n v="49.95"/>
    <n v="4720.08"/>
    <n v="3271.49"/>
    <n v="2.2583960955135685"/>
    <n v="3.26"/>
  </r>
  <r>
    <d v="2024-05-23T00:00:00"/>
    <x v="8"/>
    <x v="2"/>
    <s v="Shopping"/>
    <x v="4"/>
    <s v="Canada"/>
    <n v="75628"/>
    <n v="794"/>
    <n v="1.0500000000000001E-2"/>
    <n v="0.5"/>
    <n v="397"/>
    <n v="49"/>
    <n v="8.1"/>
    <n v="3639.22"/>
    <n v="3242.22"/>
    <n v="8.1668010075566748"/>
    <n v="9.17"/>
  </r>
  <r>
    <d v="2024-12-08T00:00:00"/>
    <x v="9"/>
    <x v="1"/>
    <s v="Video"/>
    <x v="0"/>
    <s v="Germany"/>
    <n v="116184"/>
    <n v="4089"/>
    <n v="3.5200000000000002E-2"/>
    <n v="0.34"/>
    <n v="1390.26"/>
    <n v="263"/>
    <n v="5.29"/>
    <n v="54249.41"/>
    <n v="52859.15"/>
    <n v="38.021053615870414"/>
    <n v="39.020000000000003"/>
  </r>
  <r>
    <d v="2024-10-19T00:00:00"/>
    <x v="3"/>
    <x v="0"/>
    <s v="Video"/>
    <x v="4"/>
    <s v="USA"/>
    <n v="121465"/>
    <n v="5575"/>
    <n v="4.5900000000000003E-2"/>
    <n v="1.64"/>
    <n v="9143"/>
    <n v="273"/>
    <n v="33.49"/>
    <n v="28769.59"/>
    <n v="19626.59"/>
    <n v="2.1466247402384337"/>
    <n v="3.15"/>
  </r>
  <r>
    <d v="2024-01-09T00:00:00"/>
    <x v="0"/>
    <x v="0"/>
    <s v="Video"/>
    <x v="0"/>
    <s v="UK"/>
    <n v="108510"/>
    <n v="3721"/>
    <n v="3.4299999999999997E-2"/>
    <n v="1.41"/>
    <n v="5246.61"/>
    <n v="116"/>
    <n v="45.23"/>
    <n v="23480.01"/>
    <n v="18233.399999999998"/>
    <n v="3.4752726045961104"/>
    <n v="4.4800000000000004"/>
  </r>
  <r>
    <d v="2024-03-12T00:00:00"/>
    <x v="11"/>
    <x v="2"/>
    <s v="Shopping"/>
    <x v="2"/>
    <s v="Canada"/>
    <n v="199650"/>
    <n v="4152"/>
    <n v="2.0799999999999999E-2"/>
    <n v="0.78"/>
    <n v="3238.56"/>
    <n v="165"/>
    <n v="19.63"/>
    <n v="10558.75"/>
    <n v="7320.1900000000005"/>
    <n v="2.2603224890074602"/>
    <n v="3.26"/>
  </r>
  <r>
    <d v="2024-07-10T00:00:00"/>
    <x v="10"/>
    <x v="0"/>
    <s v="Shopping"/>
    <x v="3"/>
    <s v="USA"/>
    <n v="73734"/>
    <n v="1990"/>
    <n v="2.7E-2"/>
    <n v="0.82"/>
    <n v="1631.8"/>
    <n v="143"/>
    <n v="11.41"/>
    <n v="16954.02"/>
    <n v="15322.220000000001"/>
    <n v="9.3897659026841538"/>
    <n v="10.39"/>
  </r>
  <r>
    <d v="2024-03-10T00:00:00"/>
    <x v="11"/>
    <x v="2"/>
    <s v="Shopping"/>
    <x v="4"/>
    <s v="Canada"/>
    <n v="149532"/>
    <n v="5069"/>
    <n v="3.39E-2"/>
    <n v="2.39"/>
    <n v="12114.91"/>
    <n v="397"/>
    <n v="30.52"/>
    <n v="95392.09"/>
    <n v="83277.179999999993"/>
    <n v="6.8739412839220426"/>
    <n v="7.87"/>
  </r>
  <r>
    <d v="2024-01-27T00:00:00"/>
    <x v="0"/>
    <x v="0"/>
    <s v="Search"/>
    <x v="0"/>
    <s v="India"/>
    <n v="79432"/>
    <n v="4130"/>
    <n v="5.1999999999999998E-2"/>
    <n v="2.29"/>
    <n v="9457.7000000000007"/>
    <n v="311"/>
    <n v="30.41"/>
    <n v="59366.41"/>
    <n v="49908.710000000006"/>
    <n v="5.2770451589709975"/>
    <n v="6.28"/>
  </r>
  <r>
    <d v="2024-10-07T00:00:00"/>
    <x v="3"/>
    <x v="1"/>
    <s v="Display"/>
    <x v="0"/>
    <s v="Canada"/>
    <n v="192583"/>
    <n v="11285"/>
    <n v="5.8599999999999999E-2"/>
    <n v="1.63"/>
    <n v="18394.55"/>
    <n v="562"/>
    <n v="32.729999999999997"/>
    <n v="124224.31"/>
    <n v="105829.75999999999"/>
    <n v="5.7533215001182416"/>
    <n v="6.75"/>
  </r>
  <r>
    <d v="2024-03-09T00:00:00"/>
    <x v="11"/>
    <x v="2"/>
    <s v="Video"/>
    <x v="3"/>
    <s v="Australia"/>
    <n v="79266"/>
    <n v="2425"/>
    <n v="3.0599999999999999E-2"/>
    <n v="0.72"/>
    <n v="1746"/>
    <n v="104"/>
    <n v="16.79"/>
    <n v="20287.27"/>
    <n v="18541.27"/>
    <n v="10.619284077892326"/>
    <n v="11.62"/>
  </r>
  <r>
    <d v="2024-02-25T00:00:00"/>
    <x v="2"/>
    <x v="0"/>
    <s v="Video"/>
    <x v="0"/>
    <s v="Australia"/>
    <n v="33695"/>
    <n v="1277"/>
    <n v="3.7900000000000003E-2"/>
    <n v="2.88"/>
    <n v="3677.76"/>
    <n v="89"/>
    <n v="41.32"/>
    <n v="25041.09"/>
    <n v="21363.33"/>
    <n v="5.8087885016966849"/>
    <n v="6.81"/>
  </r>
  <r>
    <d v="2024-03-19T00:00:00"/>
    <x v="11"/>
    <x v="1"/>
    <s v="Search"/>
    <x v="0"/>
    <s v="India"/>
    <n v="92030"/>
    <n v="6267"/>
    <n v="6.8099999999999994E-2"/>
    <n v="0.57999999999999996"/>
    <n v="3634.86"/>
    <n v="136"/>
    <n v="26.73"/>
    <n v="11204.78"/>
    <n v="7569.92"/>
    <n v="2.0825891506137788"/>
    <n v="3.08"/>
  </r>
  <r>
    <d v="2024-11-02T00:00:00"/>
    <x v="6"/>
    <x v="0"/>
    <s v="Search"/>
    <x v="2"/>
    <s v="India"/>
    <n v="26259"/>
    <n v="669"/>
    <n v="2.5499999999999998E-2"/>
    <n v="1.41"/>
    <n v="943.29"/>
    <n v="22"/>
    <n v="42.88"/>
    <n v="2731.41"/>
    <n v="1788.12"/>
    <n v="1.8956206468848391"/>
    <n v="2.9"/>
  </r>
  <r>
    <d v="2024-04-15T00:00:00"/>
    <x v="5"/>
    <x v="0"/>
    <s v="Video"/>
    <x v="0"/>
    <s v="UK"/>
    <n v="99447"/>
    <n v="5917"/>
    <n v="5.9499999999999997E-2"/>
    <n v="1.05"/>
    <n v="6212.85"/>
    <n v="195"/>
    <n v="31.86"/>
    <n v="28481.71"/>
    <n v="22268.86"/>
    <n v="3.5843228148112378"/>
    <n v="4.58"/>
  </r>
  <r>
    <d v="2024-11-17T00:00:00"/>
    <x v="6"/>
    <x v="2"/>
    <s v="Shopping"/>
    <x v="2"/>
    <s v="UAE"/>
    <n v="170910"/>
    <n v="3315"/>
    <n v="1.9400000000000001E-2"/>
    <n v="0.5"/>
    <n v="1657.5"/>
    <n v="167"/>
    <n v="9.93"/>
    <n v="41334.160000000003"/>
    <n v="39676.660000000003"/>
    <n v="23.937653092006034"/>
    <n v="24.94"/>
  </r>
  <r>
    <d v="2024-03-04T00:00:00"/>
    <x v="11"/>
    <x v="2"/>
    <s v="Video"/>
    <x v="2"/>
    <s v="USA"/>
    <n v="180259"/>
    <n v="2072"/>
    <n v="1.15E-2"/>
    <n v="1.37"/>
    <n v="2838.64"/>
    <n v="136"/>
    <n v="20.87"/>
    <n v="10032.66"/>
    <n v="7194.02"/>
    <n v="2.5343192514725366"/>
    <n v="3.53"/>
  </r>
  <r>
    <d v="2024-02-23T00:00:00"/>
    <x v="2"/>
    <x v="2"/>
    <s v="Video"/>
    <x v="2"/>
    <s v="UAE"/>
    <n v="146964"/>
    <n v="5246"/>
    <n v="3.5700000000000003E-2"/>
    <n v="1.99"/>
    <n v="10439.540000000001"/>
    <n v="131"/>
    <n v="79.69"/>
    <n v="7261.59"/>
    <n v="-3177.9500000000007"/>
    <n v="-0.30441475390678135"/>
    <n v="0.7"/>
  </r>
  <r>
    <d v="2024-09-10T00:00:00"/>
    <x v="7"/>
    <x v="2"/>
    <s v="Display"/>
    <x v="1"/>
    <s v="Germany"/>
    <n v="153057"/>
    <n v="2969"/>
    <n v="1.9400000000000001E-2"/>
    <n v="2.2400000000000002"/>
    <n v="6650.56"/>
    <n v="148"/>
    <n v="44.94"/>
    <n v="28216.02"/>
    <n v="21565.46"/>
    <n v="3.24265325025261"/>
    <n v="4.24"/>
  </r>
  <r>
    <d v="2024-12-08T00:00:00"/>
    <x v="9"/>
    <x v="0"/>
    <s v="Search"/>
    <x v="3"/>
    <s v="UK"/>
    <n v="78635"/>
    <n v="2587"/>
    <n v="3.2899999999999999E-2"/>
    <n v="2.35"/>
    <n v="6079.45"/>
    <n v="106"/>
    <n v="57.35"/>
    <n v="21303.72"/>
    <n v="15224.27"/>
    <n v="2.5042183092220514"/>
    <n v="3.5"/>
  </r>
  <r>
    <d v="2024-11-12T00:00:00"/>
    <x v="6"/>
    <x v="2"/>
    <s v="Display"/>
    <x v="2"/>
    <s v="UAE"/>
    <n v="54031"/>
    <n v="2215"/>
    <n v="4.1000000000000002E-2"/>
    <n v="1.66"/>
    <n v="3676.9"/>
    <n v="157"/>
    <n v="23.42"/>
    <n v="22778.62"/>
    <n v="19101.719999999998"/>
    <n v="5.1950610568685569"/>
    <n v="6.2"/>
  </r>
  <r>
    <d v="2024-09-17T00:00:00"/>
    <x v="7"/>
    <x v="0"/>
    <s v="Video"/>
    <x v="3"/>
    <s v="Germany"/>
    <n v="162743"/>
    <n v="8723"/>
    <n v="5.3600000000000002E-2"/>
    <n v="1.77"/>
    <n v="15439.71"/>
    <n v="106"/>
    <n v="145.66"/>
    <n v="20056.78"/>
    <n v="4617.07"/>
    <n v="0.2990386477466222"/>
    <n v="1.3"/>
  </r>
  <r>
    <d v="2024-08-04T00:00:00"/>
    <x v="4"/>
    <x v="0"/>
    <s v="Display"/>
    <x v="2"/>
    <s v="Canada"/>
    <n v="144494"/>
    <n v="8409"/>
    <n v="5.8200000000000002E-2"/>
    <n v="3.04"/>
    <n v="25563.360000000001"/>
    <n v="93"/>
    <n v="274.87"/>
    <n v="20233.22"/>
    <n v="-5330.1399999999994"/>
    <n v="-0.20850701942154706"/>
    <n v="0.79"/>
  </r>
  <r>
    <d v="2024-11-09T00:00:00"/>
    <x v="6"/>
    <x v="0"/>
    <s v="Search"/>
    <x v="0"/>
    <s v="Australia"/>
    <n v="112549"/>
    <n v="6640"/>
    <n v="5.8999999999999997E-2"/>
    <n v="3.67"/>
    <n v="24368.799999999999"/>
    <n v="374"/>
    <n v="65.16"/>
    <n v="21696.69"/>
    <n v="-2672.1100000000006"/>
    <n v="-0.1096529168444897"/>
    <n v="0.89"/>
  </r>
  <r>
    <d v="2024-12-23T00:00:00"/>
    <x v="9"/>
    <x v="0"/>
    <s v="Search"/>
    <x v="4"/>
    <s v="USA"/>
    <n v="148994"/>
    <n v="7509"/>
    <n v="5.04E-2"/>
    <n v="3.46"/>
    <n v="25981.14"/>
    <n v="588"/>
    <n v="44.19"/>
    <n v="82753.509999999995"/>
    <n v="56772.369999999995"/>
    <n v="2.1851377576195654"/>
    <n v="3.19"/>
  </r>
  <r>
    <d v="2024-11-24T00:00:00"/>
    <x v="6"/>
    <x v="0"/>
    <s v="Display"/>
    <x v="0"/>
    <s v="Canada"/>
    <n v="87373"/>
    <n v="3643"/>
    <n v="4.1700000000000001E-2"/>
    <n v="1.05"/>
    <n v="3825.15"/>
    <n v="289"/>
    <n v="13.24"/>
    <n v="35842.03"/>
    <n v="32016.879999999997"/>
    <n v="8.3700979046573334"/>
    <n v="9.3699999999999992"/>
  </r>
  <r>
    <d v="2024-04-01T00:00:00"/>
    <x v="5"/>
    <x v="1"/>
    <s v="Shopping"/>
    <x v="4"/>
    <s v="Australia"/>
    <n v="41200"/>
    <n v="1763"/>
    <n v="4.2799999999999998E-2"/>
    <n v="1.78"/>
    <n v="3138.14"/>
    <n v="101"/>
    <n v="31.07"/>
    <n v="27614.2"/>
    <n v="24476.06"/>
    <n v="7.7995436787396359"/>
    <n v="8.8000000000000007"/>
  </r>
  <r>
    <d v="2024-12-23T00:00:00"/>
    <x v="9"/>
    <x v="0"/>
    <s v="Search"/>
    <x v="0"/>
    <s v="India"/>
    <n v="51986"/>
    <n v="1996"/>
    <n v="3.8399999999999997E-2"/>
    <n v="1.53"/>
    <n v="3053.88"/>
    <n v="82"/>
    <n v="37.24"/>
    <n v="20819.66"/>
    <n v="17765.78"/>
    <n v="5.8174453482127646"/>
    <n v="6.82"/>
  </r>
  <r>
    <d v="2024-10-15T00:00:00"/>
    <x v="3"/>
    <x v="2"/>
    <s v="Search"/>
    <x v="0"/>
    <s v="Germany"/>
    <n v="190392"/>
    <n v="6016"/>
    <n v="3.1600000000000003E-2"/>
    <n v="2.29"/>
    <n v="13776.64"/>
    <n v="165"/>
    <n v="83.49"/>
    <n v="35908.75"/>
    <n v="22132.11"/>
    <n v="1.6064954880144942"/>
    <n v="2.61"/>
  </r>
  <r>
    <d v="2024-12-06T00:00:00"/>
    <x v="9"/>
    <x v="1"/>
    <s v="Shopping"/>
    <x v="4"/>
    <s v="Germany"/>
    <n v="137817"/>
    <n v="8654"/>
    <n v="6.2799999999999995E-2"/>
    <n v="1.52"/>
    <n v="13154.08"/>
    <n v="392"/>
    <n v="33.56"/>
    <n v="54000.95"/>
    <n v="40846.869999999995"/>
    <n v="3.1052623976743332"/>
    <n v="4.1100000000000003"/>
  </r>
  <r>
    <d v="2024-01-20T00:00:00"/>
    <x v="0"/>
    <x v="1"/>
    <s v="Video"/>
    <x v="0"/>
    <s v="USA"/>
    <n v="153145"/>
    <n v="7197"/>
    <n v="4.7E-2"/>
    <n v="1.02"/>
    <n v="7340.94"/>
    <n v="89"/>
    <n v="82.48"/>
    <n v="6214.05"/>
    <n v="-1126.8899999999994"/>
    <n v="-0.15350758894637465"/>
    <n v="0.85"/>
  </r>
  <r>
    <d v="2024-03-07T00:00:00"/>
    <x v="11"/>
    <x v="0"/>
    <s v="Shopping"/>
    <x v="4"/>
    <s v="USA"/>
    <n v="20718"/>
    <n v="426"/>
    <n v="2.06E-2"/>
    <n v="2.65"/>
    <n v="1128.9000000000001"/>
    <n v="22"/>
    <n v="51.31"/>
    <n v="1505.14"/>
    <n v="376.24"/>
    <n v="0.33328018425015499"/>
    <n v="1.33"/>
  </r>
  <r>
    <d v="2024-01-22T00:00:00"/>
    <x v="0"/>
    <x v="1"/>
    <s v="Shopping"/>
    <x v="0"/>
    <s v="Germany"/>
    <n v="5059"/>
    <n v="415"/>
    <n v="8.2199999999999995E-2"/>
    <n v="0.73"/>
    <n v="302.95"/>
    <n v="4"/>
    <n v="75.739999999999995"/>
    <n v="798.87"/>
    <n v="495.92"/>
    <n v="1.636969796996204"/>
    <n v="2.64"/>
  </r>
  <r>
    <d v="2024-02-28T00:00:00"/>
    <x v="2"/>
    <x v="1"/>
    <s v="Search"/>
    <x v="3"/>
    <s v="USA"/>
    <n v="96045"/>
    <n v="5820"/>
    <n v="6.0600000000000001E-2"/>
    <n v="0.31"/>
    <n v="1804.2"/>
    <n v="235"/>
    <n v="7.68"/>
    <n v="47063.54"/>
    <n v="45259.340000000004"/>
    <n v="25.085544839818205"/>
    <n v="26.09"/>
  </r>
  <r>
    <d v="2024-05-19T00:00:00"/>
    <x v="8"/>
    <x v="0"/>
    <s v="Display"/>
    <x v="4"/>
    <s v="UAE"/>
    <n v="12644"/>
    <n v="572"/>
    <n v="4.53E-2"/>
    <n v="2.2200000000000002"/>
    <n v="1269.8399999999999"/>
    <n v="36"/>
    <n v="35.270000000000003"/>
    <n v="7362.94"/>
    <n v="6093.0999999999995"/>
    <n v="4.7983210483210481"/>
    <n v="5.8"/>
  </r>
  <r>
    <d v="2024-07-16T00:00:00"/>
    <x v="10"/>
    <x v="0"/>
    <s v="Video"/>
    <x v="1"/>
    <s v="Canada"/>
    <n v="91901"/>
    <n v="3326"/>
    <n v="3.6200000000000003E-2"/>
    <n v="2.58"/>
    <n v="8581.08"/>
    <n v="261"/>
    <n v="32.880000000000003"/>
    <n v="77117.41"/>
    <n v="68536.33"/>
    <n v="7.9869119038629171"/>
    <n v="8.99"/>
  </r>
  <r>
    <d v="2024-03-30T00:00:00"/>
    <x v="11"/>
    <x v="0"/>
    <s v="Search"/>
    <x v="0"/>
    <s v="Canada"/>
    <n v="120431"/>
    <n v="6262"/>
    <n v="5.1999999999999998E-2"/>
    <n v="2.77"/>
    <n v="17345.740000000002"/>
    <n v="188"/>
    <n v="92.26"/>
    <n v="8830.89"/>
    <n v="-8514.8500000000022"/>
    <n v="-0.49088998220888824"/>
    <n v="0.51"/>
  </r>
  <r>
    <d v="2024-01-23T00:00:00"/>
    <x v="0"/>
    <x v="0"/>
    <s v="Search"/>
    <x v="0"/>
    <s v="Germany"/>
    <n v="7948"/>
    <n v="289"/>
    <n v="3.6400000000000002E-2"/>
    <n v="2.0699999999999998"/>
    <n v="598.23"/>
    <n v="6"/>
    <n v="99.7"/>
    <n v="1368.08"/>
    <n v="769.84999999999991"/>
    <n v="1.2868796282366313"/>
    <n v="2.29"/>
  </r>
  <r>
    <d v="2024-08-14T00:00:00"/>
    <x v="4"/>
    <x v="2"/>
    <s v="Video"/>
    <x v="4"/>
    <s v="UAE"/>
    <n v="108924"/>
    <n v="2134"/>
    <n v="1.9599999999999999E-2"/>
    <n v="0.41"/>
    <n v="874.94"/>
    <n v="85"/>
    <n v="10.29"/>
    <n v="7418.36"/>
    <n v="6543.42"/>
    <n v="7.4787071113447778"/>
    <n v="8.48"/>
  </r>
  <r>
    <d v="2024-03-30T00:00:00"/>
    <x v="11"/>
    <x v="0"/>
    <s v="Search"/>
    <x v="3"/>
    <s v="Germany"/>
    <n v="66402"/>
    <n v="2695"/>
    <n v="4.0599999999999997E-2"/>
    <n v="1.86"/>
    <n v="5012.7"/>
    <n v="199"/>
    <n v="25.19"/>
    <n v="14266.46"/>
    <n v="9253.7599999999984"/>
    <n v="1.8460629999800504"/>
    <n v="2.85"/>
  </r>
  <r>
    <d v="2024-08-29T00:00:00"/>
    <x v="4"/>
    <x v="0"/>
    <s v="Display"/>
    <x v="1"/>
    <s v="Canada"/>
    <n v="96676"/>
    <n v="5326"/>
    <n v="5.5100000000000003E-2"/>
    <n v="1.67"/>
    <n v="8894.42"/>
    <n v="355"/>
    <n v="25.05"/>
    <n v="14113.5"/>
    <n v="5219.08"/>
    <n v="0.58678137528922625"/>
    <n v="1.59"/>
  </r>
  <r>
    <d v="2024-04-10T00:00:00"/>
    <x v="5"/>
    <x v="2"/>
    <s v="Search"/>
    <x v="0"/>
    <s v="USA"/>
    <n v="10108"/>
    <n v="320"/>
    <n v="3.1699999999999999E-2"/>
    <n v="0.51"/>
    <n v="163.19999999999999"/>
    <n v="8"/>
    <n v="20.399999999999999"/>
    <n v="624.20000000000005"/>
    <n v="461.00000000000006"/>
    <n v="2.8247549019607847"/>
    <n v="3.82"/>
  </r>
  <r>
    <d v="2024-03-30T00:00:00"/>
    <x v="11"/>
    <x v="0"/>
    <s v="Search"/>
    <x v="3"/>
    <s v="UK"/>
    <n v="23936"/>
    <n v="1211"/>
    <n v="5.0599999999999999E-2"/>
    <n v="2.7"/>
    <n v="3269.7"/>
    <n v="49"/>
    <n v="66.73"/>
    <n v="7236.18"/>
    <n v="3966.4800000000005"/>
    <n v="1.2131021194605012"/>
    <n v="2.21"/>
  </r>
  <r>
    <d v="2024-05-21T00:00:00"/>
    <x v="8"/>
    <x v="2"/>
    <s v="Display"/>
    <x v="3"/>
    <s v="India"/>
    <n v="157455"/>
    <n v="3810"/>
    <n v="2.4199999999999999E-2"/>
    <n v="1.24"/>
    <n v="4724.3999999999996"/>
    <n v="244"/>
    <n v="19.36"/>
    <n v="55928.06"/>
    <n v="51203.659999999996"/>
    <n v="10.838129709592753"/>
    <n v="11.84"/>
  </r>
  <r>
    <d v="2024-03-29T00:00:00"/>
    <x v="11"/>
    <x v="0"/>
    <s v="Shopping"/>
    <x v="0"/>
    <s v="Australia"/>
    <n v="165805"/>
    <n v="9832"/>
    <n v="5.9299999999999999E-2"/>
    <n v="2.76"/>
    <n v="27136.32"/>
    <n v="509"/>
    <n v="53.31"/>
    <n v="143237.84"/>
    <n v="116101.51999999999"/>
    <n v="4.2784548531267319"/>
    <n v="5.28"/>
  </r>
  <r>
    <d v="2024-10-27T00:00:00"/>
    <x v="3"/>
    <x v="2"/>
    <s v="Search"/>
    <x v="0"/>
    <s v="USA"/>
    <n v="69385"/>
    <n v="2650"/>
    <n v="3.8199999999999998E-2"/>
    <n v="1.7"/>
    <n v="4505"/>
    <n v="160"/>
    <n v="28.16"/>
    <n v="32080.73"/>
    <n v="27575.73"/>
    <n v="6.121138734739179"/>
    <n v="7.12"/>
  </r>
  <r>
    <d v="2024-04-27T00:00:00"/>
    <x v="5"/>
    <x v="1"/>
    <s v="Video"/>
    <x v="2"/>
    <s v="Australia"/>
    <n v="89944"/>
    <n v="2644"/>
    <n v="2.9399999999999999E-2"/>
    <n v="0.31"/>
    <n v="819.64"/>
    <n v="80"/>
    <n v="10.25"/>
    <n v="12715.09"/>
    <n v="11895.45"/>
    <n v="14.513017910302086"/>
    <n v="15.51"/>
  </r>
  <r>
    <d v="2024-04-03T00:00:00"/>
    <x v="5"/>
    <x v="2"/>
    <s v="Search"/>
    <x v="3"/>
    <s v="India"/>
    <n v="62603"/>
    <n v="1396"/>
    <n v="2.23E-2"/>
    <n v="1.5"/>
    <n v="2094"/>
    <n v="17"/>
    <n v="123.18"/>
    <n v="2988.24"/>
    <n v="894.23999999999978"/>
    <n v="0.42704871060171912"/>
    <n v="1.43"/>
  </r>
  <r>
    <d v="2024-01-10T00:00:00"/>
    <x v="0"/>
    <x v="2"/>
    <s v="Shopping"/>
    <x v="1"/>
    <s v="USA"/>
    <n v="62284"/>
    <n v="1413"/>
    <n v="2.2700000000000001E-2"/>
    <n v="1.06"/>
    <n v="1497.78"/>
    <n v="88"/>
    <n v="17.02"/>
    <n v="10561.64"/>
    <n v="9063.8599999999988"/>
    <n v="6.0515295971370957"/>
    <n v="7.05"/>
  </r>
  <r>
    <d v="2024-11-09T00:00:00"/>
    <x v="6"/>
    <x v="2"/>
    <s v="Video"/>
    <x v="1"/>
    <s v="USA"/>
    <n v="172812"/>
    <n v="2972"/>
    <n v="1.72E-2"/>
    <n v="0.99"/>
    <n v="2942.28"/>
    <n v="178"/>
    <n v="16.53"/>
    <n v="47180.83"/>
    <n v="44238.55"/>
    <n v="15.035465693271885"/>
    <n v="16.04"/>
  </r>
  <r>
    <d v="2024-01-19T00:00:00"/>
    <x v="0"/>
    <x v="0"/>
    <s v="Search"/>
    <x v="2"/>
    <s v="UAE"/>
    <n v="82764"/>
    <n v="2276"/>
    <n v="2.75E-2"/>
    <n v="0.91"/>
    <n v="2071.16"/>
    <n v="130"/>
    <n v="15.93"/>
    <n v="22792.2"/>
    <n v="20721.04"/>
    <n v="10.004557832325847"/>
    <n v="11"/>
  </r>
  <r>
    <d v="2024-04-14T00:00:00"/>
    <x v="5"/>
    <x v="2"/>
    <s v="Search"/>
    <x v="4"/>
    <s v="India"/>
    <n v="133260"/>
    <n v="2611"/>
    <n v="1.9599999999999999E-2"/>
    <n v="2.08"/>
    <n v="5430.88"/>
    <n v="108"/>
    <n v="50.29"/>
    <n v="16755.509999999998"/>
    <n v="11324.629999999997"/>
    <n v="2.0852292814424178"/>
    <n v="3.09"/>
  </r>
  <r>
    <d v="2024-07-08T00:00:00"/>
    <x v="10"/>
    <x v="0"/>
    <s v="Search"/>
    <x v="0"/>
    <s v="Australia"/>
    <n v="188420"/>
    <n v="9364"/>
    <n v="4.9700000000000001E-2"/>
    <n v="2.65"/>
    <n v="24814.6"/>
    <n v="324"/>
    <n v="76.59"/>
    <n v="68719.44"/>
    <n v="43904.840000000004"/>
    <n v="1.7693148388448738"/>
    <n v="2.77"/>
  </r>
  <r>
    <d v="2024-02-20T00:00:00"/>
    <x v="2"/>
    <x v="0"/>
    <s v="Shopping"/>
    <x v="0"/>
    <s v="UK"/>
    <n v="89431"/>
    <n v="3300"/>
    <n v="3.6900000000000002E-2"/>
    <n v="1.47"/>
    <n v="4851"/>
    <n v="56"/>
    <n v="86.62"/>
    <n v="9891.8799999999992"/>
    <n v="5040.8799999999992"/>
    <n v="1.0391424448567304"/>
    <n v="2.04"/>
  </r>
  <r>
    <d v="2024-01-04T00:00:00"/>
    <x v="0"/>
    <x v="0"/>
    <s v="Display"/>
    <x v="4"/>
    <s v="USA"/>
    <n v="52897"/>
    <n v="1883"/>
    <n v="3.56E-2"/>
    <n v="2.77"/>
    <n v="5215.91"/>
    <n v="108"/>
    <n v="48.3"/>
    <n v="5473.28"/>
    <n v="257.36999999999989"/>
    <n v="4.9343259373723837E-2"/>
    <n v="1.05"/>
  </r>
  <r>
    <d v="2024-06-09T00:00:00"/>
    <x v="1"/>
    <x v="0"/>
    <s v="Shopping"/>
    <x v="3"/>
    <s v="UK"/>
    <n v="83334"/>
    <n v="3341"/>
    <n v="4.0099999999999997E-2"/>
    <n v="1.73"/>
    <n v="5779.93"/>
    <n v="256"/>
    <n v="22.58"/>
    <n v="32514.9"/>
    <n v="26734.97"/>
    <n v="4.6254833536046283"/>
    <n v="5.63"/>
  </r>
  <r>
    <d v="2024-10-17T00:00:00"/>
    <x v="3"/>
    <x v="1"/>
    <s v="Shopping"/>
    <x v="3"/>
    <s v="USA"/>
    <n v="180721"/>
    <n v="9379"/>
    <n v="5.1900000000000002E-2"/>
    <n v="1.3"/>
    <n v="12192.7"/>
    <n v="286"/>
    <n v="42.63"/>
    <n v="52558.42"/>
    <n v="40365.72"/>
    <n v="3.310646534401732"/>
    <n v="4.3099999999999996"/>
  </r>
  <r>
    <d v="2024-12-09T00:00:00"/>
    <x v="9"/>
    <x v="1"/>
    <s v="Display"/>
    <x v="2"/>
    <s v="Australia"/>
    <n v="195759"/>
    <n v="7262"/>
    <n v="3.7100000000000001E-2"/>
    <n v="0.47"/>
    <n v="3413.14"/>
    <n v="75"/>
    <n v="45.51"/>
    <n v="16681.830000000002"/>
    <n v="13268.690000000002"/>
    <n v="3.8875317156635831"/>
    <n v="4.8899999999999997"/>
  </r>
  <r>
    <d v="2024-07-10T00:00:00"/>
    <x v="10"/>
    <x v="0"/>
    <s v="Video"/>
    <x v="3"/>
    <s v="USA"/>
    <n v="158514"/>
    <n v="4565"/>
    <n v="2.8799999999999999E-2"/>
    <n v="2.14"/>
    <n v="9769.1"/>
    <n v="235"/>
    <n v="41.57"/>
    <n v="15388.32"/>
    <n v="5619.2199999999993"/>
    <n v="0.57520344760520403"/>
    <n v="1.58"/>
  </r>
  <r>
    <d v="2024-05-17T00:00:00"/>
    <x v="8"/>
    <x v="2"/>
    <s v="Video"/>
    <x v="3"/>
    <s v="USA"/>
    <n v="82948"/>
    <n v="2347"/>
    <n v="2.8299999999999999E-2"/>
    <n v="2.31"/>
    <n v="5421.57"/>
    <n v="65"/>
    <n v="83.41"/>
    <n v="10510.94"/>
    <n v="5089.3700000000008"/>
    <n v="0.93872623612717365"/>
    <n v="1.94"/>
  </r>
  <r>
    <d v="2024-02-02T00:00:00"/>
    <x v="2"/>
    <x v="0"/>
    <s v="Video"/>
    <x v="3"/>
    <s v="Canada"/>
    <n v="44420"/>
    <n v="1066"/>
    <n v="2.4E-2"/>
    <n v="3.64"/>
    <n v="3880.24"/>
    <n v="44"/>
    <n v="88.19"/>
    <n v="2655.91"/>
    <n v="-1224.33"/>
    <n v="-0.31552945178648745"/>
    <n v="0.68"/>
  </r>
  <r>
    <d v="2024-02-25T00:00:00"/>
    <x v="2"/>
    <x v="1"/>
    <s v="Search"/>
    <x v="0"/>
    <s v="UAE"/>
    <n v="57006"/>
    <n v="2981"/>
    <n v="5.2299999999999999E-2"/>
    <n v="1.1000000000000001"/>
    <n v="3279.1"/>
    <n v="192"/>
    <n v="17.079999999999998"/>
    <n v="40566.370000000003"/>
    <n v="37287.270000000004"/>
    <n v="11.371190265621665"/>
    <n v="12.37"/>
  </r>
  <r>
    <d v="2024-08-15T00:00:00"/>
    <x v="4"/>
    <x v="2"/>
    <s v="Video"/>
    <x v="3"/>
    <s v="USA"/>
    <n v="37588"/>
    <n v="1191"/>
    <n v="3.1699999999999999E-2"/>
    <n v="1.96"/>
    <n v="2334.36"/>
    <n v="48"/>
    <n v="48.63"/>
    <n v="13381.03"/>
    <n v="11046.67"/>
    <n v="4.7322049726691686"/>
    <n v="5.73"/>
  </r>
  <r>
    <d v="2024-02-02T00:00:00"/>
    <x v="2"/>
    <x v="1"/>
    <s v="Shopping"/>
    <x v="2"/>
    <s v="Australia"/>
    <n v="196605"/>
    <n v="14922"/>
    <n v="7.5899999999999995E-2"/>
    <n v="1.76"/>
    <n v="26262.720000000001"/>
    <n v="757"/>
    <n v="34.69"/>
    <n v="181823.28"/>
    <n v="155560.56"/>
    <n v="5.9232463354900018"/>
    <n v="6.92"/>
  </r>
  <r>
    <d v="2024-04-01T00:00:00"/>
    <x v="5"/>
    <x v="2"/>
    <s v="Video"/>
    <x v="0"/>
    <s v="Germany"/>
    <n v="59376"/>
    <n v="564"/>
    <n v="9.4999999999999998E-3"/>
    <n v="0.64"/>
    <n v="360.96"/>
    <n v="25"/>
    <n v="14.44"/>
    <n v="4065.83"/>
    <n v="3704.87"/>
    <n v="10.263935062056738"/>
    <n v="11.26"/>
  </r>
  <r>
    <d v="2024-05-21T00:00:00"/>
    <x v="8"/>
    <x v="2"/>
    <s v="Video"/>
    <x v="4"/>
    <s v="India"/>
    <n v="15865"/>
    <n v="528"/>
    <n v="3.3300000000000003E-2"/>
    <n v="1.88"/>
    <n v="992.64"/>
    <n v="39"/>
    <n v="25.45"/>
    <n v="3165.22"/>
    <n v="2172.58"/>
    <n v="2.1886887491940681"/>
    <n v="3.19"/>
  </r>
  <r>
    <d v="2024-11-26T00:00:00"/>
    <x v="6"/>
    <x v="0"/>
    <s v="Video"/>
    <x v="1"/>
    <s v="UAE"/>
    <n v="80511"/>
    <n v="3622"/>
    <n v="4.4999999999999998E-2"/>
    <n v="3.32"/>
    <n v="12025.04"/>
    <n v="140"/>
    <n v="85.89"/>
    <n v="31780.44"/>
    <n v="19755.399999999998"/>
    <n v="1.6428552420615645"/>
    <n v="2.64"/>
  </r>
  <r>
    <d v="2024-06-26T00:00:00"/>
    <x v="1"/>
    <x v="0"/>
    <s v="Shopping"/>
    <x v="4"/>
    <s v="UK"/>
    <n v="143944"/>
    <n v="7873"/>
    <n v="5.4699999999999999E-2"/>
    <n v="2.11"/>
    <n v="16612.03"/>
    <n v="513"/>
    <n v="32.380000000000003"/>
    <n v="65899.820000000007"/>
    <n v="49287.790000000008"/>
    <n v="2.9669937990721191"/>
    <n v="3.97"/>
  </r>
  <r>
    <d v="2024-07-08T00:00:00"/>
    <x v="10"/>
    <x v="2"/>
    <s v="Search"/>
    <x v="3"/>
    <s v="UK"/>
    <n v="44612"/>
    <n v="811"/>
    <n v="1.8200000000000001E-2"/>
    <n v="2"/>
    <n v="1622"/>
    <n v="23"/>
    <n v="70.52"/>
    <n v="1008.1"/>
    <n v="-613.9"/>
    <n v="-0.37848335388409371"/>
    <n v="0.62"/>
  </r>
  <r>
    <d v="2024-11-13T00:00:00"/>
    <x v="6"/>
    <x v="0"/>
    <s v="Display"/>
    <x v="4"/>
    <s v="Australia"/>
    <n v="17299"/>
    <n v="479"/>
    <n v="2.7699999999999999E-2"/>
    <n v="1.94"/>
    <n v="929.26"/>
    <n v="30"/>
    <n v="30.98"/>
    <n v="3163.73"/>
    <n v="2234.4700000000003"/>
    <n v="2.4045692271269616"/>
    <n v="3.4"/>
  </r>
  <r>
    <d v="2024-10-29T00:00:00"/>
    <x v="3"/>
    <x v="1"/>
    <s v="Shopping"/>
    <x v="2"/>
    <s v="UAE"/>
    <n v="71514"/>
    <n v="3354"/>
    <n v="4.6899999999999997E-2"/>
    <n v="1.31"/>
    <n v="4393.74"/>
    <n v="165"/>
    <n v="26.63"/>
    <n v="17363.87"/>
    <n v="12970.13"/>
    <n v="2.9519566474119996"/>
    <n v="3.95"/>
  </r>
  <r>
    <d v="2024-03-14T00:00:00"/>
    <x v="11"/>
    <x v="0"/>
    <s v="Video"/>
    <x v="4"/>
    <s v="India"/>
    <n v="37135"/>
    <n v="1006"/>
    <n v="2.7099999999999999E-2"/>
    <n v="1.92"/>
    <n v="1931.52"/>
    <n v="62"/>
    <n v="31.15"/>
    <n v="17772.87"/>
    <n v="15841.349999999999"/>
    <n v="8.2014941600397613"/>
    <n v="9.1999999999999993"/>
  </r>
  <r>
    <d v="2024-11-23T00:00:00"/>
    <x v="6"/>
    <x v="0"/>
    <s v="Display"/>
    <x v="1"/>
    <s v="UAE"/>
    <n v="80542"/>
    <n v="4236"/>
    <n v="5.2600000000000001E-2"/>
    <n v="2.15"/>
    <n v="9107.4"/>
    <n v="104"/>
    <n v="87.57"/>
    <n v="15932.35"/>
    <n v="6824.9500000000007"/>
    <n v="0.74938511540066333"/>
    <n v="1.75"/>
  </r>
  <r>
    <d v="2024-04-03T00:00:00"/>
    <x v="5"/>
    <x v="0"/>
    <s v="Shopping"/>
    <x v="4"/>
    <s v="Australia"/>
    <n v="112992"/>
    <n v="2802"/>
    <n v="2.4799999999999999E-2"/>
    <n v="3"/>
    <n v="8406"/>
    <n v="124"/>
    <n v="67.790000000000006"/>
    <n v="7395.68"/>
    <n v="-1010.3199999999997"/>
    <n v="-0.12019034023316676"/>
    <n v="0.88"/>
  </r>
  <r>
    <d v="2024-06-09T00:00:00"/>
    <x v="1"/>
    <x v="2"/>
    <s v="Search"/>
    <x v="3"/>
    <s v="UK"/>
    <n v="119863"/>
    <n v="1114"/>
    <n v="9.2999999999999992E-3"/>
    <n v="1.23"/>
    <n v="1370.22"/>
    <n v="75"/>
    <n v="18.27"/>
    <n v="21180.36"/>
    <n v="19810.14"/>
    <n v="14.457634540438761"/>
    <n v="15.46"/>
  </r>
  <r>
    <d v="2024-02-07T00:00:00"/>
    <x v="2"/>
    <x v="1"/>
    <s v="Search"/>
    <x v="0"/>
    <s v="Germany"/>
    <n v="108806"/>
    <n v="5070"/>
    <n v="4.6600000000000003E-2"/>
    <n v="0.36"/>
    <n v="1825.2"/>
    <n v="279"/>
    <n v="6.54"/>
    <n v="26787.94"/>
    <n v="24962.739999999998"/>
    <n v="13.676714880561033"/>
    <n v="14.68"/>
  </r>
  <r>
    <d v="2024-11-30T00:00:00"/>
    <x v="6"/>
    <x v="1"/>
    <s v="Shopping"/>
    <x v="2"/>
    <s v="UK"/>
    <n v="7234"/>
    <n v="496"/>
    <n v="6.8699999999999997E-2"/>
    <n v="0.71"/>
    <n v="352.16"/>
    <n v="10"/>
    <n v="35.22"/>
    <n v="399.8"/>
    <n v="47.639999999999986"/>
    <n v="0.13527941844616079"/>
    <n v="1.1399999999999999"/>
  </r>
  <r>
    <d v="2024-05-03T00:00:00"/>
    <x v="8"/>
    <x v="2"/>
    <s v="Shopping"/>
    <x v="0"/>
    <s v="Australia"/>
    <n v="143541"/>
    <n v="1980"/>
    <n v="1.38E-2"/>
    <n v="1.41"/>
    <n v="2791.8"/>
    <n v="152"/>
    <n v="18.37"/>
    <n v="42063.3"/>
    <n v="39271.5"/>
    <n v="14.066731141199226"/>
    <n v="15.07"/>
  </r>
  <r>
    <d v="2024-03-21T00:00:00"/>
    <x v="11"/>
    <x v="1"/>
    <s v="Video"/>
    <x v="1"/>
    <s v="India"/>
    <n v="5497"/>
    <n v="231"/>
    <n v="4.2200000000000001E-2"/>
    <n v="1.38"/>
    <n v="318.77999999999997"/>
    <n v="18"/>
    <n v="17.71"/>
    <n v="4467.32"/>
    <n v="4148.54"/>
    <n v="13.013802622498275"/>
    <n v="14.01"/>
  </r>
  <r>
    <d v="2024-03-03T00:00:00"/>
    <x v="11"/>
    <x v="2"/>
    <s v="Display"/>
    <x v="1"/>
    <s v="UK"/>
    <n v="160478"/>
    <n v="4413"/>
    <n v="2.75E-2"/>
    <n v="1.02"/>
    <n v="4501.26"/>
    <n v="82"/>
    <n v="54.89"/>
    <n v="13362.88"/>
    <n v="8861.619999999999"/>
    <n v="1.9686976535458958"/>
    <n v="2.97"/>
  </r>
  <r>
    <d v="2024-10-14T00:00:00"/>
    <x v="3"/>
    <x v="0"/>
    <s v="Video"/>
    <x v="4"/>
    <s v="UK"/>
    <n v="116011"/>
    <n v="2726"/>
    <n v="2.35E-2"/>
    <n v="1.96"/>
    <n v="5342.96"/>
    <n v="127"/>
    <n v="42.07"/>
    <n v="4188.78"/>
    <n v="-1154.1800000000003"/>
    <n v="-0.21601883600101821"/>
    <n v="0.78"/>
  </r>
  <r>
    <d v="2024-09-17T00:00:00"/>
    <x v="7"/>
    <x v="2"/>
    <s v="Search"/>
    <x v="1"/>
    <s v="Germany"/>
    <n v="166243"/>
    <n v="1895"/>
    <n v="1.14E-2"/>
    <n v="0.92"/>
    <n v="1743.4"/>
    <n v="51"/>
    <n v="34.18"/>
    <n v="5887.21"/>
    <n v="4143.8099999999995"/>
    <n v="2.3768555695766889"/>
    <n v="3.38"/>
  </r>
  <r>
    <d v="2024-01-16T00:00:00"/>
    <x v="0"/>
    <x v="1"/>
    <s v="Video"/>
    <x v="4"/>
    <s v="Australia"/>
    <n v="62868"/>
    <n v="2715"/>
    <n v="4.3200000000000002E-2"/>
    <n v="1.6"/>
    <n v="4344"/>
    <n v="180"/>
    <n v="24.13"/>
    <n v="35590.01"/>
    <n v="31246.010000000002"/>
    <n v="7.1929120626151022"/>
    <n v="8.19"/>
  </r>
  <r>
    <d v="2024-12-15T00:00:00"/>
    <x v="9"/>
    <x v="0"/>
    <s v="Video"/>
    <x v="1"/>
    <s v="UAE"/>
    <n v="132953"/>
    <n v="8163"/>
    <n v="6.1400000000000003E-2"/>
    <n v="2.76"/>
    <n v="22529.88"/>
    <n v="130"/>
    <n v="173.31"/>
    <n v="16572.400000000001"/>
    <n v="-5957.48"/>
    <n v="-0.2644257315174337"/>
    <n v="0.74"/>
  </r>
  <r>
    <d v="2024-03-11T00:00:00"/>
    <x v="11"/>
    <x v="2"/>
    <s v="Display"/>
    <x v="2"/>
    <s v="UAE"/>
    <n v="107326"/>
    <n v="2436"/>
    <n v="2.2700000000000001E-2"/>
    <n v="0.77"/>
    <n v="1875.72"/>
    <n v="84"/>
    <n v="22.33"/>
    <n v="5936.35"/>
    <n v="4060.63"/>
    <n v="2.1648380355276906"/>
    <n v="3.16"/>
  </r>
  <r>
    <d v="2024-03-28T00:00:00"/>
    <x v="11"/>
    <x v="1"/>
    <s v="Search"/>
    <x v="4"/>
    <s v="Australia"/>
    <n v="24854"/>
    <n v="1106"/>
    <n v="4.4499999999999998E-2"/>
    <n v="1.1399999999999999"/>
    <n v="1260.8399999999999"/>
    <n v="38"/>
    <n v="33.18"/>
    <n v="8735.32"/>
    <n v="7474.48"/>
    <n v="5.9281748675486181"/>
    <n v="6.93"/>
  </r>
  <r>
    <d v="2024-04-05T00:00:00"/>
    <x v="5"/>
    <x v="0"/>
    <s v="Display"/>
    <x v="2"/>
    <s v="India"/>
    <n v="175949"/>
    <n v="7108"/>
    <n v="4.0399999999999998E-2"/>
    <n v="2.44"/>
    <n v="17343.52"/>
    <n v="75"/>
    <n v="231.25"/>
    <n v="22062.99"/>
    <n v="4719.4700000000012"/>
    <n v="0.27211719420279162"/>
    <n v="1.27"/>
  </r>
  <r>
    <d v="2024-12-27T00:00:00"/>
    <x v="9"/>
    <x v="1"/>
    <s v="Shopping"/>
    <x v="1"/>
    <s v="USA"/>
    <n v="131956"/>
    <n v="7772"/>
    <n v="5.8900000000000001E-2"/>
    <n v="0.28999999999999998"/>
    <n v="2253.88"/>
    <n v="211"/>
    <n v="10.68"/>
    <n v="23120.58"/>
    <n v="20866.7"/>
    <n v="9.2581237687898206"/>
    <n v="10.26"/>
  </r>
  <r>
    <d v="2024-11-11T00:00:00"/>
    <x v="6"/>
    <x v="0"/>
    <s v="Video"/>
    <x v="2"/>
    <s v="UAE"/>
    <n v="90096"/>
    <n v="4784"/>
    <n v="5.3100000000000001E-2"/>
    <n v="3.17"/>
    <n v="15165.28"/>
    <n v="310"/>
    <n v="48.92"/>
    <n v="81015.37"/>
    <n v="65850.09"/>
    <n v="4.3421611734171739"/>
    <n v="5.34"/>
  </r>
  <r>
    <d v="2024-02-13T00:00:00"/>
    <x v="2"/>
    <x v="0"/>
    <s v="Video"/>
    <x v="4"/>
    <s v="UK"/>
    <n v="48766"/>
    <n v="1731"/>
    <n v="3.5499999999999997E-2"/>
    <n v="1.04"/>
    <n v="1800.24"/>
    <n v="44"/>
    <n v="40.909999999999997"/>
    <n v="12477.84"/>
    <n v="10677.6"/>
    <n v="5.9312091721103855"/>
    <n v="6.93"/>
  </r>
  <r>
    <d v="2024-04-24T00:00:00"/>
    <x v="5"/>
    <x v="2"/>
    <s v="Display"/>
    <x v="0"/>
    <s v="USA"/>
    <n v="68989"/>
    <n v="2952"/>
    <n v="4.2799999999999998E-2"/>
    <n v="1.79"/>
    <n v="5284.08"/>
    <n v="169"/>
    <n v="31.27"/>
    <n v="14776.11"/>
    <n v="9492.0300000000007"/>
    <n v="1.7963448698732798"/>
    <n v="2.8"/>
  </r>
  <r>
    <d v="2024-10-13T00:00:00"/>
    <x v="3"/>
    <x v="0"/>
    <s v="Search"/>
    <x v="4"/>
    <s v="India"/>
    <n v="197557"/>
    <n v="4326"/>
    <n v="2.1899999999999999E-2"/>
    <n v="1.18"/>
    <n v="5104.68"/>
    <n v="259"/>
    <n v="19.71"/>
    <n v="39016.050000000003"/>
    <n v="33911.370000000003"/>
    <n v="6.6431921295752137"/>
    <n v="7.64"/>
  </r>
  <r>
    <d v="2024-05-14T00:00:00"/>
    <x v="8"/>
    <x v="0"/>
    <s v="Video"/>
    <x v="4"/>
    <s v="Canada"/>
    <n v="96178"/>
    <n v="4328"/>
    <n v="4.4999999999999998E-2"/>
    <n v="3.36"/>
    <n v="14542.08"/>
    <n v="275"/>
    <n v="52.88"/>
    <n v="37193.1"/>
    <n v="22651.019999999997"/>
    <n v="1.5576189926062844"/>
    <n v="2.56"/>
  </r>
  <r>
    <d v="2024-09-10T00:00:00"/>
    <x v="7"/>
    <x v="1"/>
    <s v="Shopping"/>
    <x v="2"/>
    <s v="India"/>
    <n v="144940"/>
    <n v="5333"/>
    <n v="3.6799999999999999E-2"/>
    <n v="1.31"/>
    <n v="6986.23"/>
    <n v="148"/>
    <n v="47.2"/>
    <n v="32610.09"/>
    <n v="25623.86"/>
    <n v="3.6677664491435298"/>
    <n v="4.67"/>
  </r>
  <r>
    <d v="2024-04-12T00:00:00"/>
    <x v="5"/>
    <x v="1"/>
    <s v="Shopping"/>
    <x v="3"/>
    <s v="UAE"/>
    <n v="152322"/>
    <n v="13678"/>
    <n v="8.9800000000000005E-2"/>
    <n v="0.41"/>
    <n v="5607.98"/>
    <n v="813"/>
    <n v="6.9"/>
    <n v="103237.84"/>
    <n v="97629.86"/>
    <n v="17.40909561018406"/>
    <n v="18.41"/>
  </r>
  <r>
    <d v="2024-08-22T00:00:00"/>
    <x v="4"/>
    <x v="0"/>
    <s v="Display"/>
    <x v="1"/>
    <s v="Australia"/>
    <n v="89124"/>
    <n v="2664"/>
    <n v="2.9899999999999999E-2"/>
    <n v="1.24"/>
    <n v="3303.36"/>
    <n v="198"/>
    <n v="16.68"/>
    <n v="52262.98"/>
    <n v="48959.62"/>
    <n v="14.821157851399787"/>
    <n v="15.82"/>
  </r>
  <r>
    <d v="2024-12-13T00:00:00"/>
    <x v="9"/>
    <x v="0"/>
    <s v="Video"/>
    <x v="0"/>
    <s v="India"/>
    <n v="126404"/>
    <n v="2073"/>
    <n v="1.6400000000000001E-2"/>
    <n v="0.92"/>
    <n v="1907.16"/>
    <n v="24"/>
    <n v="79.47"/>
    <n v="3807.61"/>
    <n v="1900.45"/>
    <n v="0.9964816795654271"/>
    <n v="2"/>
  </r>
  <r>
    <d v="2024-11-20T00:00:00"/>
    <x v="6"/>
    <x v="2"/>
    <s v="Search"/>
    <x v="2"/>
    <s v="Canada"/>
    <n v="84654"/>
    <n v="2937"/>
    <n v="3.4700000000000002E-2"/>
    <n v="1.84"/>
    <n v="5404.08"/>
    <n v="104"/>
    <n v="51.96"/>
    <n v="30747.279999999999"/>
    <n v="25343.199999999997"/>
    <n v="4.6896419001939273"/>
    <n v="5.69"/>
  </r>
  <r>
    <d v="2024-06-20T00:00:00"/>
    <x v="1"/>
    <x v="2"/>
    <s v="Video"/>
    <x v="1"/>
    <s v="Germany"/>
    <n v="95987"/>
    <n v="1919"/>
    <n v="0.02"/>
    <n v="1.71"/>
    <n v="3281.49"/>
    <n v="124"/>
    <n v="26.46"/>
    <n v="28533.79"/>
    <n v="25252.300000000003"/>
    <n v="7.695376185818029"/>
    <n v="8.6999999999999993"/>
  </r>
  <r>
    <d v="2024-06-01T00:00:00"/>
    <x v="1"/>
    <x v="0"/>
    <s v="Shopping"/>
    <x v="3"/>
    <s v="UAE"/>
    <n v="154088"/>
    <n v="9106"/>
    <n v="5.91E-2"/>
    <n v="3.24"/>
    <n v="29503.439999999999"/>
    <n v="294"/>
    <n v="100.35"/>
    <n v="42565.78"/>
    <n v="13062.34"/>
    <n v="0.44273955850572005"/>
    <n v="1.44"/>
  </r>
  <r>
    <d v="2024-02-29T00:00:00"/>
    <x v="2"/>
    <x v="1"/>
    <s v="Search"/>
    <x v="1"/>
    <s v="Australia"/>
    <n v="71883"/>
    <n v="2077"/>
    <n v="2.8899999999999999E-2"/>
    <n v="1.71"/>
    <n v="3551.67"/>
    <n v="87"/>
    <n v="40.82"/>
    <n v="12811.32"/>
    <n v="9259.65"/>
    <n v="2.6071256620125181"/>
    <n v="3.61"/>
  </r>
  <r>
    <d v="2024-07-22T00:00:00"/>
    <x v="10"/>
    <x v="2"/>
    <s v="Shopping"/>
    <x v="4"/>
    <s v="UAE"/>
    <n v="133716"/>
    <n v="1617"/>
    <n v="1.21E-2"/>
    <n v="0.85"/>
    <n v="1374.45"/>
    <n v="48"/>
    <n v="28.63"/>
    <n v="3570.09"/>
    <n v="2195.6400000000003"/>
    <n v="1.5974680781403472"/>
    <n v="2.6"/>
  </r>
  <r>
    <d v="2024-12-26T00:00:00"/>
    <x v="9"/>
    <x v="1"/>
    <s v="Display"/>
    <x v="0"/>
    <s v="Germany"/>
    <n v="43319"/>
    <n v="2534"/>
    <n v="5.8500000000000003E-2"/>
    <n v="1.66"/>
    <n v="4206.4399999999996"/>
    <n v="111"/>
    <n v="37.9"/>
    <n v="10456.870000000001"/>
    <n v="6250.4300000000012"/>
    <n v="1.4859192095929104"/>
    <n v="2.4900000000000002"/>
  </r>
  <r>
    <d v="2024-09-03T00:00:00"/>
    <x v="7"/>
    <x v="0"/>
    <s v="Search"/>
    <x v="4"/>
    <s v="India"/>
    <n v="144911"/>
    <n v="7897"/>
    <n v="5.45E-2"/>
    <n v="1.63"/>
    <n v="12872.11"/>
    <n v="555"/>
    <n v="23.19"/>
    <n v="21004.5"/>
    <n v="8132.3899999999994"/>
    <n v="0.63178375573235457"/>
    <n v="1.63"/>
  </r>
  <r>
    <d v="2024-10-22T00:00:00"/>
    <x v="3"/>
    <x v="0"/>
    <s v="Search"/>
    <x v="0"/>
    <s v="UAE"/>
    <n v="180634"/>
    <n v="7821"/>
    <n v="4.3299999999999998E-2"/>
    <n v="2.21"/>
    <n v="17284.41"/>
    <n v="581"/>
    <n v="29.75"/>
    <n v="136556.31"/>
    <n v="119271.9"/>
    <n v="6.9005479504362599"/>
    <n v="7.9"/>
  </r>
  <r>
    <d v="2024-02-03T00:00:00"/>
    <x v="2"/>
    <x v="2"/>
    <s v="Display"/>
    <x v="1"/>
    <s v="Australia"/>
    <n v="76095"/>
    <n v="2031"/>
    <n v="2.6700000000000002E-2"/>
    <n v="1.49"/>
    <n v="3026.19"/>
    <n v="135"/>
    <n v="22.42"/>
    <n v="33172.870000000003"/>
    <n v="30146.680000000004"/>
    <n v="9.9619257217821762"/>
    <n v="10.96"/>
  </r>
  <r>
    <d v="2024-07-11T00:00:00"/>
    <x v="10"/>
    <x v="1"/>
    <s v="Video"/>
    <x v="4"/>
    <s v="Germany"/>
    <n v="180128"/>
    <n v="10555"/>
    <n v="5.8599999999999999E-2"/>
    <n v="0.84"/>
    <n v="8866.2000000000007"/>
    <n v="707"/>
    <n v="12.54"/>
    <n v="200566.9"/>
    <n v="191700.69999999998"/>
    <n v="21.621517673862531"/>
    <n v="22.62"/>
  </r>
  <r>
    <d v="2024-06-23T00:00:00"/>
    <x v="1"/>
    <x v="2"/>
    <s v="Display"/>
    <x v="1"/>
    <s v="Australia"/>
    <n v="169849"/>
    <n v="5927"/>
    <n v="3.49E-2"/>
    <n v="0.94"/>
    <n v="5571.38"/>
    <n v="437"/>
    <n v="12.75"/>
    <n v="105321.92"/>
    <n v="99750.54"/>
    <n v="17.904099163941428"/>
    <n v="18.899999999999999"/>
  </r>
  <r>
    <d v="2024-03-01T00:00:00"/>
    <x v="11"/>
    <x v="2"/>
    <s v="Video"/>
    <x v="0"/>
    <s v="Australia"/>
    <n v="122974"/>
    <n v="2939"/>
    <n v="2.3900000000000001E-2"/>
    <n v="1.85"/>
    <n v="5437.15"/>
    <n v="91"/>
    <n v="59.75"/>
    <n v="26004.98"/>
    <n v="20567.830000000002"/>
    <n v="3.7828329179809281"/>
    <n v="4.78"/>
  </r>
  <r>
    <d v="2024-08-02T00:00:00"/>
    <x v="4"/>
    <x v="0"/>
    <s v="Search"/>
    <x v="4"/>
    <s v="USA"/>
    <n v="28553"/>
    <n v="850"/>
    <n v="2.98E-2"/>
    <n v="2.06"/>
    <n v="1751"/>
    <n v="51"/>
    <n v="34.33"/>
    <n v="13010.72"/>
    <n v="11259.72"/>
    <n v="6.4304511707595653"/>
    <n v="7.43"/>
  </r>
  <r>
    <d v="2024-01-29T00:00:00"/>
    <x v="0"/>
    <x v="2"/>
    <s v="Display"/>
    <x v="1"/>
    <s v="UK"/>
    <n v="77447"/>
    <n v="906"/>
    <n v="1.17E-2"/>
    <n v="1.1499999999999999"/>
    <n v="1041.9000000000001"/>
    <n v="29"/>
    <n v="35.93"/>
    <n v="8284.1299999999992"/>
    <n v="7242.23"/>
    <n v="6.9509837796333613"/>
    <n v="7.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s v="Google Ads"/>
    <x v="0"/>
    <s v="Fintech"/>
    <x v="0"/>
    <n v="59886"/>
    <n v="2113"/>
    <n v="3.5299999999999998E-2"/>
    <n v="1.26"/>
    <n v="2662.38"/>
    <n v="159"/>
    <n v="16.739999999999998"/>
    <n v="4803.43"/>
    <n v="2141.0500000000002"/>
    <n v="0.80418647976622426"/>
    <n v="1.8"/>
    <s v="Medium"/>
    <s v="Valid"/>
  </r>
  <r>
    <x v="1"/>
    <x v="0"/>
    <s v="TikTok Ads"/>
    <x v="0"/>
    <s v="EdTech"/>
    <x v="1"/>
    <n v="135608"/>
    <n v="5220"/>
    <n v="3.85E-2"/>
    <n v="1.18"/>
    <n v="6159.6"/>
    <n v="411"/>
    <n v="14.99"/>
    <n v="64126.68"/>
    <n v="57967.08"/>
    <n v="9.4108513539840253"/>
    <n v="10.41"/>
    <s v="High"/>
    <s v="Valid"/>
  </r>
  <r>
    <x v="2"/>
    <x v="1"/>
    <s v="TikTok Ads"/>
    <x v="1"/>
    <s v="Healthcare"/>
    <x v="2"/>
    <n v="92313"/>
    <n v="5991"/>
    <n v="6.4899999999999999E-2"/>
    <n v="0.85"/>
    <n v="5092.3500000000004"/>
    <n v="267"/>
    <n v="19.07"/>
    <n v="10489.07"/>
    <n v="5396.7199999999993"/>
    <n v="1.0597700472277041"/>
    <n v="2.06"/>
    <s v="Medium"/>
    <s v="Valid"/>
  </r>
  <r>
    <x v="3"/>
    <x v="0"/>
    <s v="TikTok Ads"/>
    <x v="2"/>
    <s v="SaaS"/>
    <x v="3"/>
    <n v="83953"/>
    <n v="5935"/>
    <n v="7.0699999999999999E-2"/>
    <n v="1.32"/>
    <n v="7834.2"/>
    <n v="296"/>
    <n v="26.47"/>
    <n v="50505.07"/>
    <n v="42670.87"/>
    <n v="5.4467424880651505"/>
    <n v="6.45"/>
    <s v="High"/>
    <s v="Valid"/>
  </r>
  <r>
    <x v="4"/>
    <x v="2"/>
    <s v="TikTok Ads"/>
    <x v="0"/>
    <s v="Healthcare"/>
    <x v="1"/>
    <n v="91807"/>
    <n v="4489"/>
    <n v="4.8899999999999999E-2"/>
    <n v="1.93"/>
    <n v="8663.77"/>
    <n v="107"/>
    <n v="80.97"/>
    <n v="3369.53"/>
    <n v="-5294.24"/>
    <n v="-0.61107808725300872"/>
    <n v="0.39"/>
    <s v="Low"/>
    <s v="Valid"/>
  </r>
  <r>
    <x v="5"/>
    <x v="3"/>
    <s v="TikTok Ads"/>
    <x v="0"/>
    <s v="Fintech"/>
    <x v="4"/>
    <n v="17666"/>
    <n v="724"/>
    <n v="4.1000000000000002E-2"/>
    <n v="0.37"/>
    <n v="267.88"/>
    <n v="23"/>
    <n v="11.65"/>
    <n v="5220.8500000000004"/>
    <n v="4952.97"/>
    <n v="18.489510228460507"/>
    <n v="19.489999999999998"/>
    <s v="High"/>
    <s v="Valid"/>
  </r>
  <r>
    <x v="6"/>
    <x v="4"/>
    <s v="Meta Ads"/>
    <x v="1"/>
    <s v="Fintech"/>
    <x v="2"/>
    <n v="118252"/>
    <n v="3748"/>
    <n v="3.1699999999999999E-2"/>
    <n v="0.42"/>
    <n v="1574.16"/>
    <n v="152"/>
    <n v="10.36"/>
    <n v="12838.56"/>
    <n v="11264.4"/>
    <n v="7.1558164354322296"/>
    <n v="8.16"/>
    <s v="High"/>
    <s v="Valid"/>
  </r>
  <r>
    <x v="7"/>
    <x v="5"/>
    <s v="TikTok Ads"/>
    <x v="0"/>
    <s v="EdTech"/>
    <x v="0"/>
    <n v="92939"/>
    <n v="5176"/>
    <n v="5.57E-2"/>
    <n v="0.66"/>
    <n v="3416.16"/>
    <n v="388"/>
    <n v="8.8000000000000007"/>
    <n v="96298.69"/>
    <n v="92882.53"/>
    <n v="27.189162685588499"/>
    <n v="28.19"/>
    <s v="High"/>
    <s v="Valid"/>
  </r>
  <r>
    <x v="8"/>
    <x v="5"/>
    <s v="Meta Ads"/>
    <x v="3"/>
    <s v="EdTech"/>
    <x v="3"/>
    <n v="30939"/>
    <n v="937"/>
    <n v="3.0300000000000001E-2"/>
    <n v="0.59"/>
    <n v="552.83000000000004"/>
    <n v="63"/>
    <n v="8.7799999999999994"/>
    <n v="16531.03"/>
    <n v="15978.199999999999"/>
    <n v="28.902555939438884"/>
    <n v="29.9"/>
    <s v="High"/>
    <s v="Valid"/>
  </r>
  <r>
    <x v="9"/>
    <x v="6"/>
    <s v="Google Ads"/>
    <x v="2"/>
    <s v="Fintech"/>
    <x v="2"/>
    <n v="8748"/>
    <n v="362"/>
    <n v="4.1399999999999999E-2"/>
    <n v="1.21"/>
    <n v="438.02"/>
    <n v="10"/>
    <n v="43.8"/>
    <n v="966.57"/>
    <n v="528.55000000000007"/>
    <n v="1.2066800602712207"/>
    <n v="2.21"/>
    <s v="Medium"/>
    <s v="Valid"/>
  </r>
  <r>
    <x v="10"/>
    <x v="5"/>
    <s v="Meta Ads"/>
    <x v="1"/>
    <s v="E-commerce"/>
    <x v="0"/>
    <n v="98264"/>
    <n v="3144"/>
    <n v="3.2000000000000001E-2"/>
    <n v="1.56"/>
    <n v="4904.6400000000003"/>
    <n v="129"/>
    <n v="38.020000000000003"/>
    <n v="23127.27"/>
    <n v="18222.63"/>
    <n v="3.7153858387159913"/>
    <n v="4.72"/>
    <s v="High"/>
    <s v="Valid"/>
  </r>
  <r>
    <x v="11"/>
    <x v="7"/>
    <s v="Meta Ads"/>
    <x v="1"/>
    <s v="Fintech"/>
    <x v="4"/>
    <n v="173229"/>
    <n v="5092"/>
    <n v="2.9399999999999999E-2"/>
    <n v="1.72"/>
    <n v="8758.24"/>
    <n v="65"/>
    <n v="134.74"/>
    <n v="12320.17"/>
    <n v="3561.9300000000003"/>
    <n v="0.40669472405414792"/>
    <n v="1.41"/>
    <s v="Medium"/>
    <s v="Valid"/>
  </r>
  <r>
    <x v="12"/>
    <x v="8"/>
    <s v="Meta Ads"/>
    <x v="1"/>
    <s v="SaaS"/>
    <x v="4"/>
    <n v="147483"/>
    <n v="2138"/>
    <n v="1.4500000000000001E-2"/>
    <n v="0.56999999999999995"/>
    <n v="1218.6600000000001"/>
    <n v="159"/>
    <n v="7.66"/>
    <n v="42434.18"/>
    <n v="41215.519999999997"/>
    <n v="33.820360067615248"/>
    <n v="34.82"/>
    <s v="High"/>
    <s v="Valid"/>
  </r>
  <r>
    <x v="13"/>
    <x v="2"/>
    <s v="Google Ads"/>
    <x v="2"/>
    <s v="SaaS"/>
    <x v="2"/>
    <n v="116472"/>
    <n v="4006"/>
    <n v="3.44E-2"/>
    <n v="2.68"/>
    <n v="10736.08"/>
    <n v="291"/>
    <n v="36.89"/>
    <n v="78428.38"/>
    <n v="67692.3"/>
    <n v="6.3051225400704913"/>
    <n v="7.31"/>
    <s v="High"/>
    <s v="Valid"/>
  </r>
  <r>
    <x v="10"/>
    <x v="5"/>
    <s v="TikTok Ads"/>
    <x v="2"/>
    <s v="EdTech"/>
    <x v="4"/>
    <n v="37711"/>
    <n v="2111"/>
    <n v="5.6000000000000001E-2"/>
    <n v="0.68"/>
    <n v="1435.48"/>
    <n v="92"/>
    <n v="15.6"/>
    <n v="13898.86"/>
    <n v="12463.380000000001"/>
    <n v="8.6823780198957845"/>
    <n v="9.68"/>
    <s v="High"/>
    <s v="Valid"/>
  </r>
  <r>
    <x v="5"/>
    <x v="3"/>
    <s v="TikTok Ads"/>
    <x v="2"/>
    <s v="E-commerce"/>
    <x v="3"/>
    <n v="96412"/>
    <n v="7047"/>
    <n v="7.3099999999999998E-2"/>
    <n v="1.1100000000000001"/>
    <n v="7822.17"/>
    <n v="194"/>
    <n v="40.32"/>
    <n v="36717.43"/>
    <n v="28895.260000000002"/>
    <n v="3.6940209686058987"/>
    <n v="4.6900000000000004"/>
    <s v="High"/>
    <s v="Valid"/>
  </r>
  <r>
    <x v="14"/>
    <x v="4"/>
    <s v="TikTok Ads"/>
    <x v="1"/>
    <s v="Fintech"/>
    <x v="4"/>
    <n v="184476"/>
    <n v="8854"/>
    <n v="4.8000000000000001E-2"/>
    <n v="0.35"/>
    <n v="3098.9"/>
    <n v="198"/>
    <n v="15.65"/>
    <n v="56216.92"/>
    <n v="53118.02"/>
    <n v="17.140927425860788"/>
    <n v="18.14"/>
    <s v="High"/>
    <s v="Valid"/>
  </r>
  <r>
    <x v="15"/>
    <x v="4"/>
    <s v="TikTok Ads"/>
    <x v="0"/>
    <s v="Fintech"/>
    <x v="3"/>
    <n v="38828"/>
    <n v="3607"/>
    <n v="9.2899999999999996E-2"/>
    <n v="0.97"/>
    <n v="3498.79"/>
    <n v="116"/>
    <n v="30.16"/>
    <n v="8788.51"/>
    <n v="5289.72"/>
    <n v="1.5118712469167914"/>
    <n v="2.5099999999999998"/>
    <s v="Medium"/>
    <s v="Valid"/>
  </r>
  <r>
    <x v="16"/>
    <x v="9"/>
    <s v="Meta Ads"/>
    <x v="1"/>
    <s v="SaaS"/>
    <x v="4"/>
    <n v="187957"/>
    <n v="4586"/>
    <n v="2.4400000000000002E-2"/>
    <n v="2.1"/>
    <n v="9630.6"/>
    <n v="271"/>
    <n v="35.54"/>
    <n v="34433.97"/>
    <n v="24803.370000000003"/>
    <n v="2.5754750482835962"/>
    <n v="3.58"/>
    <s v="High"/>
    <s v="Valid"/>
  </r>
  <r>
    <x v="17"/>
    <x v="6"/>
    <s v="Google Ads"/>
    <x v="1"/>
    <s v="SaaS"/>
    <x v="4"/>
    <n v="34592"/>
    <n v="1615"/>
    <n v="4.6699999999999998E-2"/>
    <n v="1.1499999999999999"/>
    <n v="1857.25"/>
    <n v="116"/>
    <n v="16.010000000000002"/>
    <n v="4344.96"/>
    <n v="2487.71"/>
    <n v="1.3394588773724594"/>
    <n v="2.34"/>
    <s v="Medium"/>
    <s v="Valid"/>
  </r>
  <r>
    <x v="18"/>
    <x v="10"/>
    <s v="Meta Ads"/>
    <x v="2"/>
    <s v="Fintech"/>
    <x v="2"/>
    <n v="185798"/>
    <n v="5889"/>
    <n v="3.1699999999999999E-2"/>
    <n v="0.9"/>
    <n v="5300.1"/>
    <n v="400"/>
    <n v="13.25"/>
    <n v="41326.629999999997"/>
    <n v="36026.53"/>
    <n v="6.7973302390520924"/>
    <n v="7.8"/>
    <s v="High"/>
    <s v="Valid"/>
  </r>
  <r>
    <x v="19"/>
    <x v="9"/>
    <s v="TikTok Ads"/>
    <x v="1"/>
    <s v="EdTech"/>
    <x v="5"/>
    <n v="194407"/>
    <n v="13122"/>
    <n v="6.7500000000000004E-2"/>
    <n v="0.85"/>
    <n v="11153.7"/>
    <n v="379"/>
    <n v="29.43"/>
    <n v="56289.95"/>
    <n v="45136.25"/>
    <n v="4.0467513022584427"/>
    <n v="5.05"/>
    <s v="High"/>
    <s v="Valid"/>
  </r>
  <r>
    <x v="9"/>
    <x v="6"/>
    <s v="Google Ads"/>
    <x v="0"/>
    <s v="SaaS"/>
    <x v="0"/>
    <n v="188062"/>
    <n v="8143"/>
    <n v="4.3299999999999998E-2"/>
    <n v="1.8"/>
    <n v="14657.4"/>
    <n v="614"/>
    <n v="23.87"/>
    <n v="124232.5"/>
    <n v="109575.1"/>
    <n v="7.4757528620355593"/>
    <n v="8.48"/>
    <s v="High"/>
    <s v="Valid"/>
  </r>
  <r>
    <x v="20"/>
    <x v="9"/>
    <s v="Meta Ads"/>
    <x v="2"/>
    <s v="Healthcare"/>
    <x v="5"/>
    <n v="195710"/>
    <n v="4481"/>
    <n v="2.29E-2"/>
    <n v="0.53"/>
    <n v="2374.9299999999998"/>
    <n v="352"/>
    <n v="6.75"/>
    <n v="27223.39"/>
    <n v="24848.46"/>
    <n v="10.462817851473517"/>
    <n v="11.46"/>
    <s v="High"/>
    <s v="Valid"/>
  </r>
  <r>
    <x v="21"/>
    <x v="5"/>
    <s v="Google Ads"/>
    <x v="3"/>
    <s v="Healthcare"/>
    <x v="6"/>
    <n v="198824"/>
    <n v="9046"/>
    <n v="4.5499999999999999E-2"/>
    <n v="3.61"/>
    <n v="32656.06"/>
    <n v="407"/>
    <n v="80.239999999999995"/>
    <n v="71482.19"/>
    <n v="38826.130000000005"/>
    <n v="1.1889410418770667"/>
    <n v="2.19"/>
    <s v="Medium"/>
    <s v="Valid"/>
  </r>
  <r>
    <x v="22"/>
    <x v="1"/>
    <s v="Meta Ads"/>
    <x v="2"/>
    <s v="SaaS"/>
    <x v="2"/>
    <n v="196962"/>
    <n v="5081"/>
    <n v="2.58E-2"/>
    <n v="2.06"/>
    <n v="10466.86"/>
    <n v="282"/>
    <n v="37.119999999999997"/>
    <n v="24196.95"/>
    <n v="13730.09"/>
    <n v="1.3117678081105508"/>
    <n v="2.31"/>
    <s v="Medium"/>
    <s v="Valid"/>
  </r>
  <r>
    <x v="23"/>
    <x v="4"/>
    <s v="Google Ads"/>
    <x v="2"/>
    <s v="SaaS"/>
    <x v="0"/>
    <n v="105386"/>
    <n v="3783"/>
    <n v="3.5900000000000001E-2"/>
    <n v="1.82"/>
    <n v="6885.06"/>
    <n v="130"/>
    <n v="52.96"/>
    <n v="36776.35"/>
    <n v="29891.289999999997"/>
    <n v="4.3414712435330989"/>
    <n v="5.34"/>
    <s v="High"/>
    <s v="Valid"/>
  </r>
  <r>
    <x v="24"/>
    <x v="7"/>
    <s v="Google Ads"/>
    <x v="0"/>
    <s v="Healthcare"/>
    <x v="0"/>
    <n v="49425"/>
    <n v="1996"/>
    <n v="4.0399999999999998E-2"/>
    <n v="1.27"/>
    <n v="2534.92"/>
    <n v="98"/>
    <n v="25.87"/>
    <n v="9253.27"/>
    <n v="6718.35"/>
    <n v="2.6503203256907515"/>
    <n v="3.65"/>
    <s v="High"/>
    <s v="Valid"/>
  </r>
  <r>
    <x v="25"/>
    <x v="9"/>
    <s v="Meta Ads"/>
    <x v="1"/>
    <s v="E-commerce"/>
    <x v="4"/>
    <n v="191141"/>
    <n v="4453"/>
    <n v="2.3300000000000001E-2"/>
    <n v="1.23"/>
    <n v="5477.19"/>
    <n v="72"/>
    <n v="76.069999999999993"/>
    <n v="8367.4599999999991"/>
    <n v="2890.2699999999995"/>
    <n v="0.52769211949923223"/>
    <n v="1.53"/>
    <s v="Medium"/>
    <s v="Valid"/>
  </r>
  <r>
    <x v="26"/>
    <x v="8"/>
    <s v="TikTok Ads"/>
    <x v="2"/>
    <s v="EdTech"/>
    <x v="4"/>
    <n v="91900"/>
    <n v="4696"/>
    <n v="5.11E-2"/>
    <n v="0.53"/>
    <n v="2488.88"/>
    <n v="367"/>
    <n v="6.78"/>
    <n v="109696.83"/>
    <n v="107207.95"/>
    <n v="43.074776606345019"/>
    <n v="44.07"/>
    <s v="High"/>
    <s v="Valid"/>
  </r>
  <r>
    <x v="27"/>
    <x v="6"/>
    <s v="Google Ads"/>
    <x v="1"/>
    <s v="Healthcare"/>
    <x v="4"/>
    <n v="11801"/>
    <n v="795"/>
    <n v="6.7400000000000002E-2"/>
    <n v="2.97"/>
    <n v="2361.15"/>
    <n v="57"/>
    <n v="41.42"/>
    <n v="3966.25"/>
    <n v="1605.1"/>
    <n v="0.67979586218579924"/>
    <n v="1.68"/>
    <s v="Medium"/>
    <s v="Valid"/>
  </r>
  <r>
    <x v="28"/>
    <x v="6"/>
    <s v="Meta Ads"/>
    <x v="3"/>
    <s v="Fintech"/>
    <x v="0"/>
    <n v="193926"/>
    <n v="5837"/>
    <n v="3.0099999999999998E-2"/>
    <n v="1"/>
    <n v="5837"/>
    <n v="193"/>
    <n v="30.24"/>
    <n v="28429.29"/>
    <n v="22592.29"/>
    <n v="3.870531094740449"/>
    <n v="4.87"/>
    <s v="High"/>
    <s v="Valid"/>
  </r>
  <r>
    <x v="29"/>
    <x v="2"/>
    <s v="Google Ads"/>
    <x v="3"/>
    <s v="EdTech"/>
    <x v="5"/>
    <n v="35355"/>
    <n v="961"/>
    <n v="2.7199999999999998E-2"/>
    <n v="2.2200000000000002"/>
    <n v="2133.42"/>
    <n v="68"/>
    <n v="31.37"/>
    <n v="6145.22"/>
    <n v="4011.8"/>
    <n v="1.8804548565214538"/>
    <n v="2.88"/>
    <s v="Medium"/>
    <s v="Valid"/>
  </r>
  <r>
    <x v="30"/>
    <x v="6"/>
    <s v="TikTok Ads"/>
    <x v="2"/>
    <s v="Healthcare"/>
    <x v="0"/>
    <n v="133148"/>
    <n v="9120"/>
    <n v="6.8500000000000005E-2"/>
    <n v="0.5"/>
    <n v="4560"/>
    <n v="279"/>
    <n v="16.34"/>
    <n v="83385.98"/>
    <n v="78825.98"/>
    <n v="17.286399122807016"/>
    <n v="18.29"/>
    <s v="High"/>
    <s v="Valid"/>
  </r>
  <r>
    <x v="31"/>
    <x v="0"/>
    <s v="Meta Ads"/>
    <x v="1"/>
    <s v="E-commerce"/>
    <x v="4"/>
    <n v="104657"/>
    <n v="4029"/>
    <n v="3.85E-2"/>
    <n v="0.71"/>
    <n v="2860.59"/>
    <n v="204"/>
    <n v="14.02"/>
    <n v="10401.620000000001"/>
    <n v="7541.0300000000007"/>
    <n v="2.6361799488916624"/>
    <n v="3.64"/>
    <s v="High"/>
    <s v="Valid"/>
  </r>
  <r>
    <x v="32"/>
    <x v="8"/>
    <s v="TikTok Ads"/>
    <x v="2"/>
    <s v="Fintech"/>
    <x v="5"/>
    <n v="174160"/>
    <n v="9683"/>
    <n v="5.5599999999999997E-2"/>
    <n v="1.84"/>
    <n v="17816.72"/>
    <n v="512"/>
    <n v="34.799999999999997"/>
    <n v="73177.919999999998"/>
    <n v="55361.2"/>
    <n v="3.1072610446816245"/>
    <n v="4.1100000000000003"/>
    <s v="High"/>
    <s v="Valid"/>
  </r>
  <r>
    <x v="33"/>
    <x v="0"/>
    <s v="TikTok Ads"/>
    <x v="3"/>
    <s v="Fintech"/>
    <x v="0"/>
    <n v="6015"/>
    <n v="410"/>
    <n v="6.83E-2"/>
    <n v="1.93"/>
    <n v="791.3"/>
    <n v="28"/>
    <n v="28.26"/>
    <n v="4383.32"/>
    <n v="3592.0199999999995"/>
    <n v="4.5393908757740427"/>
    <n v="5.54"/>
    <s v="High"/>
    <s v="Valid"/>
  </r>
  <r>
    <x v="34"/>
    <x v="0"/>
    <s v="Meta Ads"/>
    <x v="0"/>
    <s v="Healthcare"/>
    <x v="6"/>
    <n v="17763"/>
    <n v="726"/>
    <n v="4.0899999999999999E-2"/>
    <n v="1.94"/>
    <n v="1408.44"/>
    <n v="30"/>
    <n v="46.95"/>
    <n v="1946.19"/>
    <n v="537.75"/>
    <n v="0.38180540172105304"/>
    <n v="1.38"/>
    <s v="Medium"/>
    <s v="Valid"/>
  </r>
  <r>
    <x v="35"/>
    <x v="3"/>
    <s v="TikTok Ads"/>
    <x v="0"/>
    <s v="EdTech"/>
    <x v="5"/>
    <n v="97193"/>
    <n v="6230"/>
    <n v="6.4100000000000004E-2"/>
    <n v="1.6"/>
    <n v="9968"/>
    <n v="306"/>
    <n v="32.58"/>
    <n v="81609.119999999995"/>
    <n v="71641.119999999995"/>
    <n v="7.1871107544141246"/>
    <n v="8.19"/>
    <s v="High"/>
    <s v="Valid"/>
  </r>
  <r>
    <x v="36"/>
    <x v="11"/>
    <s v="Meta Ads"/>
    <x v="2"/>
    <s v="Healthcare"/>
    <x v="0"/>
    <n v="58682"/>
    <n v="1748"/>
    <n v="2.98E-2"/>
    <n v="1.49"/>
    <n v="2604.52"/>
    <n v="84"/>
    <n v="31.01"/>
    <n v="12746.65"/>
    <n v="10142.129999999999"/>
    <n v="3.8940495753536157"/>
    <n v="4.8899999999999997"/>
    <s v="High"/>
    <s v="Valid"/>
  </r>
  <r>
    <x v="37"/>
    <x v="11"/>
    <s v="TikTok Ads"/>
    <x v="3"/>
    <s v="SaaS"/>
    <x v="4"/>
    <n v="108196"/>
    <n v="5334"/>
    <n v="4.9299999999999997E-2"/>
    <n v="0.99"/>
    <n v="5280.66"/>
    <n v="289"/>
    <n v="18.27"/>
    <n v="27408.560000000001"/>
    <n v="22127.9"/>
    <n v="4.1903663557206867"/>
    <n v="5.19"/>
    <s v="High"/>
    <s v="Valid"/>
  </r>
  <r>
    <x v="38"/>
    <x v="0"/>
    <s v="Google Ads"/>
    <x v="0"/>
    <s v="Fintech"/>
    <x v="5"/>
    <n v="63243"/>
    <n v="1707"/>
    <n v="2.7E-2"/>
    <n v="2.2400000000000002"/>
    <n v="3823.68"/>
    <n v="37"/>
    <n v="103.34"/>
    <n v="3893.12"/>
    <n v="69.440000000000055"/>
    <n v="1.8160515524311673E-2"/>
    <n v="1.02"/>
    <s v="Medium"/>
    <s v="Valid"/>
  </r>
  <r>
    <x v="15"/>
    <x v="4"/>
    <s v="Google Ads"/>
    <x v="0"/>
    <s v="E-commerce"/>
    <x v="0"/>
    <n v="152979"/>
    <n v="4650"/>
    <n v="3.04E-2"/>
    <n v="0.79"/>
    <n v="3673.5"/>
    <n v="330"/>
    <n v="11.13"/>
    <n v="91949.73"/>
    <n v="88276.23"/>
    <n v="24.030551245406286"/>
    <n v="25.03"/>
    <s v="High"/>
    <s v="Valid"/>
  </r>
  <r>
    <x v="38"/>
    <x v="0"/>
    <s v="Google Ads"/>
    <x v="3"/>
    <s v="EdTech"/>
    <x v="2"/>
    <n v="132600"/>
    <n v="6802"/>
    <n v="5.1299999999999998E-2"/>
    <n v="1.53"/>
    <n v="10407.06"/>
    <n v="97"/>
    <n v="107.29"/>
    <n v="6779.29"/>
    <n v="-3627.7699999999995"/>
    <n v="-0.3485874012449241"/>
    <n v="0.65"/>
    <s v="Low"/>
    <s v="Valid"/>
  </r>
  <r>
    <x v="39"/>
    <x v="7"/>
    <s v="Google Ads"/>
    <x v="1"/>
    <s v="Fintech"/>
    <x v="6"/>
    <n v="110977"/>
    <n v="4150"/>
    <n v="3.7400000000000003E-2"/>
    <n v="1.1299999999999999"/>
    <n v="4689.5"/>
    <n v="197"/>
    <n v="23.8"/>
    <n v="18314.78"/>
    <n v="13625.279999999999"/>
    <n v="2.9054867256637165"/>
    <n v="3.91"/>
    <s v="High"/>
    <s v="Valid"/>
  </r>
  <r>
    <x v="40"/>
    <x v="11"/>
    <s v="Google Ads"/>
    <x v="0"/>
    <s v="EdTech"/>
    <x v="1"/>
    <n v="87152"/>
    <n v="3599"/>
    <n v="4.1300000000000003E-2"/>
    <n v="2.63"/>
    <n v="9465.3700000000008"/>
    <n v="127"/>
    <n v="74.53"/>
    <n v="25958.5"/>
    <n v="16493.129999999997"/>
    <n v="1.7424707116573357"/>
    <n v="2.74"/>
    <s v="Medium"/>
    <s v="Valid"/>
  </r>
  <r>
    <x v="41"/>
    <x v="4"/>
    <s v="Meta Ads"/>
    <x v="2"/>
    <s v="Fintech"/>
    <x v="0"/>
    <n v="164096"/>
    <n v="1919"/>
    <n v="1.17E-2"/>
    <n v="0.66"/>
    <n v="1266.54"/>
    <n v="139"/>
    <n v="9.11"/>
    <n v="7181.17"/>
    <n v="5914.63"/>
    <n v="4.6699117280149069"/>
    <n v="5.67"/>
    <s v="High"/>
    <s v="Valid"/>
  </r>
  <r>
    <x v="42"/>
    <x v="4"/>
    <s v="Meta Ads"/>
    <x v="2"/>
    <s v="Healthcare"/>
    <x v="3"/>
    <n v="21389"/>
    <n v="941"/>
    <n v="4.3999999999999997E-2"/>
    <n v="0.8"/>
    <n v="752.8"/>
    <n v="46"/>
    <n v="16.37"/>
    <n v="8479.43"/>
    <n v="7726.63"/>
    <n v="10.263854941551541"/>
    <n v="11.26"/>
    <s v="High"/>
    <s v="Valid"/>
  </r>
  <r>
    <x v="43"/>
    <x v="5"/>
    <s v="Google Ads"/>
    <x v="2"/>
    <s v="Healthcare"/>
    <x v="5"/>
    <n v="69323"/>
    <n v="2169"/>
    <n v="3.1300000000000001E-2"/>
    <n v="2.19"/>
    <n v="4750.1099999999997"/>
    <n v="94"/>
    <n v="50.53"/>
    <n v="16337.12"/>
    <n v="11587.010000000002"/>
    <n v="2.4393140369380926"/>
    <n v="3.44"/>
    <s v="High"/>
    <s v="Valid"/>
  </r>
  <r>
    <x v="44"/>
    <x v="8"/>
    <s v="Google Ads"/>
    <x v="3"/>
    <s v="SaaS"/>
    <x v="0"/>
    <n v="138291"/>
    <n v="3318"/>
    <n v="2.4E-2"/>
    <n v="0.83"/>
    <n v="2753.94"/>
    <n v="217"/>
    <n v="12.69"/>
    <n v="12761.51"/>
    <n v="10007.57"/>
    <n v="3.6339099617275612"/>
    <n v="4.63"/>
    <s v="High"/>
    <s v="Valid"/>
  </r>
  <r>
    <x v="45"/>
    <x v="6"/>
    <s v="TikTok Ads"/>
    <x v="2"/>
    <s v="EdTech"/>
    <x v="1"/>
    <n v="72444"/>
    <n v="2339"/>
    <n v="3.2300000000000002E-2"/>
    <n v="1.39"/>
    <n v="3251.21"/>
    <n v="153"/>
    <n v="21.25"/>
    <n v="12919.22"/>
    <n v="9668.0099999999984"/>
    <n v="2.9736651892679951"/>
    <n v="3.97"/>
    <s v="High"/>
    <s v="Valid"/>
  </r>
  <r>
    <x v="46"/>
    <x v="9"/>
    <s v="Google Ads"/>
    <x v="0"/>
    <s v="Healthcare"/>
    <x v="0"/>
    <n v="160002"/>
    <n v="7520"/>
    <n v="4.7E-2"/>
    <n v="2.96"/>
    <n v="22259.200000000001"/>
    <n v="403"/>
    <n v="55.23"/>
    <n v="70823.58"/>
    <n v="48564.380000000005"/>
    <n v="2.1817666403105234"/>
    <n v="3.18"/>
    <s v="High"/>
    <s v="Valid"/>
  </r>
  <r>
    <x v="47"/>
    <x v="4"/>
    <s v="Meta Ads"/>
    <x v="0"/>
    <s v="E-commerce"/>
    <x v="2"/>
    <n v="16246"/>
    <n v="448"/>
    <n v="2.76E-2"/>
    <n v="1.99"/>
    <n v="891.52"/>
    <n v="8"/>
    <n v="111.44"/>
    <n v="1955.09"/>
    <n v="1063.57"/>
    <n v="1.1929850143575018"/>
    <n v="2.19"/>
    <s v="Medium"/>
    <s v="Valid"/>
  </r>
  <r>
    <x v="48"/>
    <x v="1"/>
    <s v="Meta Ads"/>
    <x v="2"/>
    <s v="Fintech"/>
    <x v="3"/>
    <n v="15789"/>
    <n v="423"/>
    <n v="2.6800000000000001E-2"/>
    <n v="1.81"/>
    <n v="765.63"/>
    <n v="7"/>
    <n v="109.38"/>
    <n v="1223.95"/>
    <n v="458.32000000000005"/>
    <n v="0.59861813147342713"/>
    <n v="1.6"/>
    <s v="Medium"/>
    <s v="Valid"/>
  </r>
  <r>
    <x v="48"/>
    <x v="1"/>
    <s v="Google Ads"/>
    <x v="0"/>
    <s v="EdTech"/>
    <x v="6"/>
    <n v="25103"/>
    <n v="710"/>
    <n v="2.8299999999999999E-2"/>
    <n v="2.34"/>
    <n v="1661.4"/>
    <n v="24"/>
    <n v="69.23"/>
    <n v="1896.75"/>
    <n v="235.34999999999991"/>
    <n v="0.1416576381365113"/>
    <n v="1.1399999999999999"/>
    <s v="Medium"/>
    <s v="Valid"/>
  </r>
  <r>
    <x v="49"/>
    <x v="9"/>
    <s v="TikTok Ads"/>
    <x v="3"/>
    <s v="SaaS"/>
    <x v="5"/>
    <n v="138515"/>
    <n v="4377"/>
    <n v="3.1600000000000003E-2"/>
    <n v="0.51"/>
    <n v="2232.27"/>
    <n v="285"/>
    <n v="7.83"/>
    <n v="10321.59"/>
    <n v="8089.32"/>
    <n v="3.6238089478423308"/>
    <n v="4.62"/>
    <s v="High"/>
    <s v="Valid"/>
  </r>
  <r>
    <x v="50"/>
    <x v="2"/>
    <s v="Meta Ads"/>
    <x v="0"/>
    <s v="EdTech"/>
    <x v="6"/>
    <n v="180399"/>
    <n v="6025"/>
    <n v="3.3399999999999999E-2"/>
    <n v="0.7"/>
    <n v="4217.5"/>
    <n v="191"/>
    <n v="22.08"/>
    <n v="17456.79"/>
    <n v="13239.29"/>
    <n v="3.1391321873147602"/>
    <n v="4.1399999999999997"/>
    <s v="High"/>
    <s v="Valid"/>
  </r>
  <r>
    <x v="51"/>
    <x v="8"/>
    <s v="Meta Ads"/>
    <x v="1"/>
    <s v="E-commerce"/>
    <x v="0"/>
    <n v="62545"/>
    <n v="606"/>
    <n v="9.7000000000000003E-3"/>
    <n v="1.96"/>
    <n v="1187.76"/>
    <n v="37"/>
    <n v="32.1"/>
    <n v="5627.66"/>
    <n v="4439.8999999999996"/>
    <n v="3.7380447228396307"/>
    <n v="4.74"/>
    <s v="High"/>
    <s v="Valid"/>
  </r>
  <r>
    <x v="52"/>
    <x v="1"/>
    <s v="Google Ads"/>
    <x v="2"/>
    <s v="Fintech"/>
    <x v="4"/>
    <n v="72526"/>
    <n v="2146"/>
    <n v="2.9600000000000001E-2"/>
    <n v="1.56"/>
    <n v="3347.76"/>
    <n v="168"/>
    <n v="19.93"/>
    <n v="25859.74"/>
    <n v="22511.980000000003"/>
    <n v="6.7244904055248886"/>
    <n v="7.72"/>
    <s v="High"/>
    <s v="Valid"/>
  </r>
  <r>
    <x v="53"/>
    <x v="10"/>
    <s v="Meta Ads"/>
    <x v="3"/>
    <s v="EdTech"/>
    <x v="6"/>
    <n v="67823"/>
    <n v="2075"/>
    <n v="3.0599999999999999E-2"/>
    <n v="1.83"/>
    <n v="3797.25"/>
    <n v="26"/>
    <n v="146.05000000000001"/>
    <n v="4093.91"/>
    <n v="296.65999999999985"/>
    <n v="7.8124958851800611E-2"/>
    <n v="1.08"/>
    <s v="Medium"/>
    <s v="Valid"/>
  </r>
  <r>
    <x v="54"/>
    <x v="1"/>
    <s v="Meta Ads"/>
    <x v="3"/>
    <s v="E-commerce"/>
    <x v="5"/>
    <n v="164937"/>
    <n v="4453"/>
    <n v="2.7E-2"/>
    <n v="1.08"/>
    <n v="4809.24"/>
    <n v="129"/>
    <n v="37.28"/>
    <n v="35127.5"/>
    <n v="30318.260000000002"/>
    <n v="6.3041686420307581"/>
    <n v="7.3"/>
    <s v="High"/>
    <s v="Valid"/>
  </r>
  <r>
    <x v="20"/>
    <x v="9"/>
    <s v="Meta Ads"/>
    <x v="0"/>
    <s v="EdTech"/>
    <x v="1"/>
    <n v="114575"/>
    <n v="2039"/>
    <n v="1.78E-2"/>
    <n v="0.53"/>
    <n v="1080.67"/>
    <n v="113"/>
    <n v="9.56"/>
    <n v="10656.96"/>
    <n v="9576.2899999999991"/>
    <n v="8.8614378117279085"/>
    <n v="9.86"/>
    <s v="High"/>
    <s v="Valid"/>
  </r>
  <r>
    <x v="55"/>
    <x v="1"/>
    <s v="Google Ads"/>
    <x v="2"/>
    <s v="Fintech"/>
    <x v="3"/>
    <n v="132157"/>
    <n v="2999"/>
    <n v="2.2700000000000001E-2"/>
    <n v="0.93"/>
    <n v="2789.07"/>
    <n v="152"/>
    <n v="18.350000000000001"/>
    <n v="21855.26"/>
    <n v="19066.189999999999"/>
    <n v="6.8360385361428708"/>
    <n v="7.84"/>
    <s v="High"/>
    <s v="Valid"/>
  </r>
  <r>
    <x v="56"/>
    <x v="0"/>
    <s v="TikTok Ads"/>
    <x v="1"/>
    <s v="Healthcare"/>
    <x v="3"/>
    <n v="108145"/>
    <n v="3882"/>
    <n v="3.5900000000000001E-2"/>
    <n v="0.94"/>
    <n v="3649.08"/>
    <n v="98"/>
    <n v="37.24"/>
    <n v="28726.52"/>
    <n v="25077.440000000002"/>
    <n v="6.8722636938625632"/>
    <n v="7.87"/>
    <s v="High"/>
    <s v="Valid"/>
  </r>
  <r>
    <x v="57"/>
    <x v="5"/>
    <s v="TikTok Ads"/>
    <x v="0"/>
    <s v="SaaS"/>
    <x v="5"/>
    <n v="72642"/>
    <n v="3014"/>
    <n v="4.1500000000000002E-2"/>
    <n v="1.1599999999999999"/>
    <n v="3496.24"/>
    <n v="59"/>
    <n v="59.26"/>
    <n v="15070.44"/>
    <n v="11574.2"/>
    <n v="3.3104706770702244"/>
    <n v="4.3099999999999996"/>
    <s v="High"/>
    <s v="Valid"/>
  </r>
  <r>
    <x v="58"/>
    <x v="5"/>
    <s v="TikTok Ads"/>
    <x v="3"/>
    <s v="Healthcare"/>
    <x v="0"/>
    <n v="131678"/>
    <n v="8374"/>
    <n v="6.3600000000000004E-2"/>
    <n v="0.91"/>
    <n v="7620.34"/>
    <n v="505"/>
    <n v="15.09"/>
    <n v="29682.01"/>
    <n v="22061.67"/>
    <n v="2.8951031056357062"/>
    <n v="3.9"/>
    <s v="High"/>
    <s v="Valid"/>
  </r>
  <r>
    <x v="59"/>
    <x v="8"/>
    <s v="Google Ads"/>
    <x v="1"/>
    <s v="E-commerce"/>
    <x v="6"/>
    <n v="34402"/>
    <n v="1314"/>
    <n v="3.8199999999999998E-2"/>
    <n v="3.29"/>
    <n v="4323.0600000000004"/>
    <n v="17"/>
    <n v="254.3"/>
    <n v="1273.24"/>
    <n v="-3049.8200000000006"/>
    <n v="-0.70547713887847963"/>
    <n v="0.28999999999999998"/>
    <s v="Low"/>
    <s v="Valid"/>
  </r>
  <r>
    <x v="60"/>
    <x v="3"/>
    <s v="Meta Ads"/>
    <x v="1"/>
    <s v="Healthcare"/>
    <x v="3"/>
    <n v="58276"/>
    <n v="1183"/>
    <n v="2.0299999999999999E-2"/>
    <n v="1.49"/>
    <n v="1762.67"/>
    <n v="89"/>
    <n v="19.809999999999999"/>
    <n v="20273.71"/>
    <n v="18511.04"/>
    <n v="10.501704800104386"/>
    <n v="11.5"/>
    <s v="High"/>
    <s v="Valid"/>
  </r>
  <r>
    <x v="6"/>
    <x v="4"/>
    <s v="Google Ads"/>
    <x v="2"/>
    <s v="EdTech"/>
    <x v="4"/>
    <n v="168059"/>
    <n v="3462"/>
    <n v="2.06E-2"/>
    <n v="3.08"/>
    <n v="10662.96"/>
    <n v="154"/>
    <n v="69.239999999999995"/>
    <n v="33243.769999999997"/>
    <n v="22580.809999999998"/>
    <n v="2.1176868336747021"/>
    <n v="3.12"/>
    <s v="High"/>
    <s v="Valid"/>
  </r>
  <r>
    <x v="41"/>
    <x v="4"/>
    <s v="Meta Ads"/>
    <x v="1"/>
    <s v="Fintech"/>
    <x v="4"/>
    <n v="91123"/>
    <n v="1567"/>
    <n v="1.72E-2"/>
    <n v="2.33"/>
    <n v="3651.11"/>
    <n v="64"/>
    <n v="57.05"/>
    <n v="5119.1000000000004"/>
    <n v="1467.9900000000002"/>
    <n v="0.40206676873608305"/>
    <n v="1.4"/>
    <s v="Medium"/>
    <s v="Valid"/>
  </r>
  <r>
    <x v="61"/>
    <x v="8"/>
    <s v="Meta Ads"/>
    <x v="2"/>
    <s v="Fintech"/>
    <x v="6"/>
    <n v="16344"/>
    <n v="452"/>
    <n v="2.7699999999999999E-2"/>
    <n v="0.9"/>
    <n v="406.8"/>
    <n v="5"/>
    <n v="81.36"/>
    <n v="1102.53"/>
    <n v="695.73"/>
    <n v="1.7102507374631268"/>
    <n v="2.71"/>
    <s v="Medium"/>
    <s v="Valid"/>
  </r>
  <r>
    <x v="62"/>
    <x v="11"/>
    <s v="TikTok Ads"/>
    <x v="1"/>
    <s v="SaaS"/>
    <x v="0"/>
    <n v="99457"/>
    <n v="5808"/>
    <n v="5.8400000000000001E-2"/>
    <n v="1.6"/>
    <n v="9292.7999999999993"/>
    <n v="80"/>
    <n v="116.16"/>
    <n v="12231.1"/>
    <n v="2938.3000000000011"/>
    <n v="0.31619102961432521"/>
    <n v="1.32"/>
    <s v="Medium"/>
    <s v="Valid"/>
  </r>
  <r>
    <x v="63"/>
    <x v="1"/>
    <s v="Meta Ads"/>
    <x v="1"/>
    <s v="E-commerce"/>
    <x v="5"/>
    <n v="57375"/>
    <n v="843"/>
    <n v="1.47E-2"/>
    <n v="1.61"/>
    <n v="1357.23"/>
    <n v="40"/>
    <n v="33.93"/>
    <n v="9739.81"/>
    <n v="8382.58"/>
    <n v="6.1762413150313504"/>
    <n v="7.18"/>
    <s v="High"/>
    <s v="Valid"/>
  </r>
  <r>
    <x v="8"/>
    <x v="5"/>
    <s v="Google Ads"/>
    <x v="3"/>
    <s v="E-commerce"/>
    <x v="0"/>
    <n v="115017"/>
    <n v="2771"/>
    <n v="2.41E-2"/>
    <n v="2.56"/>
    <n v="7093.76"/>
    <n v="95"/>
    <n v="74.67"/>
    <n v="22528.38"/>
    <n v="15434.62"/>
    <n v="2.175802395344641"/>
    <n v="3.18"/>
    <s v="High"/>
    <s v="Valid"/>
  </r>
  <r>
    <x v="64"/>
    <x v="7"/>
    <s v="Meta Ads"/>
    <x v="0"/>
    <s v="EdTech"/>
    <x v="2"/>
    <n v="90431"/>
    <n v="1853"/>
    <n v="2.0500000000000001E-2"/>
    <n v="1.7"/>
    <n v="3150.1"/>
    <n v="57"/>
    <n v="55.26"/>
    <n v="14834.93"/>
    <n v="11684.83"/>
    <n v="3.7093520840608236"/>
    <n v="4.71"/>
    <s v="High"/>
    <s v="Valid"/>
  </r>
  <r>
    <x v="65"/>
    <x v="11"/>
    <s v="Meta Ads"/>
    <x v="0"/>
    <s v="E-commerce"/>
    <x v="2"/>
    <n v="140566"/>
    <n v="5046"/>
    <n v="3.5900000000000001E-2"/>
    <n v="0.62"/>
    <n v="3128.52"/>
    <n v="384"/>
    <n v="8.15"/>
    <n v="59980.19"/>
    <n v="56851.670000000006"/>
    <n v="18.172065385549718"/>
    <n v="19.170000000000002"/>
    <s v="High"/>
    <s v="Valid"/>
  </r>
  <r>
    <x v="66"/>
    <x v="2"/>
    <s v="Meta Ads"/>
    <x v="0"/>
    <s v="EdTech"/>
    <x v="3"/>
    <n v="133583"/>
    <n v="3954"/>
    <n v="2.9600000000000001E-2"/>
    <n v="0.65"/>
    <n v="2570.1"/>
    <n v="255"/>
    <n v="10.08"/>
    <n v="31756.12"/>
    <n v="29186.02"/>
    <n v="11.355986148398896"/>
    <n v="12.36"/>
    <s v="High"/>
    <s v="Valid"/>
  </r>
  <r>
    <x v="67"/>
    <x v="5"/>
    <s v="Google Ads"/>
    <x v="1"/>
    <s v="E-commerce"/>
    <x v="2"/>
    <n v="198555"/>
    <n v="13104"/>
    <n v="6.6000000000000003E-2"/>
    <n v="2.46"/>
    <n v="32235.84"/>
    <n v="336"/>
    <n v="95.94"/>
    <n v="58794.32"/>
    <n v="26558.48"/>
    <n v="0.82388050070976904"/>
    <n v="1.82"/>
    <s v="Medium"/>
    <s v="Valid"/>
  </r>
  <r>
    <x v="68"/>
    <x v="7"/>
    <s v="Meta Ads"/>
    <x v="3"/>
    <s v="Healthcare"/>
    <x v="1"/>
    <n v="88560"/>
    <n v="1319"/>
    <n v="1.49E-2"/>
    <n v="0.52"/>
    <n v="685.88"/>
    <n v="81"/>
    <n v="8.4700000000000006"/>
    <n v="8584.02"/>
    <n v="7898.14"/>
    <n v="11.515337959993003"/>
    <n v="12.52"/>
    <s v="High"/>
    <s v="Valid"/>
  </r>
  <r>
    <x v="69"/>
    <x v="1"/>
    <s v="Google Ads"/>
    <x v="3"/>
    <s v="Fintech"/>
    <x v="0"/>
    <n v="117217"/>
    <n v="5602"/>
    <n v="4.7800000000000002E-2"/>
    <n v="3.49"/>
    <n v="19550.98"/>
    <n v="411"/>
    <n v="47.57"/>
    <n v="75729.259999999995"/>
    <n v="56178.28"/>
    <n v="2.8734252707536911"/>
    <n v="3.87"/>
    <s v="High"/>
    <s v="Valid"/>
  </r>
  <r>
    <x v="70"/>
    <x v="4"/>
    <s v="Meta Ads"/>
    <x v="2"/>
    <s v="Fintech"/>
    <x v="0"/>
    <n v="104616"/>
    <n v="4048"/>
    <n v="3.8699999999999998E-2"/>
    <n v="1.77"/>
    <n v="7164.96"/>
    <n v="233"/>
    <n v="30.75"/>
    <n v="45906.84"/>
    <n v="38741.879999999997"/>
    <n v="5.4071313726803778"/>
    <n v="6.41"/>
    <s v="High"/>
    <s v="Valid"/>
  </r>
  <r>
    <x v="71"/>
    <x v="2"/>
    <s v="TikTok Ads"/>
    <x v="1"/>
    <s v="Healthcare"/>
    <x v="4"/>
    <n v="79553"/>
    <n v="2712"/>
    <n v="3.4099999999999998E-2"/>
    <n v="0.31"/>
    <n v="840.72"/>
    <n v="170"/>
    <n v="4.95"/>
    <n v="16973.79"/>
    <n v="16133.070000000002"/>
    <n v="19.189587496431631"/>
    <n v="20.190000000000001"/>
    <s v="High"/>
    <s v="Valid"/>
  </r>
  <r>
    <x v="15"/>
    <x v="4"/>
    <s v="Google Ads"/>
    <x v="0"/>
    <s v="Fintech"/>
    <x v="2"/>
    <n v="170904"/>
    <n v="4751"/>
    <n v="2.7799999999999998E-2"/>
    <n v="1.1200000000000001"/>
    <n v="5321.12"/>
    <n v="326"/>
    <n v="16.32"/>
    <n v="44297.15"/>
    <n v="38976.03"/>
    <n v="7.3247793697567429"/>
    <n v="8.32"/>
    <s v="High"/>
    <s v="Valid"/>
  </r>
  <r>
    <x v="72"/>
    <x v="10"/>
    <s v="Google Ads"/>
    <x v="0"/>
    <s v="Healthcare"/>
    <x v="5"/>
    <n v="88807"/>
    <n v="4999"/>
    <n v="5.6300000000000003E-2"/>
    <n v="2.37"/>
    <n v="11847.63"/>
    <n v="348"/>
    <n v="34.04"/>
    <n v="103474.34"/>
    <n v="91626.709999999992"/>
    <n v="7.733758566059203"/>
    <n v="8.73"/>
    <s v="High"/>
    <s v="Valid"/>
  </r>
  <r>
    <x v="6"/>
    <x v="4"/>
    <s v="Meta Ads"/>
    <x v="2"/>
    <s v="EdTech"/>
    <x v="4"/>
    <n v="157499"/>
    <n v="1574"/>
    <n v="0.01"/>
    <n v="1.76"/>
    <n v="2770.24"/>
    <n v="45"/>
    <n v="61.56"/>
    <n v="13465.06"/>
    <n v="10694.82"/>
    <n v="3.8606113549728547"/>
    <n v="4.8600000000000003"/>
    <s v="High"/>
    <s v="Valid"/>
  </r>
  <r>
    <x v="73"/>
    <x v="7"/>
    <s v="Meta Ads"/>
    <x v="0"/>
    <s v="E-commerce"/>
    <x v="6"/>
    <n v="46846"/>
    <n v="983"/>
    <n v="2.1000000000000001E-2"/>
    <n v="0.72"/>
    <n v="707.76"/>
    <n v="11"/>
    <n v="64.34"/>
    <n v="2501.87"/>
    <n v="1794.11"/>
    <n v="2.5349129648468405"/>
    <n v="3.53"/>
    <s v="High"/>
    <s v="Valid"/>
  </r>
  <r>
    <x v="74"/>
    <x v="7"/>
    <s v="TikTok Ads"/>
    <x v="0"/>
    <s v="Fintech"/>
    <x v="3"/>
    <n v="104986"/>
    <n v="6131"/>
    <n v="5.8400000000000001E-2"/>
    <n v="0.36"/>
    <n v="2207.16"/>
    <n v="219"/>
    <n v="10.08"/>
    <n v="57679.5"/>
    <n v="55472.34"/>
    <n v="25.132903822106236"/>
    <n v="26.13"/>
    <s v="High"/>
    <s v="Valid"/>
  </r>
  <r>
    <x v="32"/>
    <x v="8"/>
    <s v="Meta Ads"/>
    <x v="2"/>
    <s v="EdTech"/>
    <x v="5"/>
    <n v="172516"/>
    <n v="6314"/>
    <n v="3.6600000000000001E-2"/>
    <n v="0.72"/>
    <n v="4546.08"/>
    <n v="335"/>
    <n v="13.57"/>
    <n v="82096.800000000003"/>
    <n v="77550.720000000001"/>
    <n v="17.058811107591595"/>
    <n v="18.059999999999999"/>
    <s v="High"/>
    <s v="Valid"/>
  </r>
  <r>
    <x v="75"/>
    <x v="4"/>
    <s v="Meta Ads"/>
    <x v="3"/>
    <s v="E-commerce"/>
    <x v="5"/>
    <n v="187099"/>
    <n v="2469"/>
    <n v="1.32E-2"/>
    <n v="0.83"/>
    <n v="2049.27"/>
    <n v="103"/>
    <n v="19.899999999999999"/>
    <n v="3413.17"/>
    <n v="1363.9"/>
    <n v="0.66555407535366262"/>
    <n v="1.67"/>
    <s v="Medium"/>
    <s v="Valid"/>
  </r>
  <r>
    <x v="76"/>
    <x v="5"/>
    <s v="Google Ads"/>
    <x v="2"/>
    <s v="SaaS"/>
    <x v="5"/>
    <n v="111661"/>
    <n v="3930"/>
    <n v="3.5200000000000002E-2"/>
    <n v="0.84"/>
    <n v="3301.2"/>
    <n v="310"/>
    <n v="10.65"/>
    <n v="21226.880000000001"/>
    <n v="17925.68"/>
    <n v="5.4300496789046413"/>
    <n v="6.43"/>
    <s v="High"/>
    <s v="Valid"/>
  </r>
  <r>
    <x v="77"/>
    <x v="1"/>
    <s v="Meta Ads"/>
    <x v="3"/>
    <s v="EdTech"/>
    <x v="3"/>
    <n v="79441"/>
    <n v="3082"/>
    <n v="3.8800000000000001E-2"/>
    <n v="0.53"/>
    <n v="1633.46"/>
    <n v="100"/>
    <n v="16.329999999999998"/>
    <n v="29391.59"/>
    <n v="27758.13"/>
    <n v="16.993455609564972"/>
    <n v="17.989999999999998"/>
    <s v="High"/>
    <s v="Valid"/>
  </r>
  <r>
    <x v="78"/>
    <x v="5"/>
    <s v="Google Ads"/>
    <x v="3"/>
    <s v="SaaS"/>
    <x v="6"/>
    <n v="14078"/>
    <n v="763"/>
    <n v="5.4199999999999998E-2"/>
    <n v="2.2599999999999998"/>
    <n v="1724.38"/>
    <n v="57"/>
    <n v="30.25"/>
    <n v="16289.72"/>
    <n v="14565.34"/>
    <n v="8.446711281736043"/>
    <n v="9.4499999999999993"/>
    <s v="High"/>
    <s v="Valid"/>
  </r>
  <r>
    <x v="79"/>
    <x v="0"/>
    <s v="Meta Ads"/>
    <x v="2"/>
    <s v="Fintech"/>
    <x v="6"/>
    <n v="182235"/>
    <n v="5047"/>
    <n v="2.7699999999999999E-2"/>
    <n v="0.74"/>
    <n v="3734.78"/>
    <n v="260"/>
    <n v="14.36"/>
    <n v="53450.65"/>
    <n v="49715.87"/>
    <n v="13.311592650704995"/>
    <n v="14.31"/>
    <s v="High"/>
    <s v="Valid"/>
  </r>
  <r>
    <x v="80"/>
    <x v="2"/>
    <s v="Meta Ads"/>
    <x v="1"/>
    <s v="SaaS"/>
    <x v="4"/>
    <n v="128629"/>
    <n v="2109"/>
    <n v="1.6400000000000001E-2"/>
    <n v="1.29"/>
    <n v="2720.61"/>
    <n v="168"/>
    <n v="16.190000000000001"/>
    <n v="49256.62"/>
    <n v="46536.01"/>
    <n v="17.104991160070718"/>
    <n v="18.100000000000001"/>
    <s v="High"/>
    <s v="Valid"/>
  </r>
  <r>
    <x v="81"/>
    <x v="5"/>
    <s v="Meta Ads"/>
    <x v="3"/>
    <s v="Fintech"/>
    <x v="4"/>
    <n v="21309"/>
    <n v="432"/>
    <n v="2.0299999999999999E-2"/>
    <n v="1.66"/>
    <n v="717.12"/>
    <n v="15"/>
    <n v="47.81"/>
    <n v="4449.9799999999996"/>
    <n v="3732.8599999999997"/>
    <n v="5.2053491744756801"/>
    <n v="6.21"/>
    <s v="High"/>
    <s v="Valid"/>
  </r>
  <r>
    <x v="82"/>
    <x v="7"/>
    <s v="Google Ads"/>
    <x v="0"/>
    <s v="Fintech"/>
    <x v="2"/>
    <n v="167932"/>
    <n v="6717"/>
    <n v="0.04"/>
    <n v="2.46"/>
    <n v="16523.82"/>
    <n v="247"/>
    <n v="66.900000000000006"/>
    <n v="38475.06"/>
    <n v="21951.239999999998"/>
    <n v="1.3284603681231095"/>
    <n v="2.33"/>
    <s v="Medium"/>
    <s v="Valid"/>
  </r>
  <r>
    <x v="38"/>
    <x v="0"/>
    <s v="TikTok Ads"/>
    <x v="0"/>
    <s v="Fintech"/>
    <x v="1"/>
    <n v="162795"/>
    <n v="8107"/>
    <n v="4.9799999999999997E-2"/>
    <n v="0.96"/>
    <n v="7782.72"/>
    <n v="575"/>
    <n v="13.54"/>
    <n v="86383.64"/>
    <n v="78600.92"/>
    <n v="10.099415114510094"/>
    <n v="11.1"/>
    <s v="High"/>
    <s v="Valid"/>
  </r>
  <r>
    <x v="83"/>
    <x v="4"/>
    <s v="Meta Ads"/>
    <x v="0"/>
    <s v="EdTech"/>
    <x v="1"/>
    <n v="50893"/>
    <n v="1124"/>
    <n v="2.2100000000000002E-2"/>
    <n v="1.41"/>
    <n v="1584.84"/>
    <n v="29"/>
    <n v="54.65"/>
    <n v="2707.5"/>
    <n v="1122.6600000000001"/>
    <n v="0.70837434693723034"/>
    <n v="1.71"/>
    <s v="Medium"/>
    <s v="Valid"/>
  </r>
  <r>
    <x v="84"/>
    <x v="7"/>
    <s v="TikTok Ads"/>
    <x v="3"/>
    <s v="SaaS"/>
    <x v="0"/>
    <n v="81619"/>
    <n v="3623"/>
    <n v="4.4400000000000002E-2"/>
    <n v="0.47"/>
    <n v="1702.81"/>
    <n v="222"/>
    <n v="7.67"/>
    <n v="46448.44"/>
    <n v="44745.630000000005"/>
    <n v="26.277523622717748"/>
    <n v="27.28"/>
    <s v="High"/>
    <s v="Valid"/>
  </r>
  <r>
    <x v="85"/>
    <x v="10"/>
    <s v="Meta Ads"/>
    <x v="0"/>
    <s v="EdTech"/>
    <x v="3"/>
    <n v="154381"/>
    <n v="1698"/>
    <n v="1.0999999999999999E-2"/>
    <n v="1.85"/>
    <n v="3141.3"/>
    <n v="70"/>
    <n v="44.88"/>
    <n v="19750.240000000002"/>
    <n v="16608.940000000002"/>
    <n v="5.2872823353388725"/>
    <n v="6.29"/>
    <s v="High"/>
    <s v="Valid"/>
  </r>
  <r>
    <x v="31"/>
    <x v="0"/>
    <s v="Google Ads"/>
    <x v="0"/>
    <s v="Fintech"/>
    <x v="5"/>
    <n v="124273"/>
    <n v="3603"/>
    <n v="2.9000000000000001E-2"/>
    <n v="1.55"/>
    <n v="5584.65"/>
    <n v="167"/>
    <n v="33.44"/>
    <n v="20460.25"/>
    <n v="14875.6"/>
    <n v="2.6636584208500089"/>
    <n v="3.66"/>
    <s v="High"/>
    <s v="Valid"/>
  </r>
  <r>
    <x v="86"/>
    <x v="9"/>
    <s v="Meta Ads"/>
    <x v="1"/>
    <s v="Healthcare"/>
    <x v="3"/>
    <n v="6969"/>
    <n v="176"/>
    <n v="2.53E-2"/>
    <n v="1.08"/>
    <n v="190.08"/>
    <n v="10"/>
    <n v="19.010000000000002"/>
    <n v="2562.91"/>
    <n v="2372.83"/>
    <n v="12.48332281144781"/>
    <n v="13.48"/>
    <s v="High"/>
    <s v="Valid"/>
  </r>
  <r>
    <x v="32"/>
    <x v="8"/>
    <s v="TikTok Ads"/>
    <x v="3"/>
    <s v="SaaS"/>
    <x v="1"/>
    <n v="29089"/>
    <n v="1076"/>
    <n v="3.6999999999999998E-2"/>
    <n v="0.65"/>
    <n v="699.4"/>
    <n v="40"/>
    <n v="17.48"/>
    <n v="8233.32"/>
    <n v="7533.92"/>
    <n v="10.771975979410923"/>
    <n v="11.77"/>
    <s v="High"/>
    <s v="Valid"/>
  </r>
  <r>
    <x v="87"/>
    <x v="10"/>
    <s v="Google Ads"/>
    <x v="2"/>
    <s v="SaaS"/>
    <x v="1"/>
    <n v="10704"/>
    <n v="489"/>
    <n v="4.5699999999999998E-2"/>
    <n v="1.71"/>
    <n v="836.19"/>
    <n v="36"/>
    <n v="23.23"/>
    <n v="5339.04"/>
    <n v="4502.8500000000004"/>
    <n v="5.3849603558999748"/>
    <n v="6.38"/>
    <s v="High"/>
    <s v="Valid"/>
  </r>
  <r>
    <x v="46"/>
    <x v="9"/>
    <s v="TikTok Ads"/>
    <x v="0"/>
    <s v="E-commerce"/>
    <x v="6"/>
    <n v="22772"/>
    <n v="1045"/>
    <n v="4.5900000000000003E-2"/>
    <n v="0.95"/>
    <n v="992.75"/>
    <n v="38"/>
    <n v="26.12"/>
    <n v="5743.6"/>
    <n v="4750.8500000000004"/>
    <n v="4.7855452027197183"/>
    <n v="5.79"/>
    <s v="High"/>
    <s v="Valid"/>
  </r>
  <r>
    <x v="88"/>
    <x v="5"/>
    <s v="Google Ads"/>
    <x v="0"/>
    <s v="Fintech"/>
    <x v="3"/>
    <n v="68449"/>
    <n v="3285"/>
    <n v="4.8000000000000001E-2"/>
    <n v="2.38"/>
    <n v="7818.3"/>
    <n v="243"/>
    <n v="32.17"/>
    <n v="60681.21"/>
    <n v="52862.909999999996"/>
    <n v="6.7614327922949995"/>
    <n v="7.76"/>
    <s v="High"/>
    <s v="Valid"/>
  </r>
  <r>
    <x v="89"/>
    <x v="3"/>
    <s v="Google Ads"/>
    <x v="0"/>
    <s v="SaaS"/>
    <x v="0"/>
    <n v="51819"/>
    <n v="2497"/>
    <n v="4.82E-2"/>
    <n v="2.88"/>
    <n v="7191.36"/>
    <n v="138"/>
    <n v="52.11"/>
    <n v="37600.620000000003"/>
    <n v="30409.260000000002"/>
    <n v="4.2285826324923246"/>
    <n v="5.23"/>
    <s v="High"/>
    <s v="Valid"/>
  </r>
  <r>
    <x v="90"/>
    <x v="6"/>
    <s v="Google Ads"/>
    <x v="1"/>
    <s v="Fintech"/>
    <x v="6"/>
    <n v="173722"/>
    <n v="3821"/>
    <n v="2.1999999999999999E-2"/>
    <n v="1.54"/>
    <n v="5884.34"/>
    <n v="201"/>
    <n v="29.28"/>
    <n v="44895.5"/>
    <n v="39011.160000000003"/>
    <n v="6.62965770162839"/>
    <n v="7.63"/>
    <s v="High"/>
    <s v="Valid"/>
  </r>
  <r>
    <x v="91"/>
    <x v="9"/>
    <s v="Google Ads"/>
    <x v="2"/>
    <s v="SaaS"/>
    <x v="2"/>
    <n v="119014"/>
    <n v="5938"/>
    <n v="4.99E-2"/>
    <n v="2.88"/>
    <n v="17101.439999999999"/>
    <n v="95"/>
    <n v="180.02"/>
    <n v="23773.95"/>
    <n v="6672.510000000002"/>
    <n v="0.39017240653418672"/>
    <n v="1.39"/>
    <s v="Medium"/>
    <s v="Valid"/>
  </r>
  <r>
    <x v="92"/>
    <x v="8"/>
    <s v="Google Ads"/>
    <x v="0"/>
    <s v="SaaS"/>
    <x v="6"/>
    <n v="159741"/>
    <n v="6868"/>
    <n v="4.2999999999999997E-2"/>
    <n v="1.37"/>
    <n v="9409.16"/>
    <n v="336"/>
    <n v="28"/>
    <n v="33272.11"/>
    <n v="23862.95"/>
    <n v="2.5361403143319916"/>
    <n v="3.54"/>
    <s v="High"/>
    <s v="Valid"/>
  </r>
  <r>
    <x v="13"/>
    <x v="2"/>
    <s v="Google Ads"/>
    <x v="2"/>
    <s v="Fintech"/>
    <x v="3"/>
    <n v="167982"/>
    <n v="7693"/>
    <n v="4.58E-2"/>
    <n v="2.64"/>
    <n v="20309.52"/>
    <n v="193"/>
    <n v="105.23"/>
    <n v="10777.69"/>
    <n v="-9531.83"/>
    <n v="-0.46932817713072489"/>
    <n v="0.53"/>
    <s v="Low"/>
    <s v="Valid"/>
  </r>
  <r>
    <x v="22"/>
    <x v="1"/>
    <s v="Google Ads"/>
    <x v="1"/>
    <s v="Fintech"/>
    <x v="3"/>
    <n v="96658"/>
    <n v="2822"/>
    <n v="2.92E-2"/>
    <n v="3.37"/>
    <n v="9510.14"/>
    <n v="112"/>
    <n v="84.91"/>
    <n v="25060.16"/>
    <n v="15550.02"/>
    <n v="1.6350989575337482"/>
    <n v="2.64"/>
    <s v="Medium"/>
    <s v="Valid"/>
  </r>
  <r>
    <x v="93"/>
    <x v="0"/>
    <s v="Meta Ads"/>
    <x v="1"/>
    <s v="EdTech"/>
    <x v="5"/>
    <n v="43467"/>
    <n v="991"/>
    <n v="2.2800000000000001E-2"/>
    <n v="1.9"/>
    <n v="1882.9"/>
    <n v="25"/>
    <n v="75.319999999999993"/>
    <n v="3146.23"/>
    <n v="1263.33"/>
    <n v="0.6709490679271336"/>
    <n v="1.67"/>
    <s v="Medium"/>
    <s v="Valid"/>
  </r>
  <r>
    <x v="33"/>
    <x v="0"/>
    <s v="Google Ads"/>
    <x v="0"/>
    <s v="EdTech"/>
    <x v="1"/>
    <n v="41378"/>
    <n v="2023"/>
    <n v="4.8899999999999999E-2"/>
    <n v="1.23"/>
    <n v="2488.29"/>
    <n v="73"/>
    <n v="34.090000000000003"/>
    <n v="9343.6299999999992"/>
    <n v="6855.3399999999992"/>
    <n v="2.7550406102182619"/>
    <n v="3.76"/>
    <s v="High"/>
    <s v="Valid"/>
  </r>
  <r>
    <x v="89"/>
    <x v="3"/>
    <s v="TikTok Ads"/>
    <x v="1"/>
    <s v="EdTech"/>
    <x v="5"/>
    <n v="100673"/>
    <n v="5718"/>
    <n v="5.6800000000000003E-2"/>
    <n v="1.05"/>
    <n v="6003.9"/>
    <n v="196"/>
    <n v="30.63"/>
    <n v="41067.129999999997"/>
    <n v="35063.229999999996"/>
    <n v="5.8400756175152813"/>
    <n v="6.84"/>
    <s v="High"/>
    <s v="Valid"/>
  </r>
  <r>
    <x v="94"/>
    <x v="9"/>
    <s v="TikTok Ads"/>
    <x v="2"/>
    <s v="Healthcare"/>
    <x v="6"/>
    <n v="191994"/>
    <n v="14898"/>
    <n v="7.7600000000000002E-2"/>
    <n v="1.08"/>
    <n v="16089.84"/>
    <n v="936"/>
    <n v="17.190000000000001"/>
    <n v="60355.75"/>
    <n v="44265.91"/>
    <n v="2.7511715467649154"/>
    <n v="3.75"/>
    <s v="High"/>
    <s v="Valid"/>
  </r>
  <r>
    <x v="95"/>
    <x v="8"/>
    <s v="TikTok Ads"/>
    <x v="3"/>
    <s v="EdTech"/>
    <x v="1"/>
    <n v="152235"/>
    <n v="6104"/>
    <n v="4.0099999999999997E-2"/>
    <n v="0.73"/>
    <n v="4455.92"/>
    <n v="252"/>
    <n v="17.68"/>
    <n v="48424.44"/>
    <n v="43968.520000000004"/>
    <n v="9.8674392718002117"/>
    <n v="10.87"/>
    <s v="High"/>
    <s v="Valid"/>
  </r>
  <r>
    <x v="96"/>
    <x v="9"/>
    <s v="Meta Ads"/>
    <x v="1"/>
    <s v="Fintech"/>
    <x v="6"/>
    <n v="66929"/>
    <n v="1539"/>
    <n v="2.3E-2"/>
    <n v="1.21"/>
    <n v="1862.19"/>
    <n v="38"/>
    <n v="49.01"/>
    <n v="9540.2199999999993"/>
    <n v="7678.0299999999988"/>
    <n v="4.1231184787803601"/>
    <n v="5.12"/>
    <s v="High"/>
    <s v="Valid"/>
  </r>
  <r>
    <x v="97"/>
    <x v="8"/>
    <s v="Google Ads"/>
    <x v="1"/>
    <s v="SaaS"/>
    <x v="4"/>
    <n v="188202"/>
    <n v="7189"/>
    <n v="3.8199999999999998E-2"/>
    <n v="1.1499999999999999"/>
    <n v="8267.35"/>
    <n v="376"/>
    <n v="21.99"/>
    <n v="88923.49"/>
    <n v="80656.14"/>
    <n v="9.7559846867496827"/>
    <n v="10.76"/>
    <s v="High"/>
    <s v="Valid"/>
  </r>
  <r>
    <x v="98"/>
    <x v="0"/>
    <s v="Google Ads"/>
    <x v="1"/>
    <s v="Fintech"/>
    <x v="2"/>
    <n v="184316"/>
    <n v="4091"/>
    <n v="2.2200000000000001E-2"/>
    <n v="1.04"/>
    <n v="4254.6400000000003"/>
    <n v="309"/>
    <n v="13.77"/>
    <n v="82363.460000000006"/>
    <n v="78108.820000000007"/>
    <n v="18.358502717033637"/>
    <n v="19.36"/>
    <s v="High"/>
    <s v="Valid"/>
  </r>
  <r>
    <x v="99"/>
    <x v="7"/>
    <s v="Google Ads"/>
    <x v="1"/>
    <s v="Healthcare"/>
    <x v="4"/>
    <n v="65545"/>
    <n v="3355"/>
    <n v="5.1200000000000002E-2"/>
    <n v="1.77"/>
    <n v="5938.35"/>
    <n v="196"/>
    <n v="30.3"/>
    <n v="57936.29"/>
    <n v="51997.94"/>
    <n v="8.7562942568221818"/>
    <n v="9.76"/>
    <s v="High"/>
    <s v="Valid"/>
  </r>
  <r>
    <x v="100"/>
    <x v="1"/>
    <s v="Google Ads"/>
    <x v="1"/>
    <s v="Healthcare"/>
    <x v="2"/>
    <n v="33141"/>
    <n v="798"/>
    <n v="2.41E-2"/>
    <n v="3.29"/>
    <n v="2625.42"/>
    <n v="42"/>
    <n v="62.51"/>
    <n v="7236.65"/>
    <n v="4611.2299999999996"/>
    <n v="1.7563780271347058"/>
    <n v="2.76"/>
    <s v="Medium"/>
    <s v="Valid"/>
  </r>
  <r>
    <x v="101"/>
    <x v="10"/>
    <s v="Meta Ads"/>
    <x v="1"/>
    <s v="Healthcare"/>
    <x v="3"/>
    <n v="76229"/>
    <n v="1562"/>
    <n v="2.0500000000000001E-2"/>
    <n v="1.01"/>
    <n v="1577.62"/>
    <n v="30"/>
    <n v="52.59"/>
    <n v="4290.5"/>
    <n v="2712.88"/>
    <n v="1.7196029462101141"/>
    <n v="2.72"/>
    <s v="Medium"/>
    <s v="Valid"/>
  </r>
  <r>
    <x v="102"/>
    <x v="6"/>
    <s v="TikTok Ads"/>
    <x v="0"/>
    <s v="SaaS"/>
    <x v="6"/>
    <n v="141614"/>
    <n v="10677"/>
    <n v="7.5399999999999995E-2"/>
    <n v="0.35"/>
    <n v="3736.95"/>
    <n v="305"/>
    <n v="12.25"/>
    <n v="62355.519999999997"/>
    <n v="58618.57"/>
    <n v="15.686206665863873"/>
    <n v="16.690000000000001"/>
    <s v="High"/>
    <s v="Valid"/>
  </r>
  <r>
    <x v="72"/>
    <x v="10"/>
    <s v="Meta Ads"/>
    <x v="2"/>
    <s v="Healthcare"/>
    <x v="1"/>
    <n v="161193"/>
    <n v="4916"/>
    <n v="3.0499999999999999E-2"/>
    <n v="1.37"/>
    <n v="6734.92"/>
    <n v="377"/>
    <n v="17.86"/>
    <n v="91408.9"/>
    <n v="84673.98"/>
    <n v="12.572380963693703"/>
    <n v="13.57"/>
    <s v="High"/>
    <s v="Valid"/>
  </r>
  <r>
    <x v="103"/>
    <x v="2"/>
    <s v="Google Ads"/>
    <x v="0"/>
    <s v="SaaS"/>
    <x v="3"/>
    <n v="142244"/>
    <n v="4935"/>
    <n v="3.4700000000000002E-2"/>
    <n v="2.98"/>
    <n v="14706.3"/>
    <n v="127"/>
    <n v="115.8"/>
    <n v="34307.21"/>
    <n v="19600.91"/>
    <n v="1.3328240277976107"/>
    <n v="2.33"/>
    <s v="Medium"/>
    <s v="Valid"/>
  </r>
  <r>
    <x v="104"/>
    <x v="11"/>
    <s v="Meta Ads"/>
    <x v="0"/>
    <s v="Fintech"/>
    <x v="0"/>
    <n v="178063"/>
    <n v="1851"/>
    <n v="1.04E-2"/>
    <n v="0.45"/>
    <n v="832.95"/>
    <n v="64"/>
    <n v="13.01"/>
    <n v="7044.13"/>
    <n v="6211.18"/>
    <n v="7.4568461492286451"/>
    <n v="8.4600000000000009"/>
    <s v="High"/>
    <s v="Valid"/>
  </r>
  <r>
    <x v="105"/>
    <x v="0"/>
    <s v="Google Ads"/>
    <x v="1"/>
    <s v="Fintech"/>
    <x v="6"/>
    <n v="193978"/>
    <n v="5780"/>
    <n v="2.98E-2"/>
    <n v="1.73"/>
    <n v="9999.4"/>
    <n v="177"/>
    <n v="56.49"/>
    <n v="42071.17"/>
    <n v="32071.769999999997"/>
    <n v="3.20736944216653"/>
    <n v="4.21"/>
    <s v="High"/>
    <s v="Valid"/>
  </r>
  <r>
    <x v="106"/>
    <x v="2"/>
    <s v="Meta Ads"/>
    <x v="3"/>
    <s v="SaaS"/>
    <x v="4"/>
    <n v="187051"/>
    <n v="6284"/>
    <n v="3.3599999999999998E-2"/>
    <n v="2.0099999999999998"/>
    <n v="12630.84"/>
    <n v="493"/>
    <n v="25.62"/>
    <n v="94906.46"/>
    <n v="82275.62000000001"/>
    <n v="6.513867644590543"/>
    <n v="7.51"/>
    <s v="High"/>
    <s v="Valid"/>
  </r>
  <r>
    <x v="56"/>
    <x v="0"/>
    <s v="Meta Ads"/>
    <x v="1"/>
    <s v="EdTech"/>
    <x v="1"/>
    <n v="152977"/>
    <n v="5491"/>
    <n v="3.5900000000000001E-2"/>
    <n v="1.35"/>
    <n v="7412.85"/>
    <n v="147"/>
    <n v="50.43"/>
    <n v="9232.39"/>
    <n v="1819.5399999999991"/>
    <n v="0.24545755006508954"/>
    <n v="1.25"/>
    <s v="Medium"/>
    <s v="Valid"/>
  </r>
  <r>
    <x v="107"/>
    <x v="8"/>
    <s v="Google Ads"/>
    <x v="3"/>
    <s v="E-commerce"/>
    <x v="0"/>
    <n v="129447"/>
    <n v="4310"/>
    <n v="3.3300000000000003E-2"/>
    <n v="2.7"/>
    <n v="11637"/>
    <n v="211"/>
    <n v="55.15"/>
    <n v="16618.47"/>
    <n v="4981.4700000000012"/>
    <n v="0.42807166795565876"/>
    <n v="1.43"/>
    <s v="Medium"/>
    <s v="Valid"/>
  </r>
  <r>
    <x v="1"/>
    <x v="0"/>
    <s v="Google Ads"/>
    <x v="2"/>
    <s v="Fintech"/>
    <x v="2"/>
    <n v="28387"/>
    <n v="672"/>
    <n v="2.3699999999999999E-2"/>
    <n v="3.32"/>
    <n v="2231.04"/>
    <n v="41"/>
    <n v="54.42"/>
    <n v="7232.57"/>
    <n v="5001.53"/>
    <n v="2.2417930651176134"/>
    <n v="3.24"/>
    <s v="High"/>
    <s v="Valid"/>
  </r>
  <r>
    <x v="43"/>
    <x v="5"/>
    <s v="Meta Ads"/>
    <x v="2"/>
    <s v="Fintech"/>
    <x v="6"/>
    <n v="88986"/>
    <n v="1308"/>
    <n v="1.47E-2"/>
    <n v="0.75"/>
    <n v="981"/>
    <n v="80"/>
    <n v="12.26"/>
    <n v="21439.34"/>
    <n v="20458.34"/>
    <n v="20.854576962283385"/>
    <n v="21.85"/>
    <s v="High"/>
    <s v="Valid"/>
  </r>
  <r>
    <x v="108"/>
    <x v="0"/>
    <s v="Google Ads"/>
    <x v="1"/>
    <s v="SaaS"/>
    <x v="1"/>
    <n v="170268"/>
    <n v="7917"/>
    <n v="4.65E-2"/>
    <n v="3.14"/>
    <n v="24859.38"/>
    <n v="98"/>
    <n v="253.67"/>
    <n v="22672.12"/>
    <n v="-2187.260000000002"/>
    <n v="-8.7985299713830428E-2"/>
    <n v="0.91"/>
    <s v="Low"/>
    <s v="Valid"/>
  </r>
  <r>
    <x v="109"/>
    <x v="0"/>
    <s v="Google Ads"/>
    <x v="3"/>
    <s v="Healthcare"/>
    <x v="2"/>
    <n v="122322"/>
    <n v="6152"/>
    <n v="5.0299999999999997E-2"/>
    <n v="1.23"/>
    <n v="7566.96"/>
    <n v="155"/>
    <n v="48.82"/>
    <n v="10417.89"/>
    <n v="2850.9299999999994"/>
    <n v="0.37676028418281576"/>
    <n v="1.38"/>
    <s v="Medium"/>
    <s v="Valid"/>
  </r>
  <r>
    <x v="110"/>
    <x v="2"/>
    <s v="Meta Ads"/>
    <x v="3"/>
    <s v="Healthcare"/>
    <x v="1"/>
    <n v="69429"/>
    <n v="2430"/>
    <n v="3.5000000000000003E-2"/>
    <n v="1.59"/>
    <n v="3863.7"/>
    <n v="119"/>
    <n v="32.47"/>
    <n v="21584.01"/>
    <n v="17720.309999999998"/>
    <n v="4.5863576364624583"/>
    <n v="5.59"/>
    <s v="High"/>
    <s v="Valid"/>
  </r>
  <r>
    <x v="63"/>
    <x v="1"/>
    <s v="Meta Ads"/>
    <x v="3"/>
    <s v="SaaS"/>
    <x v="4"/>
    <n v="196675"/>
    <n v="4031"/>
    <n v="2.0500000000000001E-2"/>
    <n v="1.97"/>
    <n v="7941.07"/>
    <n v="186"/>
    <n v="42.69"/>
    <n v="27686.79"/>
    <n v="19745.72"/>
    <n v="2.4865314120137465"/>
    <n v="3.49"/>
    <s v="High"/>
    <s v="Valid"/>
  </r>
  <r>
    <x v="111"/>
    <x v="8"/>
    <s v="Google Ads"/>
    <x v="1"/>
    <s v="E-commerce"/>
    <x v="6"/>
    <n v="104134"/>
    <n v="3603"/>
    <n v="3.4599999999999999E-2"/>
    <n v="3.46"/>
    <n v="12466.38"/>
    <n v="234"/>
    <n v="53.28"/>
    <n v="14496.48"/>
    <n v="2030.1000000000004"/>
    <n v="0.16284599057625393"/>
    <n v="1.1599999999999999"/>
    <s v="Medium"/>
    <s v="Valid"/>
  </r>
  <r>
    <x v="112"/>
    <x v="9"/>
    <s v="Meta Ads"/>
    <x v="3"/>
    <s v="EdTech"/>
    <x v="4"/>
    <n v="150544"/>
    <n v="2890"/>
    <n v="1.9199999999999998E-2"/>
    <n v="1.7"/>
    <n v="4913"/>
    <n v="170"/>
    <n v="28.9"/>
    <n v="47769.42"/>
    <n v="42856.42"/>
    <n v="8.7230653368613886"/>
    <n v="9.7200000000000006"/>
    <s v="High"/>
    <s v="Valid"/>
  </r>
  <r>
    <x v="113"/>
    <x v="3"/>
    <s v="TikTok Ads"/>
    <x v="1"/>
    <s v="SaaS"/>
    <x v="4"/>
    <n v="75553"/>
    <n v="3331"/>
    <n v="4.41E-2"/>
    <n v="0.44"/>
    <n v="1465.64"/>
    <n v="203"/>
    <n v="7.22"/>
    <n v="33301.040000000001"/>
    <n v="31835.4"/>
    <n v="21.721159357004449"/>
    <n v="22.72"/>
    <s v="High"/>
    <s v="Valid"/>
  </r>
  <r>
    <x v="114"/>
    <x v="3"/>
    <s v="Meta Ads"/>
    <x v="0"/>
    <s v="EdTech"/>
    <x v="5"/>
    <n v="149565"/>
    <n v="2437"/>
    <n v="1.6299999999999999E-2"/>
    <n v="0.37"/>
    <n v="901.69"/>
    <n v="30"/>
    <n v="30.06"/>
    <n v="3133.33"/>
    <n v="2231.64"/>
    <n v="2.4749525890272706"/>
    <n v="3.47"/>
    <s v="High"/>
    <s v="Valid"/>
  </r>
  <r>
    <x v="78"/>
    <x v="5"/>
    <s v="Google Ads"/>
    <x v="3"/>
    <s v="SaaS"/>
    <x v="5"/>
    <n v="12896"/>
    <n v="535"/>
    <n v="4.1500000000000002E-2"/>
    <n v="0.98"/>
    <n v="524.29999999999995"/>
    <n v="20"/>
    <n v="26.21"/>
    <n v="2475.65"/>
    <n v="1951.3500000000001"/>
    <n v="3.7218195689490754"/>
    <n v="4.72"/>
    <s v="High"/>
    <s v="Valid"/>
  </r>
  <r>
    <x v="115"/>
    <x v="8"/>
    <s v="TikTok Ads"/>
    <x v="3"/>
    <s v="Fintech"/>
    <x v="3"/>
    <n v="70428"/>
    <n v="3310"/>
    <n v="4.7E-2"/>
    <n v="1.17"/>
    <n v="3872.7"/>
    <n v="164"/>
    <n v="23.61"/>
    <n v="25462.93"/>
    <n v="21590.23"/>
    <n v="5.5749812792108866"/>
    <n v="6.57"/>
    <s v="High"/>
    <s v="Valid"/>
  </r>
  <r>
    <x v="77"/>
    <x v="1"/>
    <s v="TikTok Ads"/>
    <x v="2"/>
    <s v="EdTech"/>
    <x v="2"/>
    <n v="12345"/>
    <n v="456"/>
    <n v="3.6999999999999998E-2"/>
    <n v="0.62"/>
    <n v="282.72000000000003"/>
    <n v="21"/>
    <n v="13.46"/>
    <n v="5118.9399999999996"/>
    <n v="4836.2199999999993"/>
    <n v="17.106041312959814"/>
    <n v="18.11"/>
    <s v="High"/>
    <s v="Valid"/>
  </r>
  <r>
    <x v="116"/>
    <x v="6"/>
    <s v="Meta Ads"/>
    <x v="3"/>
    <s v="SaaS"/>
    <x v="2"/>
    <n v="18140"/>
    <n v="455"/>
    <n v="2.5100000000000001E-2"/>
    <n v="1.1499999999999999"/>
    <n v="523.25"/>
    <n v="29"/>
    <n v="18.04"/>
    <n v="1746.46"/>
    <n v="1223.21"/>
    <n v="2.3377161968466318"/>
    <n v="3.34"/>
    <s v="High"/>
    <s v="Valid"/>
  </r>
  <r>
    <x v="106"/>
    <x v="2"/>
    <s v="Google Ads"/>
    <x v="1"/>
    <s v="Fintech"/>
    <x v="6"/>
    <n v="42823"/>
    <n v="1588"/>
    <n v="3.7100000000000001E-2"/>
    <n v="2.97"/>
    <n v="4716.3599999999997"/>
    <n v="33"/>
    <n v="142.91999999999999"/>
    <n v="3266.45"/>
    <n v="-1449.9099999999999"/>
    <n v="-0.30742140125011663"/>
    <n v="0.69"/>
    <s v="Low"/>
    <s v="Valid"/>
  </r>
  <r>
    <x v="117"/>
    <x v="0"/>
    <s v="TikTok Ads"/>
    <x v="2"/>
    <s v="SaaS"/>
    <x v="3"/>
    <n v="34118"/>
    <n v="1470"/>
    <n v="4.3099999999999999E-2"/>
    <n v="0.85"/>
    <n v="1249.5"/>
    <n v="55"/>
    <n v="22.72"/>
    <n v="3037.11"/>
    <n v="1787.6100000000001"/>
    <n v="1.4306602641056423"/>
    <n v="2.4300000000000002"/>
    <s v="Medium"/>
    <s v="Valid"/>
  </r>
  <r>
    <x v="38"/>
    <x v="0"/>
    <s v="Meta Ads"/>
    <x v="1"/>
    <s v="EdTech"/>
    <x v="1"/>
    <n v="127775"/>
    <n v="3871"/>
    <n v="3.0300000000000001E-2"/>
    <n v="0.76"/>
    <n v="2941.96"/>
    <n v="159"/>
    <n v="18.5"/>
    <n v="28717.22"/>
    <n v="25775.260000000002"/>
    <n v="8.7612544018273546"/>
    <n v="9.76"/>
    <s v="High"/>
    <s v="Valid"/>
  </r>
  <r>
    <x v="118"/>
    <x v="7"/>
    <s v="Google Ads"/>
    <x v="2"/>
    <s v="Fintech"/>
    <x v="0"/>
    <n v="136354"/>
    <n v="3736"/>
    <n v="2.7400000000000001E-2"/>
    <n v="1.1599999999999999"/>
    <n v="4333.76"/>
    <n v="152"/>
    <n v="28.51"/>
    <n v="29811.83"/>
    <n v="25478.07"/>
    <n v="5.8789757623864727"/>
    <n v="6.88"/>
    <s v="High"/>
    <s v="Valid"/>
  </r>
  <r>
    <x v="113"/>
    <x v="3"/>
    <s v="Google Ads"/>
    <x v="2"/>
    <s v="E-commerce"/>
    <x v="3"/>
    <n v="115454"/>
    <n v="7227"/>
    <n v="6.2600000000000003E-2"/>
    <n v="2.46"/>
    <n v="17778.419999999998"/>
    <n v="154"/>
    <n v="115.44"/>
    <n v="5144.22"/>
    <n v="-12634.199999999997"/>
    <n v="-0.71064807783818795"/>
    <n v="0.28999999999999998"/>
    <s v="Low"/>
    <s v="Valid"/>
  </r>
  <r>
    <x v="119"/>
    <x v="1"/>
    <s v="Meta Ads"/>
    <x v="0"/>
    <s v="EdTech"/>
    <x v="2"/>
    <n v="37994"/>
    <n v="1379"/>
    <n v="3.6299999999999999E-2"/>
    <n v="1.06"/>
    <n v="1461.74"/>
    <n v="58"/>
    <n v="25.2"/>
    <n v="7343.12"/>
    <n v="5881.38"/>
    <n v="4.023547279269911"/>
    <n v="5.0199999999999996"/>
    <s v="High"/>
    <s v="Valid"/>
  </r>
  <r>
    <x v="120"/>
    <x v="3"/>
    <s v="Meta Ads"/>
    <x v="1"/>
    <s v="EdTech"/>
    <x v="3"/>
    <n v="74615"/>
    <n v="2327"/>
    <n v="3.1199999999999999E-2"/>
    <n v="1.1000000000000001"/>
    <n v="2559.6999999999998"/>
    <n v="129"/>
    <n v="19.84"/>
    <n v="25496.94"/>
    <n v="22937.239999999998"/>
    <n v="8.960909481579872"/>
    <n v="9.9600000000000009"/>
    <s v="High"/>
    <s v="Valid"/>
  </r>
  <r>
    <x v="91"/>
    <x v="9"/>
    <s v="Google Ads"/>
    <x v="0"/>
    <s v="EdTech"/>
    <x v="4"/>
    <n v="176790"/>
    <n v="4490"/>
    <n v="2.5399999999999999E-2"/>
    <n v="1.49"/>
    <n v="6690.1"/>
    <n v="250"/>
    <n v="26.76"/>
    <n v="74442.63"/>
    <n v="67752.53"/>
    <n v="10.127282103406525"/>
    <n v="11.13"/>
    <s v="High"/>
    <s v="Valid"/>
  </r>
  <r>
    <x v="121"/>
    <x v="3"/>
    <s v="Google Ads"/>
    <x v="2"/>
    <s v="Fintech"/>
    <x v="3"/>
    <n v="60077"/>
    <n v="1994"/>
    <n v="3.32E-2"/>
    <n v="3.11"/>
    <n v="6201.34"/>
    <n v="28"/>
    <n v="221.48"/>
    <n v="7635.29"/>
    <n v="1433.9499999999998"/>
    <n v="0.23123228205516869"/>
    <n v="1.23"/>
    <s v="Medium"/>
    <s v="Valid"/>
  </r>
  <r>
    <x v="122"/>
    <x v="11"/>
    <s v="Meta Ads"/>
    <x v="3"/>
    <s v="Fintech"/>
    <x v="4"/>
    <n v="151295"/>
    <n v="2163"/>
    <n v="1.43E-2"/>
    <n v="1.58"/>
    <n v="3417.54"/>
    <n v="85"/>
    <n v="40.21"/>
    <n v="3173.67"/>
    <n v="-243.86999999999989"/>
    <n v="-7.1358345476570842E-2"/>
    <n v="0.93"/>
    <s v="Low"/>
    <s v="Valid"/>
  </r>
  <r>
    <x v="123"/>
    <x v="5"/>
    <s v="TikTok Ads"/>
    <x v="3"/>
    <s v="E-commerce"/>
    <x v="4"/>
    <n v="20282"/>
    <n v="1740"/>
    <n v="8.5800000000000001E-2"/>
    <n v="1.25"/>
    <n v="2175"/>
    <n v="94"/>
    <n v="23.14"/>
    <n v="14237"/>
    <n v="12062"/>
    <n v="5.5457471264367815"/>
    <n v="6.55"/>
    <s v="High"/>
    <s v="Valid"/>
  </r>
  <r>
    <x v="120"/>
    <x v="3"/>
    <s v="Google Ads"/>
    <x v="0"/>
    <s v="Healthcare"/>
    <x v="3"/>
    <n v="185488"/>
    <n v="3950"/>
    <n v="2.1299999999999999E-2"/>
    <n v="1.39"/>
    <n v="5490.5"/>
    <n v="289"/>
    <n v="19"/>
    <n v="75172.149999999994"/>
    <n v="69681.649999999994"/>
    <n v="12.691312266642381"/>
    <n v="13.69"/>
    <s v="High"/>
    <s v="Valid"/>
  </r>
  <r>
    <x v="11"/>
    <x v="7"/>
    <s v="Meta Ads"/>
    <x v="3"/>
    <s v="E-commerce"/>
    <x v="6"/>
    <n v="28567"/>
    <n v="999"/>
    <n v="3.5000000000000003E-2"/>
    <n v="1.69"/>
    <n v="1688.31"/>
    <n v="68"/>
    <n v="24.83"/>
    <n v="13037.25"/>
    <n v="11348.94"/>
    <n v="6.7220711836096454"/>
    <n v="7.72"/>
    <s v="High"/>
    <s v="Valid"/>
  </r>
  <r>
    <x v="90"/>
    <x v="6"/>
    <s v="Google Ads"/>
    <x v="0"/>
    <s v="E-commerce"/>
    <x v="0"/>
    <n v="96170"/>
    <n v="5145"/>
    <n v="5.3499999999999999E-2"/>
    <n v="2.12"/>
    <n v="10907.4"/>
    <n v="268"/>
    <n v="40.700000000000003"/>
    <n v="72622.990000000005"/>
    <n v="61715.590000000004"/>
    <n v="5.6581394282780506"/>
    <n v="6.66"/>
    <s v="High"/>
    <s v="Valid"/>
  </r>
  <r>
    <x v="110"/>
    <x v="2"/>
    <s v="Meta Ads"/>
    <x v="2"/>
    <s v="Healthcare"/>
    <x v="4"/>
    <n v="101019"/>
    <n v="2515"/>
    <n v="2.4899999999999999E-2"/>
    <n v="1.69"/>
    <n v="4250.3500000000004"/>
    <n v="72"/>
    <n v="59.03"/>
    <n v="11353.12"/>
    <n v="7102.77"/>
    <n v="1.6711023798040161"/>
    <n v="2.67"/>
    <s v="Medium"/>
    <s v="Valid"/>
  </r>
  <r>
    <x v="124"/>
    <x v="11"/>
    <s v="TikTok Ads"/>
    <x v="2"/>
    <s v="E-commerce"/>
    <x v="1"/>
    <n v="91795"/>
    <n v="3800"/>
    <n v="4.1399999999999999E-2"/>
    <n v="1.22"/>
    <n v="4636"/>
    <n v="157"/>
    <n v="29.53"/>
    <n v="24815.09"/>
    <n v="20179.09"/>
    <n v="4.3526941328731663"/>
    <n v="5.35"/>
    <s v="High"/>
    <s v="Valid"/>
  </r>
  <r>
    <x v="125"/>
    <x v="10"/>
    <s v="Meta Ads"/>
    <x v="0"/>
    <s v="E-commerce"/>
    <x v="5"/>
    <n v="22543"/>
    <n v="333"/>
    <n v="1.4800000000000001E-2"/>
    <n v="1.49"/>
    <n v="496.17"/>
    <n v="12"/>
    <n v="41.35"/>
    <n v="642.17999999999995"/>
    <n v="146.00999999999993"/>
    <n v="0.29427413991172369"/>
    <n v="1.29"/>
    <s v="Medium"/>
    <s v="Valid"/>
  </r>
  <r>
    <x v="66"/>
    <x v="2"/>
    <s v="Meta Ads"/>
    <x v="2"/>
    <s v="Healthcare"/>
    <x v="4"/>
    <n v="119598"/>
    <n v="1064"/>
    <n v="8.8999999999999999E-3"/>
    <n v="2"/>
    <n v="2128"/>
    <n v="64"/>
    <n v="33.25"/>
    <n v="17165.43"/>
    <n v="15037.43"/>
    <n v="7.0664614661654133"/>
    <n v="8.07"/>
    <s v="High"/>
    <s v="Valid"/>
  </r>
  <r>
    <x v="126"/>
    <x v="4"/>
    <s v="Meta Ads"/>
    <x v="0"/>
    <s v="EdTech"/>
    <x v="0"/>
    <n v="158504"/>
    <n v="4897"/>
    <n v="3.09E-2"/>
    <n v="0.43"/>
    <n v="2105.71"/>
    <n v="255"/>
    <n v="8.26"/>
    <n v="54921.72"/>
    <n v="52816.01"/>
    <n v="25.082281035850141"/>
    <n v="26.08"/>
    <s v="High"/>
    <s v="Valid"/>
  </r>
  <r>
    <x v="127"/>
    <x v="11"/>
    <s v="Google Ads"/>
    <x v="3"/>
    <s v="E-commerce"/>
    <x v="6"/>
    <n v="39542"/>
    <n v="1209"/>
    <n v="3.0599999999999999E-2"/>
    <n v="1.85"/>
    <n v="2236.65"/>
    <n v="42"/>
    <n v="53.25"/>
    <n v="7992.11"/>
    <n v="5755.4599999999991"/>
    <n v="2.5732501732501727"/>
    <n v="3.57"/>
    <s v="High"/>
    <s v="Valid"/>
  </r>
  <r>
    <x v="128"/>
    <x v="10"/>
    <s v="Google Ads"/>
    <x v="3"/>
    <s v="Fintech"/>
    <x v="5"/>
    <n v="110848"/>
    <n v="3181"/>
    <n v="2.87E-2"/>
    <n v="2.4500000000000002"/>
    <n v="7793.45"/>
    <n v="186"/>
    <n v="41.9"/>
    <n v="32321.78"/>
    <n v="24528.329999999998"/>
    <n v="3.1473006178265082"/>
    <n v="4.1500000000000004"/>
    <s v="High"/>
    <s v="Valid"/>
  </r>
  <r>
    <x v="129"/>
    <x v="9"/>
    <s v="Meta Ads"/>
    <x v="1"/>
    <s v="Healthcare"/>
    <x v="6"/>
    <n v="79964"/>
    <n v="1487"/>
    <n v="1.8599999999999998E-2"/>
    <n v="1.07"/>
    <n v="1591.09"/>
    <n v="22"/>
    <n v="72.319999999999993"/>
    <n v="3882.65"/>
    <n v="2291.5600000000004"/>
    <n v="1.4402453663840515"/>
    <n v="2.44"/>
    <s v="Medium"/>
    <s v="Valid"/>
  </r>
  <r>
    <x v="130"/>
    <x v="9"/>
    <s v="TikTok Ads"/>
    <x v="3"/>
    <s v="EdTech"/>
    <x v="3"/>
    <n v="105127"/>
    <n v="7747"/>
    <n v="7.3700000000000002E-2"/>
    <n v="0.88"/>
    <n v="6817.36"/>
    <n v="460"/>
    <n v="14.82"/>
    <n v="99299.9"/>
    <n v="92482.54"/>
    <n v="13.565740990647406"/>
    <n v="14.57"/>
    <s v="High"/>
    <s v="Valid"/>
  </r>
  <r>
    <x v="79"/>
    <x v="0"/>
    <s v="Google Ads"/>
    <x v="2"/>
    <s v="EdTech"/>
    <x v="0"/>
    <n v="73803"/>
    <n v="1505"/>
    <n v="2.0400000000000001E-2"/>
    <n v="2.12"/>
    <n v="3190.6"/>
    <n v="98"/>
    <n v="32.56"/>
    <n v="18709.86"/>
    <n v="15519.26"/>
    <n v="4.864056917194258"/>
    <n v="5.86"/>
    <s v="High"/>
    <s v="Valid"/>
  </r>
  <r>
    <x v="69"/>
    <x v="1"/>
    <s v="Google Ads"/>
    <x v="2"/>
    <s v="Healthcare"/>
    <x v="1"/>
    <n v="96575"/>
    <n v="4925"/>
    <n v="5.0999999999999997E-2"/>
    <n v="2.4"/>
    <n v="11820"/>
    <n v="181"/>
    <n v="65.3"/>
    <n v="7335.74"/>
    <n v="-4484.26"/>
    <n v="-0.37937901861252116"/>
    <n v="0.62"/>
    <s v="Low"/>
    <s v="Valid"/>
  </r>
  <r>
    <x v="50"/>
    <x v="2"/>
    <s v="Google Ads"/>
    <x v="2"/>
    <s v="Fintech"/>
    <x v="1"/>
    <n v="162489"/>
    <n v="4500"/>
    <n v="2.7699999999999999E-2"/>
    <n v="3.03"/>
    <n v="13635"/>
    <n v="184"/>
    <n v="74.099999999999994"/>
    <n v="54944.54"/>
    <n v="41309.54"/>
    <n v="3.0296692335900257"/>
    <n v="4.03"/>
    <s v="High"/>
    <s v="Valid"/>
  </r>
  <r>
    <x v="131"/>
    <x v="8"/>
    <s v="Meta Ads"/>
    <x v="0"/>
    <s v="Healthcare"/>
    <x v="4"/>
    <n v="76155"/>
    <n v="3548"/>
    <n v="4.6600000000000003E-2"/>
    <n v="1.25"/>
    <n v="4435"/>
    <n v="243"/>
    <n v="18.25"/>
    <n v="30659.34"/>
    <n v="26224.34"/>
    <n v="5.9130417136414879"/>
    <n v="6.91"/>
    <s v="High"/>
    <s v="Valid"/>
  </r>
  <r>
    <x v="132"/>
    <x v="9"/>
    <s v="TikTok Ads"/>
    <x v="0"/>
    <s v="Fintech"/>
    <x v="1"/>
    <n v="180021"/>
    <n v="13105"/>
    <n v="7.2800000000000004E-2"/>
    <n v="1.61"/>
    <n v="21099.05"/>
    <n v="880"/>
    <n v="23.98"/>
    <n v="75656.62"/>
    <n v="54557.569999999992"/>
    <n v="2.5857832461651116"/>
    <n v="3.59"/>
    <s v="High"/>
    <s v="Valid"/>
  </r>
  <r>
    <x v="133"/>
    <x v="5"/>
    <s v="TikTok Ads"/>
    <x v="1"/>
    <s v="EdTech"/>
    <x v="1"/>
    <n v="79965"/>
    <n v="3070"/>
    <n v="3.8399999999999997E-2"/>
    <n v="1.02"/>
    <n v="3131.4"/>
    <n v="237"/>
    <n v="13.21"/>
    <n v="65306"/>
    <n v="62174.6"/>
    <n v="19.855208532924568"/>
    <n v="20.86"/>
    <s v="High"/>
    <s v="Valid"/>
  </r>
  <r>
    <x v="61"/>
    <x v="8"/>
    <s v="Meta Ads"/>
    <x v="0"/>
    <s v="EdTech"/>
    <x v="5"/>
    <n v="49789"/>
    <n v="622"/>
    <n v="1.2500000000000001E-2"/>
    <n v="2.08"/>
    <n v="1293.76"/>
    <n v="48"/>
    <n v="26.95"/>
    <n v="7704.96"/>
    <n v="6411.2"/>
    <n v="4.9554786049962898"/>
    <n v="5.96"/>
    <s v="High"/>
    <s v="Valid"/>
  </r>
  <r>
    <x v="88"/>
    <x v="5"/>
    <s v="TikTok Ads"/>
    <x v="1"/>
    <s v="SaaS"/>
    <x v="3"/>
    <n v="195026"/>
    <n v="9653"/>
    <n v="4.9500000000000002E-2"/>
    <n v="1.83"/>
    <n v="17664.990000000002"/>
    <n v="371"/>
    <n v="47.61"/>
    <n v="94022.57"/>
    <n v="76357.58"/>
    <n v="4.3225374030780657"/>
    <n v="5.32"/>
    <s v="High"/>
    <s v="Valid"/>
  </r>
  <r>
    <x v="103"/>
    <x v="2"/>
    <s v="TikTok Ads"/>
    <x v="2"/>
    <s v="Healthcare"/>
    <x v="4"/>
    <n v="130438"/>
    <n v="7721"/>
    <n v="5.9200000000000003E-2"/>
    <n v="1.6"/>
    <n v="12353.6"/>
    <n v="353"/>
    <n v="35"/>
    <n v="70310.53"/>
    <n v="57956.93"/>
    <n v="4.6915012627897941"/>
    <n v="5.69"/>
    <s v="High"/>
    <s v="Valid"/>
  </r>
  <r>
    <x v="20"/>
    <x v="9"/>
    <s v="TikTok Ads"/>
    <x v="2"/>
    <s v="SaaS"/>
    <x v="5"/>
    <n v="141917"/>
    <n v="4796"/>
    <n v="3.3799999999999997E-2"/>
    <n v="0.66"/>
    <n v="3165.36"/>
    <n v="369"/>
    <n v="8.58"/>
    <n v="11953.05"/>
    <n v="8787.6899999999987"/>
    <n v="2.7762055500796112"/>
    <n v="3.78"/>
    <s v="High"/>
    <s v="Valid"/>
  </r>
  <r>
    <x v="134"/>
    <x v="6"/>
    <s v="TikTok Ads"/>
    <x v="2"/>
    <s v="SaaS"/>
    <x v="2"/>
    <n v="146958"/>
    <n v="7494"/>
    <n v="5.0999999999999997E-2"/>
    <n v="1.68"/>
    <n v="12589.92"/>
    <n v="538"/>
    <n v="23.4"/>
    <n v="117826.98"/>
    <n v="105237.06"/>
    <n v="8.3588346867970564"/>
    <n v="9.36"/>
    <s v="High"/>
    <s v="Valid"/>
  </r>
  <r>
    <x v="135"/>
    <x v="7"/>
    <s v="Google Ads"/>
    <x v="1"/>
    <s v="E-commerce"/>
    <x v="1"/>
    <n v="13605"/>
    <n v="300"/>
    <n v="2.2100000000000002E-2"/>
    <n v="2.08"/>
    <n v="624"/>
    <n v="21"/>
    <n v="29.71"/>
    <n v="4495.51"/>
    <n v="3871.51"/>
    <n v="6.2043429487179491"/>
    <n v="7.2"/>
    <s v="High"/>
    <s v="Valid"/>
  </r>
  <r>
    <x v="26"/>
    <x v="8"/>
    <s v="Google Ads"/>
    <x v="3"/>
    <s v="SaaS"/>
    <x v="3"/>
    <n v="116041"/>
    <n v="6428"/>
    <n v="5.5399999999999998E-2"/>
    <n v="1.75"/>
    <n v="11249"/>
    <n v="74"/>
    <n v="152.01"/>
    <n v="13873.48"/>
    <n v="2624.4799999999996"/>
    <n v="0.2333078495866299"/>
    <n v="1.23"/>
    <s v="Medium"/>
    <s v="Valid"/>
  </r>
  <r>
    <x v="136"/>
    <x v="7"/>
    <s v="TikTok Ads"/>
    <x v="0"/>
    <s v="E-commerce"/>
    <x v="5"/>
    <n v="170396"/>
    <n v="10138"/>
    <n v="5.9499999999999997E-2"/>
    <n v="1.08"/>
    <n v="10949.04"/>
    <n v="494"/>
    <n v="22.16"/>
    <n v="99795.18"/>
    <n v="88846.139999999985"/>
    <n v="8.1145141491856805"/>
    <n v="9.11"/>
    <s v="High"/>
    <s v="Valid"/>
  </r>
  <r>
    <x v="4"/>
    <x v="2"/>
    <s v="Meta Ads"/>
    <x v="3"/>
    <s v="EdTech"/>
    <x v="5"/>
    <n v="19743"/>
    <n v="619"/>
    <n v="3.1399999999999997E-2"/>
    <n v="1.25"/>
    <n v="773.75"/>
    <n v="41"/>
    <n v="18.87"/>
    <n v="9219.4599999999991"/>
    <n v="8445.7099999999991"/>
    <n v="10.915295638126009"/>
    <n v="11.92"/>
    <s v="High"/>
    <s v="Valid"/>
  </r>
  <r>
    <x v="137"/>
    <x v="4"/>
    <s v="Google Ads"/>
    <x v="0"/>
    <s v="E-commerce"/>
    <x v="6"/>
    <n v="94081"/>
    <n v="5588"/>
    <n v="5.9400000000000001E-2"/>
    <n v="2.69"/>
    <n v="15031.72"/>
    <n v="88"/>
    <n v="170.81"/>
    <n v="24757.88"/>
    <n v="9726.1600000000017"/>
    <n v="0.64704238769748257"/>
    <n v="1.65"/>
    <s v="Medium"/>
    <s v="Valid"/>
  </r>
  <r>
    <x v="138"/>
    <x v="1"/>
    <s v="TikTok Ads"/>
    <x v="1"/>
    <s v="Fintech"/>
    <x v="2"/>
    <n v="141643"/>
    <n v="8526"/>
    <n v="6.0199999999999997E-2"/>
    <n v="0.46"/>
    <n v="3921.96"/>
    <n v="379"/>
    <n v="10.35"/>
    <n v="51038.1"/>
    <n v="47116.14"/>
    <n v="12.013416761007251"/>
    <n v="13.01"/>
    <s v="High"/>
    <s v="Valid"/>
  </r>
  <r>
    <x v="139"/>
    <x v="0"/>
    <s v="Meta Ads"/>
    <x v="2"/>
    <s v="SaaS"/>
    <x v="6"/>
    <n v="90716"/>
    <n v="3002"/>
    <n v="3.3099999999999997E-2"/>
    <n v="1.47"/>
    <n v="4412.9399999999996"/>
    <n v="194"/>
    <n v="22.75"/>
    <n v="39560.54"/>
    <n v="35147.599999999999"/>
    <n v="7.9646675458991059"/>
    <n v="8.9600000000000009"/>
    <s v="High"/>
    <s v="Valid"/>
  </r>
  <r>
    <x v="140"/>
    <x v="9"/>
    <s v="Google Ads"/>
    <x v="0"/>
    <s v="EdTech"/>
    <x v="2"/>
    <n v="72055"/>
    <n v="1678"/>
    <n v="2.3300000000000001E-2"/>
    <n v="3.17"/>
    <n v="5319.26"/>
    <n v="41"/>
    <n v="129.74"/>
    <n v="8506.9"/>
    <n v="3187.6399999999994"/>
    <n v="0.59926380737170193"/>
    <n v="1.6"/>
    <s v="Medium"/>
    <s v="Valid"/>
  </r>
  <r>
    <x v="141"/>
    <x v="5"/>
    <s v="Meta Ads"/>
    <x v="2"/>
    <s v="E-commerce"/>
    <x v="3"/>
    <n v="112692"/>
    <n v="2096"/>
    <n v="1.8599999999999998E-2"/>
    <n v="2.27"/>
    <n v="4757.92"/>
    <n v="89"/>
    <n v="53.46"/>
    <n v="16587.580000000002"/>
    <n v="11829.660000000002"/>
    <n v="2.4863091434912739"/>
    <n v="3.49"/>
    <s v="High"/>
    <s v="Valid"/>
  </r>
  <r>
    <x v="142"/>
    <x v="6"/>
    <s v="Google Ads"/>
    <x v="1"/>
    <s v="Fintech"/>
    <x v="0"/>
    <n v="31672"/>
    <n v="877"/>
    <n v="2.7699999999999999E-2"/>
    <n v="0.72"/>
    <n v="631.44000000000005"/>
    <n v="16"/>
    <n v="39.47"/>
    <n v="2266.94"/>
    <n v="1635.5"/>
    <n v="2.5901114911947292"/>
    <n v="3.59"/>
    <s v="High"/>
    <s v="Valid"/>
  </r>
  <r>
    <x v="52"/>
    <x v="1"/>
    <s v="Meta Ads"/>
    <x v="1"/>
    <s v="E-commerce"/>
    <x v="3"/>
    <n v="59131"/>
    <n v="1425"/>
    <n v="2.41E-2"/>
    <n v="1.04"/>
    <n v="1482"/>
    <n v="66"/>
    <n v="22.45"/>
    <n v="19372.57"/>
    <n v="17890.57"/>
    <n v="12.071909581646423"/>
    <n v="13.07"/>
    <s v="High"/>
    <s v="Valid"/>
  </r>
  <r>
    <x v="54"/>
    <x v="1"/>
    <s v="Google Ads"/>
    <x v="0"/>
    <s v="SaaS"/>
    <x v="4"/>
    <n v="119397"/>
    <n v="3868"/>
    <n v="3.2399999999999998E-2"/>
    <n v="1.8"/>
    <n v="6962.4"/>
    <n v="193"/>
    <n v="36.07"/>
    <n v="35393.300000000003"/>
    <n v="28430.9"/>
    <n v="4.0834913248305185"/>
    <n v="5.08"/>
    <s v="High"/>
    <s v="Valid"/>
  </r>
  <r>
    <x v="143"/>
    <x v="6"/>
    <s v="Meta Ads"/>
    <x v="0"/>
    <s v="EdTech"/>
    <x v="6"/>
    <n v="157008"/>
    <n v="5024"/>
    <n v="3.2000000000000001E-2"/>
    <n v="0.72"/>
    <n v="3617.28"/>
    <n v="379"/>
    <n v="9.5399999999999991"/>
    <n v="73104.850000000006"/>
    <n v="69487.570000000007"/>
    <n v="19.209895280431706"/>
    <n v="20.21"/>
    <s v="High"/>
    <s v="Valid"/>
  </r>
  <r>
    <x v="144"/>
    <x v="0"/>
    <s v="Meta Ads"/>
    <x v="2"/>
    <s v="EdTech"/>
    <x v="1"/>
    <n v="117217"/>
    <n v="2133"/>
    <n v="1.8200000000000001E-2"/>
    <n v="1.29"/>
    <n v="2751.57"/>
    <n v="129"/>
    <n v="21.33"/>
    <n v="25455.360000000001"/>
    <n v="22703.79"/>
    <n v="8.2512129438829458"/>
    <n v="9.25"/>
    <s v="High"/>
    <s v="Valid"/>
  </r>
  <r>
    <x v="145"/>
    <x v="3"/>
    <s v="TikTok Ads"/>
    <x v="0"/>
    <s v="SaaS"/>
    <x v="4"/>
    <n v="111956"/>
    <n v="5911"/>
    <n v="5.28E-2"/>
    <n v="1.57"/>
    <n v="9280.27"/>
    <n v="253"/>
    <n v="36.68"/>
    <n v="68395.539999999994"/>
    <n v="59115.26999999999"/>
    <n v="6.3699946230012694"/>
    <n v="7.37"/>
    <s v="High"/>
    <s v="Valid"/>
  </r>
  <r>
    <x v="33"/>
    <x v="0"/>
    <s v="Meta Ads"/>
    <x v="3"/>
    <s v="SaaS"/>
    <x v="2"/>
    <n v="10939"/>
    <n v="113"/>
    <n v="1.04E-2"/>
    <n v="1.18"/>
    <n v="133.34"/>
    <n v="6"/>
    <n v="22.22"/>
    <n v="1684.43"/>
    <n v="1551.0900000000001"/>
    <n v="11.632593370331485"/>
    <n v="12.63"/>
    <s v="High"/>
    <s v="Valid"/>
  </r>
  <r>
    <x v="42"/>
    <x v="4"/>
    <s v="TikTok Ads"/>
    <x v="3"/>
    <s v="SaaS"/>
    <x v="5"/>
    <n v="72293"/>
    <n v="4532"/>
    <n v="6.2700000000000006E-2"/>
    <n v="1.81"/>
    <n v="8202.92"/>
    <n v="169"/>
    <n v="48.54"/>
    <n v="35145.360000000001"/>
    <n v="26942.440000000002"/>
    <n v="3.2844938143978002"/>
    <n v="4.28"/>
    <s v="High"/>
    <s v="Valid"/>
  </r>
  <r>
    <x v="103"/>
    <x v="2"/>
    <s v="Google Ads"/>
    <x v="2"/>
    <s v="Fintech"/>
    <x v="3"/>
    <n v="78402"/>
    <n v="4531"/>
    <n v="5.7799999999999997E-2"/>
    <n v="2.75"/>
    <n v="12460.25"/>
    <n v="105"/>
    <n v="118.67"/>
    <n v="25620.07"/>
    <n v="13159.82"/>
    <n v="1.0561441383599848"/>
    <n v="2.06"/>
    <s v="Medium"/>
    <s v="Valid"/>
  </r>
  <r>
    <x v="146"/>
    <x v="3"/>
    <s v="TikTok Ads"/>
    <x v="3"/>
    <s v="E-commerce"/>
    <x v="4"/>
    <n v="160892"/>
    <n v="9122"/>
    <n v="5.67E-2"/>
    <n v="0.64"/>
    <n v="5838.08"/>
    <n v="590"/>
    <n v="9.9"/>
    <n v="170654.73"/>
    <n v="164816.65000000002"/>
    <n v="28.231310636373607"/>
    <n v="29.23"/>
    <s v="High"/>
    <s v="Valid"/>
  </r>
  <r>
    <x v="147"/>
    <x v="11"/>
    <s v="TikTok Ads"/>
    <x v="0"/>
    <s v="EdTech"/>
    <x v="2"/>
    <n v="154092"/>
    <n v="8860"/>
    <n v="5.7500000000000002E-2"/>
    <n v="1.17"/>
    <n v="10366.200000000001"/>
    <n v="246"/>
    <n v="42.14"/>
    <n v="23706.53"/>
    <n v="13340.329999999998"/>
    <n v="1.2869064845362812"/>
    <n v="2.29"/>
    <s v="Medium"/>
    <s v="Valid"/>
  </r>
  <r>
    <x v="108"/>
    <x v="0"/>
    <s v="Meta Ads"/>
    <x v="2"/>
    <s v="Healthcare"/>
    <x v="0"/>
    <n v="73323"/>
    <n v="1928"/>
    <n v="2.63E-2"/>
    <n v="1.71"/>
    <n v="3296.88"/>
    <n v="121"/>
    <n v="27.25"/>
    <n v="33634.99"/>
    <n v="30338.109999999997"/>
    <n v="9.2020668025527161"/>
    <n v="10.199999999999999"/>
    <s v="High"/>
    <s v="Valid"/>
  </r>
  <r>
    <x v="148"/>
    <x v="0"/>
    <s v="TikTok Ads"/>
    <x v="1"/>
    <s v="SaaS"/>
    <x v="5"/>
    <n v="58521"/>
    <n v="3318"/>
    <n v="5.67E-2"/>
    <n v="1.85"/>
    <n v="6138.3"/>
    <n v="39"/>
    <n v="157.38999999999999"/>
    <n v="10013.26"/>
    <n v="3874.96"/>
    <n v="0.63127576038968447"/>
    <n v="1.63"/>
    <s v="Medium"/>
    <s v="Valid"/>
  </r>
  <r>
    <x v="149"/>
    <x v="3"/>
    <s v="TikTok Ads"/>
    <x v="0"/>
    <s v="SaaS"/>
    <x v="2"/>
    <n v="48361"/>
    <n v="2713"/>
    <n v="5.6099999999999997E-2"/>
    <n v="0.87"/>
    <n v="2360.31"/>
    <n v="54"/>
    <n v="43.71"/>
    <n v="7890.9"/>
    <n v="5530.59"/>
    <n v="2.3431625506819023"/>
    <n v="3.34"/>
    <s v="High"/>
    <s v="Valid"/>
  </r>
  <r>
    <x v="150"/>
    <x v="8"/>
    <s v="TikTok Ads"/>
    <x v="3"/>
    <s v="Healthcare"/>
    <x v="0"/>
    <n v="179870"/>
    <n v="7500"/>
    <n v="4.1700000000000001E-2"/>
    <n v="1.44"/>
    <n v="10800"/>
    <n v="112"/>
    <n v="96.43"/>
    <n v="5446.79"/>
    <n v="-5353.21"/>
    <n v="-0.49566759259259258"/>
    <n v="0.5"/>
    <s v="Low"/>
    <s v="Valid"/>
  </r>
  <r>
    <x v="151"/>
    <x v="3"/>
    <s v="TikTok Ads"/>
    <x v="0"/>
    <s v="E-commerce"/>
    <x v="4"/>
    <n v="114850"/>
    <n v="8234"/>
    <n v="7.17E-2"/>
    <n v="1.63"/>
    <n v="13421.42"/>
    <n v="245"/>
    <n v="54.78"/>
    <n v="35478.839999999997"/>
    <n v="22057.42"/>
    <n v="1.643449053825899"/>
    <n v="2.64"/>
    <s v="Medium"/>
    <s v="Valid"/>
  </r>
  <r>
    <x v="152"/>
    <x v="1"/>
    <s v="Google Ads"/>
    <x v="3"/>
    <s v="Healthcare"/>
    <x v="5"/>
    <n v="54976"/>
    <n v="2611"/>
    <n v="4.7500000000000001E-2"/>
    <n v="1.32"/>
    <n v="3446.52"/>
    <n v="187"/>
    <n v="18.43"/>
    <n v="8230.48"/>
    <n v="4783.9599999999991"/>
    <n v="1.388055197706672"/>
    <n v="2.39"/>
    <s v="Medium"/>
    <s v="Valid"/>
  </r>
  <r>
    <x v="153"/>
    <x v="4"/>
    <s v="Google Ads"/>
    <x v="2"/>
    <s v="Fintech"/>
    <x v="6"/>
    <n v="162636"/>
    <n v="9237"/>
    <n v="5.6800000000000003E-2"/>
    <n v="1.41"/>
    <n v="13024.17"/>
    <n v="738"/>
    <n v="17.649999999999999"/>
    <n v="102989.98"/>
    <n v="89965.81"/>
    <n v="6.9076040930055429"/>
    <n v="7.91"/>
    <s v="High"/>
    <s v="Valid"/>
  </r>
  <r>
    <x v="61"/>
    <x v="8"/>
    <s v="Google Ads"/>
    <x v="3"/>
    <s v="Healthcare"/>
    <x v="5"/>
    <n v="23375"/>
    <n v="1175"/>
    <n v="5.0299999999999997E-2"/>
    <n v="1.42"/>
    <n v="1668.5"/>
    <n v="15"/>
    <n v="111.23"/>
    <n v="1524.57"/>
    <n v="-143.93000000000006"/>
    <n v="-8.6263110578363833E-2"/>
    <n v="0.91"/>
    <s v="Low"/>
    <s v="Valid"/>
  </r>
  <r>
    <x v="129"/>
    <x v="9"/>
    <s v="Meta Ads"/>
    <x v="2"/>
    <s v="E-commerce"/>
    <x v="4"/>
    <n v="167917"/>
    <n v="6246"/>
    <n v="3.7199999999999997E-2"/>
    <n v="0.6"/>
    <n v="3747.6"/>
    <n v="413"/>
    <n v="9.07"/>
    <n v="25997.62"/>
    <n v="22250.02"/>
    <n v="5.9371384352652363"/>
    <n v="6.94"/>
    <s v="High"/>
    <s v="Valid"/>
  </r>
  <r>
    <x v="154"/>
    <x v="7"/>
    <s v="Google Ads"/>
    <x v="0"/>
    <s v="E-commerce"/>
    <x v="2"/>
    <n v="71216"/>
    <n v="2357"/>
    <n v="3.3099999999999997E-2"/>
    <n v="3.17"/>
    <n v="7471.69"/>
    <n v="179"/>
    <n v="41.74"/>
    <n v="29354.19"/>
    <n v="21882.5"/>
    <n v="2.9287216145209451"/>
    <n v="3.93"/>
    <s v="High"/>
    <s v="Valid"/>
  </r>
  <r>
    <x v="46"/>
    <x v="9"/>
    <s v="Google Ads"/>
    <x v="1"/>
    <s v="EdTech"/>
    <x v="3"/>
    <n v="29618"/>
    <n v="1883"/>
    <n v="6.3600000000000004E-2"/>
    <n v="2.17"/>
    <n v="4086.11"/>
    <n v="90"/>
    <n v="45.4"/>
    <n v="26198.959999999999"/>
    <n v="22112.85"/>
    <n v="5.4117118726612841"/>
    <n v="6.41"/>
    <s v="High"/>
    <s v="Valid"/>
  </r>
  <r>
    <x v="86"/>
    <x v="9"/>
    <s v="Google Ads"/>
    <x v="0"/>
    <s v="Healthcare"/>
    <x v="4"/>
    <n v="136461"/>
    <n v="3984"/>
    <n v="2.92E-2"/>
    <n v="1.49"/>
    <n v="5936.16"/>
    <n v="214"/>
    <n v="27.74"/>
    <n v="24710.240000000002"/>
    <n v="18774.080000000002"/>
    <n v="3.1626640791353338"/>
    <n v="4.16"/>
    <s v="High"/>
    <s v="Valid"/>
  </r>
  <r>
    <x v="155"/>
    <x v="10"/>
    <s v="TikTok Ads"/>
    <x v="0"/>
    <s v="Healthcare"/>
    <x v="6"/>
    <n v="132426"/>
    <n v="7309"/>
    <n v="5.5199999999999999E-2"/>
    <n v="0.32"/>
    <n v="2338.88"/>
    <n v="171"/>
    <n v="13.68"/>
    <n v="24136.13"/>
    <n v="21797.25"/>
    <n v="9.3195247297851953"/>
    <n v="10.32"/>
    <s v="High"/>
    <s v="Valid"/>
  </r>
  <r>
    <x v="45"/>
    <x v="6"/>
    <s v="TikTok Ads"/>
    <x v="0"/>
    <s v="E-commerce"/>
    <x v="3"/>
    <n v="159692"/>
    <n v="6882"/>
    <n v="4.3099999999999999E-2"/>
    <n v="0.37"/>
    <n v="2546.34"/>
    <n v="523"/>
    <n v="4.87"/>
    <n v="106309.31"/>
    <n v="103762.97"/>
    <n v="40.749848802595096"/>
    <n v="41.75"/>
    <s v="High"/>
    <s v="Valid"/>
  </r>
  <r>
    <x v="156"/>
    <x v="7"/>
    <s v="Meta Ads"/>
    <x v="1"/>
    <s v="Fintech"/>
    <x v="5"/>
    <n v="27931"/>
    <n v="608"/>
    <n v="2.18E-2"/>
    <n v="1.52"/>
    <n v="924.16"/>
    <n v="10"/>
    <n v="92.42"/>
    <n v="1389.72"/>
    <n v="465.56000000000006"/>
    <n v="0.50376558171745156"/>
    <n v="1.5"/>
    <s v="Medium"/>
    <s v="Valid"/>
  </r>
  <r>
    <x v="157"/>
    <x v="4"/>
    <s v="Meta Ads"/>
    <x v="3"/>
    <s v="EdTech"/>
    <x v="2"/>
    <n v="131155"/>
    <n v="4052"/>
    <n v="3.09E-2"/>
    <n v="1.24"/>
    <n v="5024.4799999999996"/>
    <n v="209"/>
    <n v="24.04"/>
    <n v="15982.2"/>
    <n v="10957.720000000001"/>
    <n v="2.1808664777250586"/>
    <n v="3.18"/>
    <s v="High"/>
    <s v="Valid"/>
  </r>
  <r>
    <x v="158"/>
    <x v="8"/>
    <s v="TikTok Ads"/>
    <x v="2"/>
    <s v="Fintech"/>
    <x v="2"/>
    <n v="66842"/>
    <n v="2339"/>
    <n v="3.5000000000000003E-2"/>
    <n v="1.4"/>
    <n v="3274.6"/>
    <n v="123"/>
    <n v="26.62"/>
    <n v="14081.65"/>
    <n v="10807.05"/>
    <n v="3.3002656813045865"/>
    <n v="4.3"/>
    <s v="High"/>
    <s v="Valid"/>
  </r>
  <r>
    <x v="159"/>
    <x v="11"/>
    <s v="Google Ads"/>
    <x v="2"/>
    <s v="SaaS"/>
    <x v="0"/>
    <n v="7642"/>
    <n v="202"/>
    <n v="2.6499999999999999E-2"/>
    <n v="3.38"/>
    <n v="682.76"/>
    <n v="11"/>
    <n v="62.07"/>
    <n v="1542.21"/>
    <n v="859.45"/>
    <n v="1.2587878610346244"/>
    <n v="2.2599999999999998"/>
    <s v="Medium"/>
    <s v="Valid"/>
  </r>
  <r>
    <x v="160"/>
    <x v="1"/>
    <s v="Google Ads"/>
    <x v="2"/>
    <s v="E-commerce"/>
    <x v="2"/>
    <n v="70618"/>
    <n v="3601"/>
    <n v="5.0999999999999997E-2"/>
    <n v="2.23"/>
    <n v="8030.23"/>
    <n v="145"/>
    <n v="55.38"/>
    <n v="7976.29"/>
    <n v="-53.9399999999996"/>
    <n v="-6.7171176915231078E-3"/>
    <n v="0.99"/>
    <s v="Low"/>
    <s v="Valid"/>
  </r>
  <r>
    <x v="73"/>
    <x v="7"/>
    <s v="Meta Ads"/>
    <x v="1"/>
    <s v="E-commerce"/>
    <x v="3"/>
    <n v="74212"/>
    <n v="1528"/>
    <n v="2.06E-2"/>
    <n v="1.46"/>
    <n v="2230.88"/>
    <n v="85"/>
    <n v="26.25"/>
    <n v="21331.58"/>
    <n v="19100.7"/>
    <n v="8.5619576131392101"/>
    <n v="9.56"/>
    <s v="High"/>
    <s v="Valid"/>
  </r>
  <r>
    <x v="161"/>
    <x v="11"/>
    <s v="Google Ads"/>
    <x v="2"/>
    <s v="E-commerce"/>
    <x v="2"/>
    <n v="10039"/>
    <n v="501"/>
    <n v="0.05"/>
    <n v="2.29"/>
    <n v="1147.29"/>
    <n v="36"/>
    <n v="31.87"/>
    <n v="4805.5200000000004"/>
    <n v="3658.2300000000005"/>
    <n v="3.1885835316267035"/>
    <n v="4.1900000000000004"/>
    <s v="High"/>
    <s v="Valid"/>
  </r>
  <r>
    <x v="162"/>
    <x v="9"/>
    <s v="Meta Ads"/>
    <x v="1"/>
    <s v="Healthcare"/>
    <x v="5"/>
    <n v="102088"/>
    <n v="4481"/>
    <n v="4.3900000000000002E-2"/>
    <n v="0.73"/>
    <n v="3271.13"/>
    <n v="316"/>
    <n v="10.35"/>
    <n v="87569.74"/>
    <n v="84298.61"/>
    <n v="25.770486039992296"/>
    <n v="26.77"/>
    <s v="High"/>
    <s v="Valid"/>
  </r>
  <r>
    <x v="163"/>
    <x v="7"/>
    <s v="TikTok Ads"/>
    <x v="3"/>
    <s v="Fintech"/>
    <x v="0"/>
    <n v="25025"/>
    <n v="1256"/>
    <n v="5.0200000000000002E-2"/>
    <n v="0.43"/>
    <n v="540.08000000000004"/>
    <n v="38"/>
    <n v="14.21"/>
    <n v="5694.61"/>
    <n v="5154.53"/>
    <n v="9.5440119982224836"/>
    <n v="10.54"/>
    <s v="High"/>
    <s v="Valid"/>
  </r>
  <r>
    <x v="164"/>
    <x v="6"/>
    <s v="Google Ads"/>
    <x v="2"/>
    <s v="Healthcare"/>
    <x v="4"/>
    <n v="36707"/>
    <n v="943"/>
    <n v="2.5700000000000001E-2"/>
    <n v="1.31"/>
    <n v="1235.33"/>
    <n v="21"/>
    <n v="58.83"/>
    <n v="4396.12"/>
    <n v="3160.79"/>
    <n v="2.5586604389110605"/>
    <n v="3.56"/>
    <s v="High"/>
    <s v="Valid"/>
  </r>
  <r>
    <x v="165"/>
    <x v="3"/>
    <s v="TikTok Ads"/>
    <x v="0"/>
    <s v="EdTech"/>
    <x v="4"/>
    <n v="17356"/>
    <n v="925"/>
    <n v="5.33E-2"/>
    <n v="0.46"/>
    <n v="425.5"/>
    <n v="62"/>
    <n v="6.86"/>
    <n v="5476.85"/>
    <n v="5051.3500000000004"/>
    <n v="11.871562867215042"/>
    <n v="12.87"/>
    <s v="High"/>
    <s v="Valid"/>
  </r>
  <r>
    <x v="166"/>
    <x v="1"/>
    <s v="TikTok Ads"/>
    <x v="0"/>
    <s v="EdTech"/>
    <x v="5"/>
    <n v="86257"/>
    <n v="4597"/>
    <n v="5.33E-2"/>
    <n v="0.83"/>
    <n v="3815.51"/>
    <n v="301"/>
    <n v="12.68"/>
    <n v="80903.28"/>
    <n v="77087.77"/>
    <n v="20.203791891516467"/>
    <n v="21.2"/>
    <s v="High"/>
    <s v="Valid"/>
  </r>
  <r>
    <x v="142"/>
    <x v="6"/>
    <s v="Google Ads"/>
    <x v="2"/>
    <s v="Fintech"/>
    <x v="5"/>
    <n v="32518"/>
    <n v="1258"/>
    <n v="3.8699999999999998E-2"/>
    <n v="2.41"/>
    <n v="3031.78"/>
    <n v="12"/>
    <n v="252.65"/>
    <n v="2688.72"/>
    <n v="-343.0600000000004"/>
    <n v="-0.11315464842435809"/>
    <n v="0.89"/>
    <s v="Low"/>
    <s v="Valid"/>
  </r>
  <r>
    <x v="167"/>
    <x v="10"/>
    <s v="Meta Ads"/>
    <x v="3"/>
    <s v="E-commerce"/>
    <x v="5"/>
    <n v="75269"/>
    <n v="2604"/>
    <n v="3.4599999999999999E-2"/>
    <n v="0.83"/>
    <n v="2161.3200000000002"/>
    <n v="70"/>
    <n v="30.88"/>
    <n v="3191.14"/>
    <n v="1029.8199999999997"/>
    <n v="0.47647733792312086"/>
    <n v="1.48"/>
    <s v="Medium"/>
    <s v="Valid"/>
  </r>
  <r>
    <x v="51"/>
    <x v="8"/>
    <s v="Google Ads"/>
    <x v="1"/>
    <s v="EdTech"/>
    <x v="4"/>
    <n v="20534"/>
    <n v="993"/>
    <n v="4.8399999999999999E-2"/>
    <n v="2.87"/>
    <n v="2849.91"/>
    <n v="49"/>
    <n v="58.16"/>
    <n v="1762.93"/>
    <n v="-1086.9799999999998"/>
    <n v="-0.38140853570814509"/>
    <n v="0.62"/>
    <s v="Low"/>
    <s v="Valid"/>
  </r>
  <r>
    <x v="168"/>
    <x v="6"/>
    <s v="TikTok Ads"/>
    <x v="2"/>
    <s v="E-commerce"/>
    <x v="0"/>
    <n v="98500"/>
    <n v="5614"/>
    <n v="5.7000000000000002E-2"/>
    <n v="0.61"/>
    <n v="3424.54"/>
    <n v="220"/>
    <n v="15.57"/>
    <n v="7676.57"/>
    <n v="4252.03"/>
    <n v="1.2416353729259988"/>
    <n v="2.2400000000000002"/>
    <s v="Medium"/>
    <s v="Valid"/>
  </r>
  <r>
    <x v="85"/>
    <x v="10"/>
    <s v="TikTok Ads"/>
    <x v="0"/>
    <s v="Fintech"/>
    <x v="0"/>
    <n v="41468"/>
    <n v="3354"/>
    <n v="8.09E-2"/>
    <n v="1.1100000000000001"/>
    <n v="3722.94"/>
    <n v="81"/>
    <n v="45.96"/>
    <n v="5215.9399999999996"/>
    <n v="1492.9999999999995"/>
    <n v="0.4010271452131916"/>
    <n v="1.4"/>
    <s v="Medium"/>
    <s v="Valid"/>
  </r>
  <r>
    <x v="12"/>
    <x v="8"/>
    <s v="Google Ads"/>
    <x v="1"/>
    <s v="Healthcare"/>
    <x v="4"/>
    <n v="123696"/>
    <n v="6531"/>
    <n v="5.28E-2"/>
    <n v="2.58"/>
    <n v="16849.98"/>
    <n v="466"/>
    <n v="36.159999999999997"/>
    <n v="62974.93"/>
    <n v="46124.95"/>
    <n v="2.737389005802974"/>
    <n v="3.74"/>
    <s v="High"/>
    <s v="Valid"/>
  </r>
  <r>
    <x v="142"/>
    <x v="6"/>
    <s v="Meta Ads"/>
    <x v="2"/>
    <s v="EdTech"/>
    <x v="3"/>
    <n v="81848"/>
    <n v="1694"/>
    <n v="2.07E-2"/>
    <n v="1.29"/>
    <n v="2185.2600000000002"/>
    <n v="58"/>
    <n v="37.68"/>
    <n v="7573.87"/>
    <n v="5388.61"/>
    <n v="2.4658896424224115"/>
    <n v="3.47"/>
    <s v="High"/>
    <s v="Valid"/>
  </r>
  <r>
    <x v="13"/>
    <x v="2"/>
    <s v="Google Ads"/>
    <x v="3"/>
    <s v="EdTech"/>
    <x v="4"/>
    <n v="92923"/>
    <n v="1932"/>
    <n v="2.0799999999999999E-2"/>
    <n v="3.17"/>
    <n v="6124.44"/>
    <n v="32"/>
    <n v="191.39"/>
    <n v="1855.78"/>
    <n v="-4268.66"/>
    <n v="-0.69698780623208001"/>
    <n v="0.3"/>
    <s v="Low"/>
    <s v="Valid"/>
  </r>
  <r>
    <x v="102"/>
    <x v="6"/>
    <s v="Google Ads"/>
    <x v="2"/>
    <s v="E-commerce"/>
    <x v="1"/>
    <n v="170732"/>
    <n v="7700"/>
    <n v="4.5100000000000001E-2"/>
    <n v="0.81"/>
    <n v="6237"/>
    <n v="434"/>
    <n v="14.37"/>
    <n v="53677.08"/>
    <n v="47440.08"/>
    <n v="7.6062337662337667"/>
    <n v="8.61"/>
    <s v="High"/>
    <s v="Valid"/>
  </r>
  <r>
    <x v="169"/>
    <x v="3"/>
    <s v="Google Ads"/>
    <x v="3"/>
    <s v="E-commerce"/>
    <x v="6"/>
    <n v="86471"/>
    <n v="4859"/>
    <n v="5.62E-2"/>
    <n v="1.57"/>
    <n v="7628.63"/>
    <n v="248"/>
    <n v="30.76"/>
    <n v="19852.560000000001"/>
    <n v="12223.93"/>
    <n v="1.6023755248321128"/>
    <n v="2.6"/>
    <s v="Medium"/>
    <s v="Valid"/>
  </r>
  <r>
    <x v="89"/>
    <x v="3"/>
    <s v="Meta Ads"/>
    <x v="3"/>
    <s v="EdTech"/>
    <x v="1"/>
    <n v="115986"/>
    <n v="1357"/>
    <n v="1.17E-2"/>
    <n v="1.48"/>
    <n v="2008.36"/>
    <n v="79"/>
    <n v="25.42"/>
    <n v="8002.44"/>
    <n v="5994.08"/>
    <n v="2.9845645203051245"/>
    <n v="3.98"/>
    <s v="High"/>
    <s v="Valid"/>
  </r>
  <r>
    <x v="170"/>
    <x v="1"/>
    <s v="TikTok Ads"/>
    <x v="3"/>
    <s v="Healthcare"/>
    <x v="2"/>
    <n v="42019"/>
    <n v="2979"/>
    <n v="7.0900000000000005E-2"/>
    <n v="1.51"/>
    <n v="4498.29"/>
    <n v="234"/>
    <n v="19.22"/>
    <n v="56724.23"/>
    <n v="52225.94"/>
    <n v="11.610176311442792"/>
    <n v="12.61"/>
    <s v="High"/>
    <s v="Valid"/>
  </r>
  <r>
    <x v="105"/>
    <x v="0"/>
    <s v="TikTok Ads"/>
    <x v="2"/>
    <s v="EdTech"/>
    <x v="2"/>
    <n v="34063"/>
    <n v="1243"/>
    <n v="3.6499999999999998E-2"/>
    <n v="0.38"/>
    <n v="472.34"/>
    <n v="40"/>
    <n v="11.81"/>
    <n v="10897.53"/>
    <n v="10425.19"/>
    <n v="22.07136808231359"/>
    <n v="23.07"/>
    <s v="High"/>
    <s v="Valid"/>
  </r>
  <r>
    <x v="133"/>
    <x v="5"/>
    <s v="TikTok Ads"/>
    <x v="2"/>
    <s v="Healthcare"/>
    <x v="6"/>
    <n v="107476"/>
    <n v="4707"/>
    <n v="4.3799999999999999E-2"/>
    <n v="1.7"/>
    <n v="8001.9"/>
    <n v="293"/>
    <n v="27.31"/>
    <n v="72605.27"/>
    <n v="64603.37"/>
    <n v="8.0735037928491984"/>
    <n v="9.07"/>
    <s v="High"/>
    <s v="Valid"/>
  </r>
  <r>
    <x v="171"/>
    <x v="9"/>
    <s v="TikTok Ads"/>
    <x v="0"/>
    <s v="Fintech"/>
    <x v="4"/>
    <n v="33302"/>
    <n v="3007"/>
    <n v="9.0300000000000005E-2"/>
    <n v="0.28000000000000003"/>
    <n v="841.96"/>
    <n v="95"/>
    <n v="8.86"/>
    <n v="3253.81"/>
    <n v="2411.85"/>
    <n v="2.8645660126371797"/>
    <n v="3.86"/>
    <s v="High"/>
    <s v="Valid"/>
  </r>
  <r>
    <x v="172"/>
    <x v="9"/>
    <s v="Google Ads"/>
    <x v="2"/>
    <s v="SaaS"/>
    <x v="2"/>
    <n v="70206"/>
    <n v="3945"/>
    <n v="5.62E-2"/>
    <n v="3.6"/>
    <n v="14202"/>
    <n v="248"/>
    <n v="57.27"/>
    <n v="37055.99"/>
    <n v="22853.989999999998"/>
    <n v="1.6092092663005209"/>
    <n v="2.61"/>
    <s v="Medium"/>
    <s v="Valid"/>
  </r>
  <r>
    <x v="103"/>
    <x v="2"/>
    <s v="Meta Ads"/>
    <x v="1"/>
    <s v="E-commerce"/>
    <x v="3"/>
    <n v="16094"/>
    <n v="616"/>
    <n v="3.8300000000000001E-2"/>
    <n v="2.29"/>
    <n v="1410.64"/>
    <n v="40"/>
    <n v="35.270000000000003"/>
    <n v="8923.08"/>
    <n v="7512.44"/>
    <n v="5.3255543583054497"/>
    <n v="6.33"/>
    <s v="High"/>
    <s v="Valid"/>
  </r>
  <r>
    <x v="173"/>
    <x v="1"/>
    <s v="Meta Ads"/>
    <x v="1"/>
    <s v="Fintech"/>
    <x v="0"/>
    <n v="182718"/>
    <n v="2558"/>
    <n v="1.4E-2"/>
    <n v="1.36"/>
    <n v="3478.88"/>
    <n v="124"/>
    <n v="28.06"/>
    <n v="28756.15"/>
    <n v="25277.27"/>
    <n v="7.2659217909212162"/>
    <n v="8.27"/>
    <s v="High"/>
    <s v="Valid"/>
  </r>
  <r>
    <x v="174"/>
    <x v="4"/>
    <s v="TikTok Ads"/>
    <x v="0"/>
    <s v="EdTech"/>
    <x v="5"/>
    <n v="66169"/>
    <n v="2057"/>
    <n v="3.1099999999999999E-2"/>
    <n v="1.49"/>
    <n v="3064.93"/>
    <n v="136"/>
    <n v="22.54"/>
    <n v="39364.99"/>
    <n v="36300.06"/>
    <n v="11.843683216256162"/>
    <n v="12.84"/>
    <s v="High"/>
    <s v="Valid"/>
  </r>
  <r>
    <x v="175"/>
    <x v="0"/>
    <s v="Meta Ads"/>
    <x v="2"/>
    <s v="SaaS"/>
    <x v="5"/>
    <n v="24404"/>
    <n v="710"/>
    <n v="2.9100000000000001E-2"/>
    <n v="0.61"/>
    <n v="433.1"/>
    <n v="10"/>
    <n v="43.31"/>
    <n v="923.15"/>
    <n v="490.04999999999995"/>
    <n v="1.1314938813207109"/>
    <n v="2.13"/>
    <s v="Medium"/>
    <s v="Valid"/>
  </r>
  <r>
    <x v="26"/>
    <x v="8"/>
    <s v="TikTok Ads"/>
    <x v="2"/>
    <s v="EdTech"/>
    <x v="6"/>
    <n v="30517"/>
    <n v="2575"/>
    <n v="8.4400000000000003E-2"/>
    <n v="0.8"/>
    <n v="2060"/>
    <n v="205"/>
    <n v="10.050000000000001"/>
    <n v="7811.94"/>
    <n v="5751.94"/>
    <n v="2.7922038834951453"/>
    <n v="3.79"/>
    <s v="High"/>
    <s v="Valid"/>
  </r>
  <r>
    <x v="76"/>
    <x v="5"/>
    <s v="TikTok Ads"/>
    <x v="1"/>
    <s v="E-commerce"/>
    <x v="6"/>
    <n v="145148"/>
    <n v="5762"/>
    <n v="3.9699999999999999E-2"/>
    <n v="1.49"/>
    <n v="8585.3799999999992"/>
    <n v="213"/>
    <n v="40.31"/>
    <n v="10475.219999999999"/>
    <n v="1889.8400000000001"/>
    <n v="0.22012304638816224"/>
    <n v="1.22"/>
    <s v="Medium"/>
    <s v="Valid"/>
  </r>
  <r>
    <x v="176"/>
    <x v="2"/>
    <s v="Google Ads"/>
    <x v="3"/>
    <s v="Fintech"/>
    <x v="3"/>
    <n v="37101"/>
    <n v="2166"/>
    <n v="5.8400000000000001E-2"/>
    <n v="2.95"/>
    <n v="6389.7"/>
    <n v="45"/>
    <n v="141.99"/>
    <n v="3868.37"/>
    <n v="-2521.33"/>
    <n v="-0.39459286038468161"/>
    <n v="0.61"/>
    <s v="Low"/>
    <s v="Valid"/>
  </r>
  <r>
    <x v="177"/>
    <x v="2"/>
    <s v="Meta Ads"/>
    <x v="0"/>
    <s v="EdTech"/>
    <x v="1"/>
    <n v="151480"/>
    <n v="2514"/>
    <n v="1.66E-2"/>
    <n v="2.06"/>
    <n v="5178.84"/>
    <n v="72"/>
    <n v="71.930000000000007"/>
    <n v="4076.45"/>
    <n v="-1102.3900000000003"/>
    <n v="-0.21286427076333703"/>
    <n v="0.79"/>
    <s v="Low"/>
    <s v="Valid"/>
  </r>
  <r>
    <x v="7"/>
    <x v="5"/>
    <s v="TikTok Ads"/>
    <x v="1"/>
    <s v="EdTech"/>
    <x v="5"/>
    <n v="159813"/>
    <n v="7575"/>
    <n v="4.7399999999999998E-2"/>
    <n v="0.9"/>
    <n v="6817.5"/>
    <n v="319"/>
    <n v="21.37"/>
    <n v="35965.699999999997"/>
    <n v="29148.199999999997"/>
    <n v="4.2754968830216349"/>
    <n v="5.28"/>
    <s v="High"/>
    <s v="Valid"/>
  </r>
  <r>
    <x v="178"/>
    <x v="7"/>
    <s v="TikTok Ads"/>
    <x v="3"/>
    <s v="Healthcare"/>
    <x v="1"/>
    <n v="135956"/>
    <n v="11529"/>
    <n v="8.48E-2"/>
    <n v="0.5"/>
    <n v="5764.5"/>
    <n v="732"/>
    <n v="7.88"/>
    <n v="207824.45"/>
    <n v="202059.95"/>
    <n v="35.052467690172612"/>
    <n v="36.049999999999997"/>
    <s v="High"/>
    <s v="Valid"/>
  </r>
  <r>
    <x v="179"/>
    <x v="10"/>
    <s v="Google Ads"/>
    <x v="0"/>
    <s v="SaaS"/>
    <x v="0"/>
    <n v="70982"/>
    <n v="2548"/>
    <n v="3.5900000000000001E-2"/>
    <n v="2.88"/>
    <n v="7338.24"/>
    <n v="117"/>
    <n v="62.72"/>
    <n v="32045.18"/>
    <n v="24706.940000000002"/>
    <n v="3.3668754360718651"/>
    <n v="4.37"/>
    <s v="High"/>
    <s v="Valid"/>
  </r>
  <r>
    <x v="180"/>
    <x v="11"/>
    <s v="TikTok Ads"/>
    <x v="0"/>
    <s v="Healthcare"/>
    <x v="5"/>
    <n v="132992"/>
    <n v="7926"/>
    <n v="5.96E-2"/>
    <n v="0.64"/>
    <n v="5072.6400000000003"/>
    <n v="553"/>
    <n v="9.17"/>
    <n v="41271.279999999999"/>
    <n v="36198.639999999999"/>
    <n v="7.1360553873328278"/>
    <n v="8.14"/>
    <s v="High"/>
    <s v="Valid"/>
  </r>
  <r>
    <x v="14"/>
    <x v="4"/>
    <s v="TikTok Ads"/>
    <x v="1"/>
    <s v="Healthcare"/>
    <x v="5"/>
    <n v="13597"/>
    <n v="747"/>
    <n v="5.5E-2"/>
    <n v="1.91"/>
    <n v="1426.77"/>
    <n v="25"/>
    <n v="57.07"/>
    <n v="5673.88"/>
    <n v="4247.1100000000006"/>
    <n v="2.9767306573589303"/>
    <n v="3.98"/>
    <s v="High"/>
    <s v="Valid"/>
  </r>
  <r>
    <x v="181"/>
    <x v="8"/>
    <s v="Meta Ads"/>
    <x v="0"/>
    <s v="EdTech"/>
    <x v="2"/>
    <n v="199472"/>
    <n v="5286"/>
    <n v="2.6499999999999999E-2"/>
    <n v="1.32"/>
    <n v="6977.52"/>
    <n v="192"/>
    <n v="36.340000000000003"/>
    <n v="17789.77"/>
    <n v="10812.25"/>
    <n v="1.5495835196459486"/>
    <n v="2.5499999999999998"/>
    <s v="Medium"/>
    <s v="Valid"/>
  </r>
  <r>
    <x v="29"/>
    <x v="2"/>
    <s v="Google Ads"/>
    <x v="0"/>
    <s v="Healthcare"/>
    <x v="2"/>
    <n v="108751"/>
    <n v="5459"/>
    <n v="5.0200000000000002E-2"/>
    <n v="1.43"/>
    <n v="7806.37"/>
    <n v="345"/>
    <n v="22.63"/>
    <n v="24740.95"/>
    <n v="16934.580000000002"/>
    <n v="2.1693283818215128"/>
    <n v="3.17"/>
    <s v="High"/>
    <s v="Valid"/>
  </r>
  <r>
    <x v="112"/>
    <x v="9"/>
    <s v="Meta Ads"/>
    <x v="3"/>
    <s v="E-commerce"/>
    <x v="5"/>
    <n v="175591"/>
    <n v="5864"/>
    <n v="3.3399999999999999E-2"/>
    <n v="0.44"/>
    <n v="2580.16"/>
    <n v="333"/>
    <n v="7.75"/>
    <n v="52097.57"/>
    <n v="49517.41"/>
    <n v="19.19160439662657"/>
    <n v="20.190000000000001"/>
    <s v="High"/>
    <s v="Valid"/>
  </r>
  <r>
    <x v="142"/>
    <x v="6"/>
    <s v="TikTok Ads"/>
    <x v="0"/>
    <s v="EdTech"/>
    <x v="5"/>
    <n v="36027"/>
    <n v="2770"/>
    <n v="7.6899999999999996E-2"/>
    <n v="1.08"/>
    <n v="2991.6"/>
    <n v="205"/>
    <n v="14.59"/>
    <n v="16618.849999999999"/>
    <n v="13627.249999999998"/>
    <n v="4.555171145875117"/>
    <n v="5.56"/>
    <s v="High"/>
    <s v="Valid"/>
  </r>
  <r>
    <x v="182"/>
    <x v="4"/>
    <s v="TikTok Ads"/>
    <x v="2"/>
    <s v="E-commerce"/>
    <x v="4"/>
    <n v="57265"/>
    <n v="2302"/>
    <n v="4.02E-2"/>
    <n v="1.3"/>
    <n v="2992.6"/>
    <n v="85"/>
    <n v="35.21"/>
    <n v="4068.49"/>
    <n v="1075.8899999999999"/>
    <n v="0.35951680812671255"/>
    <n v="1.36"/>
    <s v="Medium"/>
    <s v="Valid"/>
  </r>
  <r>
    <x v="183"/>
    <x v="10"/>
    <s v="Google Ads"/>
    <x v="2"/>
    <s v="Fintech"/>
    <x v="5"/>
    <n v="161904"/>
    <n v="4727"/>
    <n v="2.92E-2"/>
    <n v="1.64"/>
    <n v="7752.28"/>
    <n v="263"/>
    <n v="29.48"/>
    <n v="21545.93"/>
    <n v="13793.650000000001"/>
    <n v="1.7793023471804426"/>
    <n v="2.78"/>
    <s v="Medium"/>
    <s v="Valid"/>
  </r>
  <r>
    <x v="184"/>
    <x v="4"/>
    <s v="Google Ads"/>
    <x v="3"/>
    <s v="Healthcare"/>
    <x v="4"/>
    <n v="49757"/>
    <n v="1243"/>
    <n v="2.5000000000000001E-2"/>
    <n v="3.14"/>
    <n v="3903.02"/>
    <n v="39"/>
    <n v="100.08"/>
    <n v="4749.8999999999996"/>
    <n v="846.87999999999965"/>
    <n v="0.21698069699873423"/>
    <n v="1.22"/>
    <s v="Medium"/>
    <s v="Valid"/>
  </r>
  <r>
    <x v="185"/>
    <x v="10"/>
    <s v="Google Ads"/>
    <x v="1"/>
    <s v="EdTech"/>
    <x v="2"/>
    <n v="168623"/>
    <n v="6896"/>
    <n v="4.0899999999999999E-2"/>
    <n v="1.42"/>
    <n v="9792.32"/>
    <n v="200"/>
    <n v="48.96"/>
    <n v="24436.959999999999"/>
    <n v="14644.64"/>
    <n v="1.4955230221234601"/>
    <n v="2.5"/>
    <s v="Medium"/>
    <s v="Valid"/>
  </r>
  <r>
    <x v="82"/>
    <x v="7"/>
    <s v="Meta Ads"/>
    <x v="1"/>
    <s v="SaaS"/>
    <x v="4"/>
    <n v="98079"/>
    <n v="3226"/>
    <n v="3.2899999999999999E-2"/>
    <n v="2.1800000000000002"/>
    <n v="7032.68"/>
    <n v="44"/>
    <n v="159.83000000000001"/>
    <n v="1401.71"/>
    <n v="-5630.97"/>
    <n v="-0.80068622488155294"/>
    <n v="0.2"/>
    <s v="Low"/>
    <s v="Valid"/>
  </r>
  <r>
    <x v="54"/>
    <x v="1"/>
    <s v="Google Ads"/>
    <x v="0"/>
    <s v="EdTech"/>
    <x v="1"/>
    <n v="11305"/>
    <n v="562"/>
    <n v="4.9799999999999997E-2"/>
    <n v="1.72"/>
    <n v="966.64"/>
    <n v="42"/>
    <n v="23.02"/>
    <n v="8107.06"/>
    <n v="7140.42"/>
    <n v="7.3868451543490856"/>
    <n v="8.39"/>
    <s v="High"/>
    <s v="Valid"/>
  </r>
  <r>
    <x v="186"/>
    <x v="3"/>
    <s v="TikTok Ads"/>
    <x v="2"/>
    <s v="Healthcare"/>
    <x v="5"/>
    <n v="109188"/>
    <n v="6354"/>
    <n v="5.8200000000000002E-2"/>
    <n v="1.26"/>
    <n v="8006.04"/>
    <n v="216"/>
    <n v="37.06"/>
    <n v="49228.57"/>
    <n v="41222.53"/>
    <n v="5.1489288087493943"/>
    <n v="6.15"/>
    <s v="High"/>
    <s v="Valid"/>
  </r>
  <r>
    <x v="6"/>
    <x v="4"/>
    <s v="Meta Ads"/>
    <x v="3"/>
    <s v="Healthcare"/>
    <x v="3"/>
    <n v="73309"/>
    <n v="2323"/>
    <n v="3.1699999999999999E-2"/>
    <n v="0.6"/>
    <n v="1393.8"/>
    <n v="39"/>
    <n v="35.74"/>
    <n v="1966.71"/>
    <n v="572.91000000000008"/>
    <n v="0.41104175634954809"/>
    <n v="1.41"/>
    <s v="Medium"/>
    <s v="Valid"/>
  </r>
  <r>
    <x v="20"/>
    <x v="9"/>
    <s v="Google Ads"/>
    <x v="1"/>
    <s v="Healthcare"/>
    <x v="5"/>
    <n v="81996"/>
    <n v="1508"/>
    <n v="1.84E-2"/>
    <n v="2.33"/>
    <n v="3513.64"/>
    <n v="75"/>
    <n v="46.85"/>
    <n v="8251.24"/>
    <n v="4737.6000000000004"/>
    <n v="1.3483453057228403"/>
    <n v="2.35"/>
    <s v="Medium"/>
    <s v="Valid"/>
  </r>
  <r>
    <x v="187"/>
    <x v="5"/>
    <s v="TikTok Ads"/>
    <x v="3"/>
    <s v="EdTech"/>
    <x v="1"/>
    <n v="122192"/>
    <n v="4398"/>
    <n v="3.5999999999999997E-2"/>
    <n v="0.99"/>
    <n v="4354.0200000000004"/>
    <n v="348"/>
    <n v="12.51"/>
    <n v="64414.080000000002"/>
    <n v="60060.06"/>
    <n v="13.794162635908883"/>
    <n v="14.79"/>
    <s v="High"/>
    <s v="Valid"/>
  </r>
  <r>
    <x v="188"/>
    <x v="6"/>
    <s v="Google Ads"/>
    <x v="3"/>
    <s v="SaaS"/>
    <x v="0"/>
    <n v="79960"/>
    <n v="1591"/>
    <n v="1.9900000000000001E-2"/>
    <n v="1.03"/>
    <n v="1638.73"/>
    <n v="55"/>
    <n v="29.8"/>
    <n v="15206.45"/>
    <n v="13567.720000000001"/>
    <n v="8.2794114954873592"/>
    <n v="9.2799999999999994"/>
    <s v="High"/>
    <s v="Valid"/>
  </r>
  <r>
    <x v="164"/>
    <x v="6"/>
    <s v="Meta Ads"/>
    <x v="3"/>
    <s v="Healthcare"/>
    <x v="6"/>
    <n v="188804"/>
    <n v="5267"/>
    <n v="2.7900000000000001E-2"/>
    <n v="2.1"/>
    <n v="11060.7"/>
    <n v="64"/>
    <n v="172.82"/>
    <n v="10138.299999999999"/>
    <n v="-922.40000000000146"/>
    <n v="-8.3394360212283261E-2"/>
    <n v="0.92"/>
    <s v="Low"/>
    <s v="Valid"/>
  </r>
  <r>
    <x v="111"/>
    <x v="8"/>
    <s v="Meta Ads"/>
    <x v="3"/>
    <s v="Fintech"/>
    <x v="1"/>
    <n v="80139"/>
    <n v="2436"/>
    <n v="3.04E-2"/>
    <n v="1.58"/>
    <n v="3848.88"/>
    <n v="37"/>
    <n v="104.02"/>
    <n v="4653.12"/>
    <n v="804.23999999999978"/>
    <n v="0.20895429319698192"/>
    <n v="1.21"/>
    <s v="Medium"/>
    <s v="Valid"/>
  </r>
  <r>
    <x v="16"/>
    <x v="9"/>
    <s v="Meta Ads"/>
    <x v="2"/>
    <s v="SaaS"/>
    <x v="3"/>
    <n v="51999"/>
    <n v="930"/>
    <n v="1.7899999999999999E-2"/>
    <n v="1.2"/>
    <n v="1116"/>
    <n v="13"/>
    <n v="85.85"/>
    <n v="1777.36"/>
    <n v="661.3599999999999"/>
    <n v="0.59261648745519702"/>
    <n v="1.59"/>
    <s v="Medium"/>
    <s v="Valid"/>
  </r>
  <r>
    <x v="189"/>
    <x v="9"/>
    <s v="Google Ads"/>
    <x v="1"/>
    <s v="EdTech"/>
    <x v="5"/>
    <n v="119527"/>
    <n v="6597"/>
    <n v="5.5199999999999999E-2"/>
    <n v="3.1"/>
    <n v="20450.7"/>
    <n v="497"/>
    <n v="41.15"/>
    <n v="137884.47"/>
    <n v="117433.77"/>
    <n v="5.7422860831169595"/>
    <n v="6.74"/>
    <s v="High"/>
    <s v="Valid"/>
  </r>
  <r>
    <x v="190"/>
    <x v="4"/>
    <s v="Meta Ads"/>
    <x v="0"/>
    <s v="Fintech"/>
    <x v="5"/>
    <n v="194073"/>
    <n v="6346"/>
    <n v="3.27E-2"/>
    <n v="1.8"/>
    <n v="11422.8"/>
    <n v="168"/>
    <n v="67.989999999999995"/>
    <n v="9921.3799999999992"/>
    <n v="-1501.42"/>
    <n v="-0.13144062751689606"/>
    <n v="0.87"/>
    <s v="Low"/>
    <s v="Valid"/>
  </r>
  <r>
    <x v="73"/>
    <x v="7"/>
    <s v="TikTok Ads"/>
    <x v="3"/>
    <s v="SaaS"/>
    <x v="1"/>
    <n v="55599"/>
    <n v="3697"/>
    <n v="6.6500000000000004E-2"/>
    <n v="1.64"/>
    <n v="6063.08"/>
    <n v="217"/>
    <n v="27.94"/>
    <n v="25513.42"/>
    <n v="19450.339999999997"/>
    <n v="3.2079965957895982"/>
    <n v="4.21"/>
    <s v="High"/>
    <s v="Valid"/>
  </r>
  <r>
    <x v="165"/>
    <x v="3"/>
    <s v="Google Ads"/>
    <x v="1"/>
    <s v="Healthcare"/>
    <x v="5"/>
    <n v="176541"/>
    <n v="4378"/>
    <n v="2.4799999999999999E-2"/>
    <n v="2.87"/>
    <n v="12564.86"/>
    <n v="175"/>
    <n v="71.8"/>
    <n v="19637.27"/>
    <n v="7072.41"/>
    <n v="0.5628721688900632"/>
    <n v="1.56"/>
    <s v="Medium"/>
    <s v="Valid"/>
  </r>
  <r>
    <x v="54"/>
    <x v="1"/>
    <s v="Google Ads"/>
    <x v="3"/>
    <s v="Fintech"/>
    <x v="0"/>
    <n v="118710"/>
    <n v="4036"/>
    <n v="3.4000000000000002E-2"/>
    <n v="2.48"/>
    <n v="10009.280000000001"/>
    <n v="235"/>
    <n v="42.59"/>
    <n v="28657.57"/>
    <n v="18648.29"/>
    <n v="1.8631000431599476"/>
    <n v="2.86"/>
    <s v="Medium"/>
    <s v="Valid"/>
  </r>
  <r>
    <x v="103"/>
    <x v="2"/>
    <s v="TikTok Ads"/>
    <x v="0"/>
    <s v="Fintech"/>
    <x v="3"/>
    <n v="113297"/>
    <n v="9675"/>
    <n v="8.5400000000000004E-2"/>
    <n v="1.81"/>
    <n v="17511.75"/>
    <n v="380"/>
    <n v="46.08"/>
    <n v="16593.87"/>
    <n v="-917.88000000000102"/>
    <n v="-5.2415092723457166E-2"/>
    <n v="0.95"/>
    <s v="Low"/>
    <s v="Valid"/>
  </r>
  <r>
    <x v="191"/>
    <x v="10"/>
    <s v="Google Ads"/>
    <x v="0"/>
    <s v="Fintech"/>
    <x v="1"/>
    <n v="6881"/>
    <n v="357"/>
    <n v="5.1999999999999998E-2"/>
    <n v="2.29"/>
    <n v="817.53"/>
    <n v="5"/>
    <n v="163.51"/>
    <n v="872.75"/>
    <n v="55.220000000000027"/>
    <n v="6.7544921898890595E-2"/>
    <n v="1.07"/>
    <s v="Medium"/>
    <s v="Valid"/>
  </r>
  <r>
    <x v="92"/>
    <x v="8"/>
    <s v="Meta Ads"/>
    <x v="2"/>
    <s v="EdTech"/>
    <x v="3"/>
    <n v="121477"/>
    <n v="1834"/>
    <n v="1.5100000000000001E-2"/>
    <n v="0.49"/>
    <n v="898.66"/>
    <n v="98"/>
    <n v="9.17"/>
    <n v="10542.66"/>
    <n v="9644"/>
    <n v="10.731533616718226"/>
    <n v="11.73"/>
    <s v="High"/>
    <s v="Valid"/>
  </r>
  <r>
    <x v="192"/>
    <x v="1"/>
    <s v="Google Ads"/>
    <x v="3"/>
    <s v="SaaS"/>
    <x v="6"/>
    <n v="188419"/>
    <n v="10231"/>
    <n v="5.4300000000000001E-2"/>
    <n v="2.15"/>
    <n v="21996.65"/>
    <n v="754"/>
    <n v="29.17"/>
    <n v="134062.71"/>
    <n v="112066.06"/>
    <n v="5.0946876001572958"/>
    <n v="6.09"/>
    <s v="High"/>
    <s v="Valid"/>
  </r>
  <r>
    <x v="193"/>
    <x v="4"/>
    <s v="Meta Ads"/>
    <x v="1"/>
    <s v="EdTech"/>
    <x v="1"/>
    <n v="46743"/>
    <n v="1523"/>
    <n v="3.2599999999999997E-2"/>
    <n v="0.8"/>
    <n v="1218.4000000000001"/>
    <n v="51"/>
    <n v="23.89"/>
    <n v="5825.03"/>
    <n v="4606.6299999999992"/>
    <n v="3.7808847669074188"/>
    <n v="4.78"/>
    <s v="High"/>
    <s v="Valid"/>
  </r>
  <r>
    <x v="194"/>
    <x v="11"/>
    <s v="Google Ads"/>
    <x v="1"/>
    <s v="Fintech"/>
    <x v="5"/>
    <n v="93302"/>
    <n v="4058"/>
    <n v="4.3499999999999997E-2"/>
    <n v="0.81"/>
    <n v="3286.98"/>
    <n v="50"/>
    <n v="65.739999999999995"/>
    <n v="14861.71"/>
    <n v="11574.73"/>
    <n v="3.5213874133703276"/>
    <n v="4.5199999999999996"/>
    <s v="High"/>
    <s v="Valid"/>
  </r>
  <r>
    <x v="195"/>
    <x v="8"/>
    <s v="Google Ads"/>
    <x v="0"/>
    <s v="SaaS"/>
    <x v="6"/>
    <n v="140747"/>
    <n v="8571"/>
    <n v="6.0900000000000003E-2"/>
    <n v="3.25"/>
    <n v="27855.75"/>
    <n v="332"/>
    <n v="83.9"/>
    <n v="48279.89"/>
    <n v="20424.14"/>
    <n v="0.73321091695610419"/>
    <n v="1.73"/>
    <s v="Medium"/>
    <s v="Valid"/>
  </r>
  <r>
    <x v="196"/>
    <x v="5"/>
    <s v="Google Ads"/>
    <x v="0"/>
    <s v="Healthcare"/>
    <x v="6"/>
    <n v="36831"/>
    <n v="1572"/>
    <n v="4.2700000000000002E-2"/>
    <n v="3.45"/>
    <n v="5423.4"/>
    <n v="48"/>
    <n v="112.99"/>
    <n v="4165.7299999999996"/>
    <n v="-1257.67"/>
    <n v="-0.23189696500350337"/>
    <n v="0.77"/>
    <s v="Low"/>
    <s v="Valid"/>
  </r>
  <r>
    <x v="8"/>
    <x v="5"/>
    <s v="TikTok Ads"/>
    <x v="3"/>
    <s v="SaaS"/>
    <x v="3"/>
    <n v="146842"/>
    <n v="10646"/>
    <n v="7.2499999999999995E-2"/>
    <n v="1.23"/>
    <n v="13094.58"/>
    <n v="615"/>
    <n v="21.29"/>
    <n v="113988.39"/>
    <n v="100893.81"/>
    <n v="7.7050054297274135"/>
    <n v="8.7100000000000009"/>
    <s v="High"/>
    <s v="Valid"/>
  </r>
  <r>
    <x v="7"/>
    <x v="5"/>
    <s v="Meta Ads"/>
    <x v="3"/>
    <s v="EdTech"/>
    <x v="2"/>
    <n v="69892"/>
    <n v="2851"/>
    <n v="4.0800000000000003E-2"/>
    <n v="0.78"/>
    <n v="2223.7800000000002"/>
    <n v="52"/>
    <n v="42.77"/>
    <n v="11407.42"/>
    <n v="9183.64"/>
    <n v="4.1297430501218644"/>
    <n v="5.13"/>
    <s v="High"/>
    <s v="Valid"/>
  </r>
  <r>
    <x v="197"/>
    <x v="11"/>
    <s v="Google Ads"/>
    <x v="2"/>
    <s v="SaaS"/>
    <x v="1"/>
    <n v="118985"/>
    <n v="4545"/>
    <n v="3.8199999999999998E-2"/>
    <n v="3.23"/>
    <n v="14680.35"/>
    <n v="259"/>
    <n v="56.68"/>
    <n v="58417.120000000003"/>
    <n v="43736.770000000004"/>
    <n v="2.9792729737370025"/>
    <n v="3.98"/>
    <s v="High"/>
    <s v="Valid"/>
  </r>
  <r>
    <x v="198"/>
    <x v="10"/>
    <s v="Meta Ads"/>
    <x v="3"/>
    <s v="E-commerce"/>
    <x v="5"/>
    <n v="12452"/>
    <n v="280"/>
    <n v="2.2499999999999999E-2"/>
    <n v="1.23"/>
    <n v="344.4"/>
    <n v="18"/>
    <n v="19.13"/>
    <n v="4734.22"/>
    <n v="4389.8200000000006"/>
    <n v="12.746283391405345"/>
    <n v="13.75"/>
    <s v="High"/>
    <s v="Valid"/>
  </r>
  <r>
    <x v="1"/>
    <x v="0"/>
    <s v="Google Ads"/>
    <x v="3"/>
    <s v="EdTech"/>
    <x v="0"/>
    <n v="85077"/>
    <n v="4032"/>
    <n v="4.7399999999999998E-2"/>
    <n v="2.84"/>
    <n v="11450.88"/>
    <n v="253"/>
    <n v="45.26"/>
    <n v="13168.69"/>
    <n v="1717.8100000000013"/>
    <n v="0.15001554465682998"/>
    <n v="1.1499999999999999"/>
    <s v="Medium"/>
    <s v="Valid"/>
  </r>
  <r>
    <x v="83"/>
    <x v="4"/>
    <s v="TikTok Ads"/>
    <x v="0"/>
    <s v="Fintech"/>
    <x v="5"/>
    <n v="39782"/>
    <n v="3393"/>
    <n v="8.5300000000000001E-2"/>
    <n v="1.71"/>
    <n v="5802.03"/>
    <n v="143"/>
    <n v="40.57"/>
    <n v="23555.27"/>
    <n v="17753.240000000002"/>
    <n v="3.0598325068984482"/>
    <n v="4.0599999999999996"/>
    <s v="High"/>
    <s v="Valid"/>
  </r>
  <r>
    <x v="133"/>
    <x v="5"/>
    <s v="Google Ads"/>
    <x v="1"/>
    <s v="EdTech"/>
    <x v="6"/>
    <n v="192135"/>
    <n v="10663"/>
    <n v="5.5500000000000001E-2"/>
    <n v="1.78"/>
    <n v="18980.14"/>
    <n v="741"/>
    <n v="25.61"/>
    <n v="213823.35999999999"/>
    <n v="194843.21999999997"/>
    <n v="10.265636607527657"/>
    <n v="11.27"/>
    <s v="High"/>
    <s v="Valid"/>
  </r>
  <r>
    <x v="76"/>
    <x v="5"/>
    <s v="Meta Ads"/>
    <x v="0"/>
    <s v="Healthcare"/>
    <x v="5"/>
    <n v="156317"/>
    <n v="5924"/>
    <n v="3.7900000000000003E-2"/>
    <n v="0.71"/>
    <n v="4206.04"/>
    <n v="464"/>
    <n v="9.06"/>
    <n v="64623.96"/>
    <n v="60417.919999999998"/>
    <n v="14.364561440214548"/>
    <n v="15.36"/>
    <s v="High"/>
    <s v="Valid"/>
  </r>
  <r>
    <x v="199"/>
    <x v="2"/>
    <s v="Google Ads"/>
    <x v="2"/>
    <s v="Fintech"/>
    <x v="3"/>
    <n v="39754"/>
    <n v="2007"/>
    <n v="5.0500000000000003E-2"/>
    <n v="2.33"/>
    <n v="4676.3100000000004"/>
    <n v="108"/>
    <n v="43.3"/>
    <n v="6981.98"/>
    <n v="2305.6699999999992"/>
    <n v="0.49305328346495397"/>
    <n v="1.49"/>
    <s v="Medium"/>
    <s v="Valid"/>
  </r>
  <r>
    <x v="200"/>
    <x v="3"/>
    <s v="Meta Ads"/>
    <x v="2"/>
    <s v="EdTech"/>
    <x v="0"/>
    <n v="84526"/>
    <n v="2214"/>
    <n v="2.6200000000000001E-2"/>
    <n v="0.44"/>
    <n v="974.16"/>
    <n v="117"/>
    <n v="8.33"/>
    <n v="30360.22"/>
    <n v="29386.06"/>
    <n v="30.165537488708221"/>
    <n v="31.17"/>
    <s v="High"/>
    <s v="Valid"/>
  </r>
  <r>
    <x v="126"/>
    <x v="4"/>
    <s v="Google Ads"/>
    <x v="2"/>
    <s v="SaaS"/>
    <x v="1"/>
    <n v="159226"/>
    <n v="5206"/>
    <n v="3.27E-2"/>
    <n v="0.97"/>
    <n v="5049.82"/>
    <n v="137"/>
    <n v="36.86"/>
    <n v="27701.27"/>
    <n v="22651.45"/>
    <n v="4.4855955261771712"/>
    <n v="5.49"/>
    <s v="High"/>
    <s v="Valid"/>
  </r>
  <r>
    <x v="201"/>
    <x v="3"/>
    <s v="TikTok Ads"/>
    <x v="3"/>
    <s v="SaaS"/>
    <x v="4"/>
    <n v="178503"/>
    <n v="9639"/>
    <n v="5.3999999999999999E-2"/>
    <n v="0.56000000000000005"/>
    <n v="5397.84"/>
    <n v="146"/>
    <n v="36.97"/>
    <n v="40162.93"/>
    <n v="34765.089999999997"/>
    <n v="6.4405558519704167"/>
    <n v="7.44"/>
    <s v="High"/>
    <s v="Valid"/>
  </r>
  <r>
    <x v="202"/>
    <x v="8"/>
    <s v="TikTok Ads"/>
    <x v="2"/>
    <s v="SaaS"/>
    <x v="5"/>
    <n v="176946"/>
    <n v="13784"/>
    <n v="7.7899999999999997E-2"/>
    <n v="0.86"/>
    <n v="11854.24"/>
    <n v="743"/>
    <n v="15.95"/>
    <n v="208986.19"/>
    <n v="197131.95"/>
    <n v="16.629657405282838"/>
    <n v="17.63"/>
    <s v="High"/>
    <s v="Valid"/>
  </r>
  <r>
    <x v="203"/>
    <x v="4"/>
    <s v="Meta Ads"/>
    <x v="3"/>
    <s v="Fintech"/>
    <x v="3"/>
    <n v="163124"/>
    <n v="4273"/>
    <n v="2.6200000000000001E-2"/>
    <n v="0.91"/>
    <n v="3888.43"/>
    <n v="239"/>
    <n v="16.27"/>
    <n v="71554.77"/>
    <n v="67666.340000000011"/>
    <n v="17.401969432393027"/>
    <n v="18.399999999999999"/>
    <s v="High"/>
    <s v="Valid"/>
  </r>
  <r>
    <x v="170"/>
    <x v="1"/>
    <s v="Meta Ads"/>
    <x v="3"/>
    <s v="EdTech"/>
    <x v="0"/>
    <n v="150486"/>
    <n v="6230"/>
    <n v="4.1399999999999999E-2"/>
    <n v="1.21"/>
    <n v="7538.3"/>
    <n v="243"/>
    <n v="31.02"/>
    <n v="55217.61"/>
    <n v="47679.31"/>
    <n v="6.3249419630420647"/>
    <n v="7.32"/>
    <s v="High"/>
    <s v="Valid"/>
  </r>
  <r>
    <x v="44"/>
    <x v="8"/>
    <s v="Google Ads"/>
    <x v="0"/>
    <s v="E-commerce"/>
    <x v="1"/>
    <n v="88384"/>
    <n v="3641"/>
    <n v="4.1200000000000001E-2"/>
    <n v="1.22"/>
    <n v="4442.0200000000004"/>
    <n v="89"/>
    <n v="49.91"/>
    <n v="4077.32"/>
    <n v="-364.70000000000027"/>
    <n v="-8.2102286797448062E-2"/>
    <n v="0.92"/>
    <s v="Low"/>
    <s v="Valid"/>
  </r>
  <r>
    <x v="53"/>
    <x v="10"/>
    <s v="Meta Ads"/>
    <x v="3"/>
    <s v="SaaS"/>
    <x v="2"/>
    <n v="74922"/>
    <n v="1333"/>
    <n v="1.78E-2"/>
    <n v="1.32"/>
    <n v="1759.56"/>
    <n v="95"/>
    <n v="18.52"/>
    <n v="17171.740000000002"/>
    <n v="15412.180000000002"/>
    <n v="8.7591102321034811"/>
    <n v="9.76"/>
    <s v="High"/>
    <s v="Valid"/>
  </r>
  <r>
    <x v="148"/>
    <x v="0"/>
    <s v="TikTok Ads"/>
    <x v="1"/>
    <s v="EdTech"/>
    <x v="0"/>
    <n v="188846"/>
    <n v="12671"/>
    <n v="6.7100000000000007E-2"/>
    <n v="1.37"/>
    <n v="17359.27"/>
    <n v="821"/>
    <n v="21.14"/>
    <n v="86047.94"/>
    <n v="68688.67"/>
    <n v="3.9568870119538433"/>
    <n v="4.96"/>
    <s v="High"/>
    <s v="Valid"/>
  </r>
  <r>
    <x v="104"/>
    <x v="11"/>
    <s v="TikTok Ads"/>
    <x v="0"/>
    <s v="SaaS"/>
    <x v="1"/>
    <n v="10209"/>
    <n v="314"/>
    <n v="3.0800000000000001E-2"/>
    <n v="1.79"/>
    <n v="562.05999999999995"/>
    <n v="13"/>
    <n v="43.24"/>
    <n v="3231.96"/>
    <n v="2669.9"/>
    <n v="4.7502046044906248"/>
    <n v="5.75"/>
    <s v="High"/>
    <s v="Valid"/>
  </r>
  <r>
    <x v="204"/>
    <x v="6"/>
    <s v="TikTok Ads"/>
    <x v="1"/>
    <s v="E-commerce"/>
    <x v="5"/>
    <n v="31140"/>
    <n v="1712"/>
    <n v="5.5E-2"/>
    <n v="1.34"/>
    <n v="2294.08"/>
    <n v="63"/>
    <n v="36.409999999999997"/>
    <n v="5569.82"/>
    <n v="3275.74"/>
    <n v="1.4279100990375226"/>
    <n v="2.4300000000000002"/>
    <s v="Medium"/>
    <s v="Valid"/>
  </r>
  <r>
    <x v="205"/>
    <x v="11"/>
    <s v="Meta Ads"/>
    <x v="1"/>
    <s v="SaaS"/>
    <x v="4"/>
    <n v="46850"/>
    <n v="983"/>
    <n v="2.1000000000000001E-2"/>
    <n v="1.58"/>
    <n v="1553.14"/>
    <n v="38"/>
    <n v="40.869999999999997"/>
    <n v="10968.52"/>
    <n v="9415.380000000001"/>
    <n v="6.0621579509896089"/>
    <n v="7.06"/>
    <s v="High"/>
    <s v="Valid"/>
  </r>
  <r>
    <x v="206"/>
    <x v="5"/>
    <s v="Meta Ads"/>
    <x v="2"/>
    <s v="EdTech"/>
    <x v="4"/>
    <n v="17720"/>
    <n v="287"/>
    <n v="1.6199999999999999E-2"/>
    <n v="1.41"/>
    <n v="404.67"/>
    <n v="4"/>
    <n v="101.17"/>
    <n v="597.17999999999995"/>
    <n v="192.50999999999993"/>
    <n v="0.47572095781748075"/>
    <n v="1.48"/>
    <s v="Medium"/>
    <s v="Valid"/>
  </r>
  <r>
    <x v="207"/>
    <x v="0"/>
    <s v="Google Ads"/>
    <x v="1"/>
    <s v="SaaS"/>
    <x v="3"/>
    <n v="16781"/>
    <n v="684"/>
    <n v="4.0800000000000003E-2"/>
    <n v="1.3"/>
    <n v="889.2"/>
    <n v="8"/>
    <n v="111.15"/>
    <n v="1435.11"/>
    <n v="545.90999999999985"/>
    <n v="0.61393387314439929"/>
    <n v="1.61"/>
    <s v="Medium"/>
    <s v="Valid"/>
  </r>
  <r>
    <x v="45"/>
    <x v="6"/>
    <s v="Meta Ads"/>
    <x v="1"/>
    <s v="E-commerce"/>
    <x v="3"/>
    <n v="61652"/>
    <n v="2614"/>
    <n v="4.24E-2"/>
    <n v="1.28"/>
    <n v="3345.92"/>
    <n v="133"/>
    <n v="25.16"/>
    <n v="20303.14"/>
    <n v="16957.22"/>
    <n v="5.0680291220351954"/>
    <n v="6.07"/>
    <s v="High"/>
    <s v="Valid"/>
  </r>
  <r>
    <x v="208"/>
    <x v="10"/>
    <s v="Meta Ads"/>
    <x v="3"/>
    <s v="EdTech"/>
    <x v="2"/>
    <n v="194933"/>
    <n v="4054"/>
    <n v="2.0799999999999999E-2"/>
    <n v="2.0299999999999998"/>
    <n v="8229.6200000000008"/>
    <n v="197"/>
    <n v="41.77"/>
    <n v="9992.76"/>
    <n v="1763.1399999999994"/>
    <n v="0.21424318498302464"/>
    <n v="1.21"/>
    <s v="Medium"/>
    <s v="Valid"/>
  </r>
  <r>
    <x v="209"/>
    <x v="2"/>
    <s v="Google Ads"/>
    <x v="0"/>
    <s v="EdTech"/>
    <x v="4"/>
    <n v="100386"/>
    <n v="5250"/>
    <n v="5.2299999999999999E-2"/>
    <n v="0.98"/>
    <n v="5145"/>
    <n v="254"/>
    <n v="20.260000000000002"/>
    <n v="73673.45"/>
    <n v="68528.45"/>
    <n v="13.319426627793975"/>
    <n v="14.32"/>
    <s v="High"/>
    <s v="Valid"/>
  </r>
  <r>
    <x v="98"/>
    <x v="0"/>
    <s v="Google Ads"/>
    <x v="0"/>
    <s v="Healthcare"/>
    <x v="0"/>
    <n v="50203"/>
    <n v="1390"/>
    <n v="2.7699999999999999E-2"/>
    <n v="1.95"/>
    <n v="2710.5"/>
    <n v="47"/>
    <n v="57.67"/>
    <n v="11338.98"/>
    <n v="8628.48"/>
    <n v="3.1833536247924736"/>
    <n v="4.18"/>
    <s v="High"/>
    <s v="Valid"/>
  </r>
  <r>
    <x v="210"/>
    <x v="0"/>
    <s v="TikTok Ads"/>
    <x v="0"/>
    <s v="SaaS"/>
    <x v="5"/>
    <n v="85428"/>
    <n v="5134"/>
    <n v="6.0100000000000001E-2"/>
    <n v="0.86"/>
    <n v="4415.24"/>
    <n v="202"/>
    <n v="21.86"/>
    <n v="37603.74"/>
    <n v="33188.5"/>
    <n v="7.5168054284704802"/>
    <n v="8.52"/>
    <s v="High"/>
    <s v="Valid"/>
  </r>
  <r>
    <x v="131"/>
    <x v="8"/>
    <s v="TikTok Ads"/>
    <x v="1"/>
    <s v="EdTech"/>
    <x v="0"/>
    <n v="192428"/>
    <n v="9967"/>
    <n v="5.1799999999999999E-2"/>
    <n v="1.6"/>
    <n v="15947.2"/>
    <n v="570"/>
    <n v="27.98"/>
    <n v="78044.55"/>
    <n v="62097.350000000006"/>
    <n v="3.8939343583826629"/>
    <n v="4.8899999999999997"/>
    <s v="High"/>
    <s v="Valid"/>
  </r>
  <r>
    <x v="182"/>
    <x v="4"/>
    <s v="Google Ads"/>
    <x v="2"/>
    <s v="Healthcare"/>
    <x v="1"/>
    <n v="33756"/>
    <n v="2150"/>
    <n v="6.3700000000000007E-2"/>
    <n v="2.17"/>
    <n v="4665.5"/>
    <n v="108"/>
    <n v="43.2"/>
    <n v="7948.11"/>
    <n v="3282.6099999999997"/>
    <n v="0.70359232665309179"/>
    <n v="1.7"/>
    <s v="Medium"/>
    <s v="Valid"/>
  </r>
  <r>
    <x v="211"/>
    <x v="11"/>
    <s v="Meta Ads"/>
    <x v="1"/>
    <s v="Fintech"/>
    <x v="0"/>
    <n v="103162"/>
    <n v="1485"/>
    <n v="1.44E-2"/>
    <n v="0.97"/>
    <n v="1440.45"/>
    <n v="35"/>
    <n v="41.16"/>
    <n v="5899.5"/>
    <n v="4459.05"/>
    <n v="3.0955951265229618"/>
    <n v="4.0999999999999996"/>
    <s v="High"/>
    <s v="Valid"/>
  </r>
  <r>
    <x v="212"/>
    <x v="7"/>
    <s v="Google Ads"/>
    <x v="0"/>
    <s v="EdTech"/>
    <x v="0"/>
    <n v="142844"/>
    <n v="2971"/>
    <n v="2.0799999999999999E-2"/>
    <n v="1.69"/>
    <n v="5020.99"/>
    <n v="95"/>
    <n v="52.85"/>
    <n v="5534.94"/>
    <n v="513.94999999999982"/>
    <n v="0.10236029149629851"/>
    <n v="1.1000000000000001"/>
    <s v="Medium"/>
    <s v="Valid"/>
  </r>
  <r>
    <x v="213"/>
    <x v="8"/>
    <s v="Google Ads"/>
    <x v="0"/>
    <s v="Fintech"/>
    <x v="2"/>
    <n v="50201"/>
    <n v="2198"/>
    <n v="4.3799999999999999E-2"/>
    <n v="2.25"/>
    <n v="4945.5"/>
    <n v="112"/>
    <n v="44.16"/>
    <n v="12918.19"/>
    <n v="7972.6900000000005"/>
    <n v="1.61210999898898"/>
    <n v="2.61"/>
    <s v="Medium"/>
    <s v="Valid"/>
  </r>
  <r>
    <x v="214"/>
    <x v="0"/>
    <s v="Meta Ads"/>
    <x v="1"/>
    <s v="Fintech"/>
    <x v="2"/>
    <n v="143421"/>
    <n v="3542"/>
    <n v="2.47E-2"/>
    <n v="0.86"/>
    <n v="3046.12"/>
    <n v="181"/>
    <n v="16.829999999999998"/>
    <n v="26273.040000000001"/>
    <n v="23226.920000000002"/>
    <n v="7.6250837130513585"/>
    <n v="8.6300000000000008"/>
    <s v="High"/>
    <s v="Valid"/>
  </r>
  <r>
    <x v="215"/>
    <x v="3"/>
    <s v="Meta Ads"/>
    <x v="2"/>
    <s v="Fintech"/>
    <x v="6"/>
    <n v="71537"/>
    <n v="1809"/>
    <n v="2.53E-2"/>
    <n v="1.65"/>
    <n v="2984.85"/>
    <n v="57"/>
    <n v="52.37"/>
    <n v="6227.5"/>
    <n v="3242.65"/>
    <n v="1.0863694993048227"/>
    <n v="2.09"/>
    <s v="Medium"/>
    <s v="Valid"/>
  </r>
  <r>
    <x v="216"/>
    <x v="6"/>
    <s v="Google Ads"/>
    <x v="1"/>
    <s v="Fintech"/>
    <x v="2"/>
    <n v="198604"/>
    <n v="8162"/>
    <n v="4.1099999999999998E-2"/>
    <n v="3.1"/>
    <n v="25302.2"/>
    <n v="584"/>
    <n v="43.33"/>
    <n v="25281.15"/>
    <n v="-21.049999999999272"/>
    <n v="-8.3194346736644527E-4"/>
    <n v="1"/>
    <s v="Medium"/>
    <s v="Valid"/>
  </r>
  <r>
    <x v="67"/>
    <x v="5"/>
    <s v="Google Ads"/>
    <x v="0"/>
    <s v="Healthcare"/>
    <x v="4"/>
    <n v="114028"/>
    <n v="3112"/>
    <n v="2.7300000000000001E-2"/>
    <n v="1.36"/>
    <n v="4232.32"/>
    <n v="120"/>
    <n v="35.270000000000003"/>
    <n v="10393.959999999999"/>
    <n v="6161.6399999999994"/>
    <n v="1.4558539996975655"/>
    <n v="2.46"/>
    <s v="Medium"/>
    <s v="Valid"/>
  </r>
  <r>
    <x v="48"/>
    <x v="1"/>
    <s v="TikTok Ads"/>
    <x v="1"/>
    <s v="Healthcare"/>
    <x v="6"/>
    <n v="180309"/>
    <n v="5823"/>
    <n v="3.2300000000000002E-2"/>
    <n v="0.65"/>
    <n v="3784.95"/>
    <n v="232"/>
    <n v="16.309999999999999"/>
    <n v="46549.68"/>
    <n v="42764.73"/>
    <n v="11.29862481670828"/>
    <n v="12.3"/>
    <s v="High"/>
    <s v="Valid"/>
  </r>
  <r>
    <x v="127"/>
    <x v="11"/>
    <s v="Meta Ads"/>
    <x v="1"/>
    <s v="SaaS"/>
    <x v="4"/>
    <n v="168402"/>
    <n v="5237"/>
    <n v="3.1099999999999999E-2"/>
    <n v="0.85"/>
    <n v="4451.45"/>
    <n v="188"/>
    <n v="23.68"/>
    <n v="43774.92"/>
    <n v="39323.47"/>
    <n v="8.8338563838749184"/>
    <n v="9.83"/>
    <s v="High"/>
    <s v="Valid"/>
  </r>
  <r>
    <x v="162"/>
    <x v="9"/>
    <s v="TikTok Ads"/>
    <x v="1"/>
    <s v="E-commerce"/>
    <x v="4"/>
    <n v="125419"/>
    <n v="4126"/>
    <n v="3.2899999999999999E-2"/>
    <n v="0.85"/>
    <n v="3507.1"/>
    <n v="294"/>
    <n v="11.93"/>
    <n v="32829.78"/>
    <n v="29322.68"/>
    <n v="8.3609477916227082"/>
    <n v="9.36"/>
    <s v="High"/>
    <s v="Valid"/>
  </r>
  <r>
    <x v="217"/>
    <x v="2"/>
    <s v="TikTok Ads"/>
    <x v="1"/>
    <s v="SaaS"/>
    <x v="1"/>
    <n v="123680"/>
    <n v="8373"/>
    <n v="6.7699999999999996E-2"/>
    <n v="0.6"/>
    <n v="5023.8"/>
    <n v="263"/>
    <n v="19.100000000000001"/>
    <n v="12412.26"/>
    <n v="7388.46"/>
    <n v="1.470691508419921"/>
    <n v="2.4700000000000002"/>
    <s v="Medium"/>
    <s v="Valid"/>
  </r>
  <r>
    <x v="69"/>
    <x v="1"/>
    <s v="Google Ads"/>
    <x v="0"/>
    <s v="Fintech"/>
    <x v="1"/>
    <n v="117660"/>
    <n v="6388"/>
    <n v="5.4300000000000001E-2"/>
    <n v="1.81"/>
    <n v="11562.28"/>
    <n v="331"/>
    <n v="34.93"/>
    <n v="17255.28"/>
    <n v="5692.9999999999982"/>
    <n v="0.49237693603683685"/>
    <n v="1.49"/>
    <s v="Medium"/>
    <s v="Valid"/>
  </r>
  <r>
    <x v="212"/>
    <x v="7"/>
    <s v="Meta Ads"/>
    <x v="1"/>
    <s v="Fintech"/>
    <x v="4"/>
    <n v="76916"/>
    <n v="2761"/>
    <n v="3.5900000000000001E-2"/>
    <n v="0.71"/>
    <n v="1960.31"/>
    <n v="64"/>
    <n v="30.63"/>
    <n v="14368.24"/>
    <n v="12407.93"/>
    <n v="6.329575424295137"/>
    <n v="7.33"/>
    <s v="High"/>
    <s v="Valid"/>
  </r>
  <r>
    <x v="103"/>
    <x v="2"/>
    <s v="Meta Ads"/>
    <x v="1"/>
    <s v="E-commerce"/>
    <x v="4"/>
    <n v="150631"/>
    <n v="5648"/>
    <n v="3.7499999999999999E-2"/>
    <n v="1.94"/>
    <n v="10957.12"/>
    <n v="111"/>
    <n v="98.71"/>
    <n v="21671.9"/>
    <n v="10714.78"/>
    <n v="0.97788287433194121"/>
    <n v="1.98"/>
    <s v="Medium"/>
    <s v="Valid"/>
  </r>
  <r>
    <x v="176"/>
    <x v="2"/>
    <s v="Google Ads"/>
    <x v="3"/>
    <s v="Fintech"/>
    <x v="6"/>
    <n v="126635"/>
    <n v="4254"/>
    <n v="3.3599999999999998E-2"/>
    <n v="1.33"/>
    <n v="5657.82"/>
    <n v="313"/>
    <n v="18.079999999999998"/>
    <n v="28110.42"/>
    <n v="22452.6"/>
    <n v="3.9684189316733298"/>
    <n v="4.97"/>
    <s v="High"/>
    <s v="Valid"/>
  </r>
  <r>
    <x v="20"/>
    <x v="9"/>
    <s v="Google Ads"/>
    <x v="1"/>
    <s v="EdTech"/>
    <x v="5"/>
    <n v="159721"/>
    <n v="3625"/>
    <n v="2.2700000000000001E-2"/>
    <n v="1.91"/>
    <n v="6923.75"/>
    <n v="150"/>
    <n v="46.16"/>
    <n v="39701.58"/>
    <n v="32777.83"/>
    <n v="4.7341151832460735"/>
    <n v="5.73"/>
    <s v="High"/>
    <s v="Valid"/>
  </r>
  <r>
    <x v="218"/>
    <x v="7"/>
    <s v="Meta Ads"/>
    <x v="2"/>
    <s v="Healthcare"/>
    <x v="0"/>
    <n v="150698"/>
    <n v="4581"/>
    <n v="3.04E-2"/>
    <n v="0.51"/>
    <n v="2336.31"/>
    <n v="285"/>
    <n v="8.1999999999999993"/>
    <n v="32525.45"/>
    <n v="30189.14"/>
    <n v="12.921718436337644"/>
    <n v="13.92"/>
    <s v="High"/>
    <s v="Valid"/>
  </r>
  <r>
    <x v="219"/>
    <x v="5"/>
    <s v="TikTok Ads"/>
    <x v="0"/>
    <s v="EdTech"/>
    <x v="4"/>
    <n v="98348"/>
    <n v="3225"/>
    <n v="3.2800000000000003E-2"/>
    <n v="1.27"/>
    <n v="4095.75"/>
    <n v="59"/>
    <n v="69.42"/>
    <n v="2846.94"/>
    <n v="-1248.81"/>
    <n v="-0.30490386376121587"/>
    <n v="0.7"/>
    <s v="Low"/>
    <s v="Valid"/>
  </r>
  <r>
    <x v="220"/>
    <x v="4"/>
    <s v="Meta Ads"/>
    <x v="0"/>
    <s v="E-commerce"/>
    <x v="2"/>
    <n v="110603"/>
    <n v="2377"/>
    <n v="2.1499999999999998E-2"/>
    <n v="0.69"/>
    <n v="1640.13"/>
    <n v="62"/>
    <n v="26.45"/>
    <n v="2761.12"/>
    <n v="1120.9899999999998"/>
    <n v="0.68347630980471041"/>
    <n v="1.68"/>
    <s v="Medium"/>
    <s v="Valid"/>
  </r>
  <r>
    <x v="221"/>
    <x v="0"/>
    <s v="Google Ads"/>
    <x v="2"/>
    <s v="E-commerce"/>
    <x v="0"/>
    <n v="76792"/>
    <n v="3317"/>
    <n v="4.3200000000000002E-2"/>
    <n v="3.1"/>
    <n v="10282.700000000001"/>
    <n v="262"/>
    <n v="39.25"/>
    <n v="42043.839999999997"/>
    <n v="31761.139999999996"/>
    <n v="3.0887937992939589"/>
    <n v="4.09"/>
    <s v="High"/>
    <s v="Valid"/>
  </r>
  <r>
    <x v="205"/>
    <x v="11"/>
    <s v="TikTok Ads"/>
    <x v="2"/>
    <s v="SaaS"/>
    <x v="2"/>
    <n v="44405"/>
    <n v="1953"/>
    <n v="4.3999999999999997E-2"/>
    <n v="1.53"/>
    <n v="2988.09"/>
    <n v="22"/>
    <n v="135.82"/>
    <n v="6030.56"/>
    <n v="3042.4700000000003"/>
    <n v="1.0181989163646343"/>
    <n v="2.02"/>
    <s v="Medium"/>
    <s v="Valid"/>
  </r>
  <r>
    <x v="137"/>
    <x v="4"/>
    <s v="Google Ads"/>
    <x v="2"/>
    <s v="E-commerce"/>
    <x v="5"/>
    <n v="49462"/>
    <n v="1206"/>
    <n v="2.4400000000000002E-2"/>
    <n v="1.95"/>
    <n v="2351.6999999999998"/>
    <n v="74"/>
    <n v="31.78"/>
    <n v="12950.09"/>
    <n v="10598.39"/>
    <n v="4.5066930305736275"/>
    <n v="5.51"/>
    <s v="High"/>
    <s v="Valid"/>
  </r>
  <r>
    <x v="107"/>
    <x v="8"/>
    <s v="TikTok Ads"/>
    <x v="3"/>
    <s v="SaaS"/>
    <x v="6"/>
    <n v="140440"/>
    <n v="11825"/>
    <n v="8.4199999999999997E-2"/>
    <n v="0.68"/>
    <n v="8041"/>
    <n v="748"/>
    <n v="10.75"/>
    <n v="31071.69"/>
    <n v="23030.69"/>
    <n v="2.8641574431040913"/>
    <n v="3.86"/>
    <s v="High"/>
    <s v="Valid"/>
  </r>
  <r>
    <x v="222"/>
    <x v="1"/>
    <s v="TikTok Ads"/>
    <x v="3"/>
    <s v="Healthcare"/>
    <x v="2"/>
    <n v="112392"/>
    <n v="4934"/>
    <n v="4.3900000000000002E-2"/>
    <n v="1.64"/>
    <n v="8091.76"/>
    <n v="363"/>
    <n v="22.29"/>
    <n v="91221.43"/>
    <n v="83129.67"/>
    <n v="10.273373159856446"/>
    <n v="11.27"/>
    <s v="High"/>
    <s v="Valid"/>
  </r>
  <r>
    <x v="8"/>
    <x v="5"/>
    <s v="TikTok Ads"/>
    <x v="2"/>
    <s v="Healthcare"/>
    <x v="6"/>
    <n v="125654"/>
    <n v="8318"/>
    <n v="6.6199999999999995E-2"/>
    <n v="0.57999999999999996"/>
    <n v="4824.4399999999996"/>
    <n v="566"/>
    <n v="8.52"/>
    <n v="117035.13"/>
    <n v="112210.69"/>
    <n v="23.258801021465707"/>
    <n v="24.26"/>
    <s v="High"/>
    <s v="Valid"/>
  </r>
  <r>
    <x v="223"/>
    <x v="10"/>
    <s v="Meta Ads"/>
    <x v="0"/>
    <s v="Healthcare"/>
    <x v="1"/>
    <n v="167002"/>
    <n v="3406"/>
    <n v="2.0400000000000001E-2"/>
    <n v="1.83"/>
    <n v="6232.98"/>
    <n v="76"/>
    <n v="82.01"/>
    <n v="10328.31"/>
    <n v="4095.33"/>
    <n v="0.6570420569294303"/>
    <n v="1.66"/>
    <s v="Medium"/>
    <s v="Valid"/>
  </r>
  <r>
    <x v="224"/>
    <x v="5"/>
    <s v="TikTok Ads"/>
    <x v="0"/>
    <s v="SaaS"/>
    <x v="6"/>
    <n v="108247"/>
    <n v="6971"/>
    <n v="6.4399999999999999E-2"/>
    <n v="0.59"/>
    <n v="4112.8900000000003"/>
    <n v="517"/>
    <n v="7.96"/>
    <n v="139391.79"/>
    <n v="135278.9"/>
    <n v="32.891446160728826"/>
    <n v="33.89"/>
    <s v="High"/>
    <s v="Valid"/>
  </r>
  <r>
    <x v="219"/>
    <x v="5"/>
    <s v="Meta Ads"/>
    <x v="3"/>
    <s v="Fintech"/>
    <x v="6"/>
    <n v="53128"/>
    <n v="1678"/>
    <n v="3.1600000000000003E-2"/>
    <n v="1.51"/>
    <n v="2533.7800000000002"/>
    <n v="66"/>
    <n v="38.39"/>
    <n v="19225.18"/>
    <n v="16691.400000000001"/>
    <n v="6.5875490374065624"/>
    <n v="7.59"/>
    <s v="High"/>
    <s v="Valid"/>
  </r>
  <r>
    <x v="225"/>
    <x v="2"/>
    <s v="Meta Ads"/>
    <x v="1"/>
    <s v="EdTech"/>
    <x v="2"/>
    <n v="65942"/>
    <n v="2044"/>
    <n v="3.1E-2"/>
    <n v="1.05"/>
    <n v="2146.1999999999998"/>
    <n v="48"/>
    <n v="44.71"/>
    <n v="6784.27"/>
    <n v="4638.0700000000006"/>
    <n v="2.1610614108657167"/>
    <n v="3.16"/>
    <s v="High"/>
    <s v="Valid"/>
  </r>
  <r>
    <x v="147"/>
    <x v="11"/>
    <s v="Google Ads"/>
    <x v="3"/>
    <s v="E-commerce"/>
    <x v="4"/>
    <n v="32160"/>
    <n v="1186"/>
    <n v="3.6900000000000002E-2"/>
    <n v="1.34"/>
    <n v="1589.24"/>
    <n v="12"/>
    <n v="132.44"/>
    <n v="1927.71"/>
    <n v="338.47"/>
    <n v="0.21297601369207925"/>
    <n v="1.21"/>
    <s v="Medium"/>
    <s v="Valid"/>
  </r>
  <r>
    <x v="226"/>
    <x v="7"/>
    <s v="Google Ads"/>
    <x v="0"/>
    <s v="EdTech"/>
    <x v="2"/>
    <n v="58364"/>
    <n v="2241"/>
    <n v="3.8399999999999997E-2"/>
    <n v="2.2200000000000002"/>
    <n v="4975.0200000000004"/>
    <n v="136"/>
    <n v="36.58"/>
    <n v="15149.72"/>
    <n v="10174.699999999999"/>
    <n v="2.0451576074066029"/>
    <n v="3.05"/>
    <s v="High"/>
    <s v="Valid"/>
  </r>
  <r>
    <x v="48"/>
    <x v="1"/>
    <s v="Meta Ads"/>
    <x v="0"/>
    <s v="E-commerce"/>
    <x v="5"/>
    <n v="79462"/>
    <n v="2058"/>
    <n v="2.5899999999999999E-2"/>
    <n v="0.88"/>
    <n v="1811.04"/>
    <n v="146"/>
    <n v="12.4"/>
    <n v="7813.85"/>
    <n v="6002.81"/>
    <n v="3.3145651117589896"/>
    <n v="4.3099999999999996"/>
    <s v="High"/>
    <s v="Valid"/>
  </r>
  <r>
    <x v="227"/>
    <x v="5"/>
    <s v="Meta Ads"/>
    <x v="3"/>
    <s v="SaaS"/>
    <x v="5"/>
    <n v="151864"/>
    <n v="4358"/>
    <n v="2.87E-2"/>
    <n v="1.69"/>
    <n v="7365.02"/>
    <n v="175"/>
    <n v="42.09"/>
    <n v="45340.29"/>
    <n v="37975.270000000004"/>
    <n v="5.1561665820323643"/>
    <n v="6.16"/>
    <s v="High"/>
    <s v="Valid"/>
  </r>
  <r>
    <x v="43"/>
    <x v="5"/>
    <s v="Google Ads"/>
    <x v="2"/>
    <s v="EdTech"/>
    <x v="0"/>
    <n v="182926"/>
    <n v="6749"/>
    <n v="3.6900000000000002E-2"/>
    <n v="1.94"/>
    <n v="13093.06"/>
    <n v="343"/>
    <n v="38.17"/>
    <n v="53279.93"/>
    <n v="40186.870000000003"/>
    <n v="3.0693260399020552"/>
    <n v="4.07"/>
    <s v="High"/>
    <s v="Valid"/>
  </r>
  <r>
    <x v="146"/>
    <x v="3"/>
    <s v="Meta Ads"/>
    <x v="2"/>
    <s v="E-commerce"/>
    <x v="5"/>
    <n v="107489"/>
    <n v="2515"/>
    <n v="2.3400000000000001E-2"/>
    <n v="1.4"/>
    <n v="3521"/>
    <n v="166"/>
    <n v="21.21"/>
    <n v="18411.150000000001"/>
    <n v="14890.150000000001"/>
    <n v="4.2289548423743257"/>
    <n v="5.23"/>
    <s v="High"/>
    <s v="Valid"/>
  </r>
  <r>
    <x v="220"/>
    <x v="4"/>
    <s v="TikTok Ads"/>
    <x v="0"/>
    <s v="Healthcare"/>
    <x v="5"/>
    <n v="40709"/>
    <n v="1314"/>
    <n v="3.2300000000000002E-2"/>
    <n v="0.7"/>
    <n v="919.8"/>
    <n v="90"/>
    <n v="10.220000000000001"/>
    <n v="16081.05"/>
    <n v="15161.25"/>
    <n v="16.483202870189171"/>
    <n v="17.48"/>
    <s v="High"/>
    <s v="Valid"/>
  </r>
  <r>
    <x v="228"/>
    <x v="7"/>
    <s v="Google Ads"/>
    <x v="1"/>
    <s v="Fintech"/>
    <x v="6"/>
    <n v="143561"/>
    <n v="9144"/>
    <n v="6.3700000000000007E-2"/>
    <n v="1.93"/>
    <n v="17647.919999999998"/>
    <n v="630"/>
    <n v="28.01"/>
    <n v="123364.05"/>
    <n v="105716.13"/>
    <n v="5.9902883739273536"/>
    <n v="6.99"/>
    <s v="High"/>
    <s v="Valid"/>
  </r>
  <r>
    <x v="229"/>
    <x v="11"/>
    <s v="Google Ads"/>
    <x v="2"/>
    <s v="Fintech"/>
    <x v="5"/>
    <n v="94242"/>
    <n v="5466"/>
    <n v="5.8000000000000003E-2"/>
    <n v="1.67"/>
    <n v="9128.2199999999993"/>
    <n v="100"/>
    <n v="91.28"/>
    <n v="6794.77"/>
    <n v="-2333.4499999999989"/>
    <n v="-0.25563034195056639"/>
    <n v="0.74"/>
    <s v="Low"/>
    <s v="Valid"/>
  </r>
  <r>
    <x v="68"/>
    <x v="7"/>
    <s v="Google Ads"/>
    <x v="3"/>
    <s v="Healthcare"/>
    <x v="0"/>
    <n v="111311"/>
    <n v="5765"/>
    <n v="5.1799999999999999E-2"/>
    <n v="2.71"/>
    <n v="15623.15"/>
    <n v="389"/>
    <n v="40.159999999999997"/>
    <n v="22317.919999999998"/>
    <n v="6694.7699999999986"/>
    <n v="0.42851601629632941"/>
    <n v="1.43"/>
    <s v="Medium"/>
    <s v="Valid"/>
  </r>
  <r>
    <x v="228"/>
    <x v="7"/>
    <s v="TikTok Ads"/>
    <x v="1"/>
    <s v="Fintech"/>
    <x v="2"/>
    <n v="130865"/>
    <n v="9461"/>
    <n v="7.2300000000000003E-2"/>
    <n v="1.48"/>
    <n v="14002.28"/>
    <n v="221"/>
    <n v="63.36"/>
    <n v="46411.13"/>
    <n v="32408.85"/>
    <n v="2.3145409176219869"/>
    <n v="3.31"/>
    <s v="High"/>
    <s v="Valid"/>
  </r>
  <r>
    <x v="3"/>
    <x v="0"/>
    <s v="Meta Ads"/>
    <x v="1"/>
    <s v="EdTech"/>
    <x v="2"/>
    <n v="138639"/>
    <n v="2204"/>
    <n v="1.5900000000000001E-2"/>
    <n v="1.8"/>
    <n v="3967.2"/>
    <n v="154"/>
    <n v="25.76"/>
    <n v="35803.07"/>
    <n v="31835.87"/>
    <n v="8.0247706190764276"/>
    <n v="9.02"/>
    <s v="High"/>
    <s v="Valid"/>
  </r>
  <r>
    <x v="2"/>
    <x v="1"/>
    <s v="TikTok Ads"/>
    <x v="2"/>
    <s v="SaaS"/>
    <x v="5"/>
    <n v="147355"/>
    <n v="7485"/>
    <n v="5.0799999999999998E-2"/>
    <n v="0.91"/>
    <n v="6811.35"/>
    <n v="81"/>
    <n v="84.09"/>
    <n v="14520.06"/>
    <n v="7708.7099999999991"/>
    <n v="1.1317448082979142"/>
    <n v="2.13"/>
    <s v="Medium"/>
    <s v="Valid"/>
  </r>
  <r>
    <x v="57"/>
    <x v="5"/>
    <s v="Meta Ads"/>
    <x v="2"/>
    <s v="Fintech"/>
    <x v="1"/>
    <n v="26751"/>
    <n v="489"/>
    <n v="1.83E-2"/>
    <n v="1.93"/>
    <n v="943.77"/>
    <n v="8"/>
    <n v="117.97"/>
    <n v="791.56"/>
    <n v="-152.21000000000004"/>
    <n v="-0.16127870137851388"/>
    <n v="0.84"/>
    <s v="Low"/>
    <s v="Valid"/>
  </r>
  <r>
    <x v="98"/>
    <x v="0"/>
    <s v="TikTok Ads"/>
    <x v="3"/>
    <s v="SaaS"/>
    <x v="1"/>
    <n v="42706"/>
    <n v="2084"/>
    <n v="4.8800000000000003E-2"/>
    <n v="1.59"/>
    <n v="3313.56"/>
    <n v="35"/>
    <n v="94.67"/>
    <n v="4766.32"/>
    <n v="1452.7599999999998"/>
    <n v="0.43842875940076526"/>
    <n v="1.44"/>
    <s v="Medium"/>
    <s v="Valid"/>
  </r>
  <r>
    <x v="212"/>
    <x v="7"/>
    <s v="Meta Ads"/>
    <x v="1"/>
    <s v="SaaS"/>
    <x v="0"/>
    <n v="173337"/>
    <n v="3189"/>
    <n v="1.84E-2"/>
    <n v="2.0299999999999998"/>
    <n v="6473.67"/>
    <n v="224"/>
    <n v="28.9"/>
    <n v="43055.91"/>
    <n v="36582.240000000005"/>
    <n v="5.6509275264262779"/>
    <n v="6.65"/>
    <s v="High"/>
    <s v="Valid"/>
  </r>
  <r>
    <x v="185"/>
    <x v="10"/>
    <s v="Meta Ads"/>
    <x v="2"/>
    <s v="SaaS"/>
    <x v="4"/>
    <n v="99948"/>
    <n v="1389"/>
    <n v="1.3899999999999999E-2"/>
    <n v="1.04"/>
    <n v="1444.56"/>
    <n v="67"/>
    <n v="21.56"/>
    <n v="4987.6000000000004"/>
    <n v="3543.0400000000004"/>
    <n v="2.452677631943291"/>
    <n v="3.45"/>
    <s v="High"/>
    <s v="Valid"/>
  </r>
  <r>
    <x v="230"/>
    <x v="11"/>
    <s v="Google Ads"/>
    <x v="1"/>
    <s v="Healthcare"/>
    <x v="4"/>
    <n v="65282"/>
    <n v="1723"/>
    <n v="2.64E-2"/>
    <n v="1.91"/>
    <n v="3290.93"/>
    <n v="64"/>
    <n v="51.42"/>
    <n v="16624.45"/>
    <n v="13333.52"/>
    <n v="4.0515963572607134"/>
    <n v="5.05"/>
    <s v="High"/>
    <s v="Valid"/>
  </r>
  <r>
    <x v="225"/>
    <x v="2"/>
    <s v="Google Ads"/>
    <x v="1"/>
    <s v="EdTech"/>
    <x v="2"/>
    <n v="48790"/>
    <n v="2824"/>
    <n v="5.79E-2"/>
    <n v="1.3"/>
    <n v="3671.2"/>
    <n v="178"/>
    <n v="20.62"/>
    <n v="37847.71"/>
    <n v="34176.51"/>
    <n v="9.3093566136413166"/>
    <n v="10.31"/>
    <s v="High"/>
    <s v="Valid"/>
  </r>
  <r>
    <x v="223"/>
    <x v="10"/>
    <s v="Google Ads"/>
    <x v="2"/>
    <s v="EdTech"/>
    <x v="0"/>
    <n v="163272"/>
    <n v="5551"/>
    <n v="3.4000000000000002E-2"/>
    <n v="2.23"/>
    <n v="12378.73"/>
    <n v="135"/>
    <n v="91.69"/>
    <n v="38753.89"/>
    <n v="26375.16"/>
    <n v="2.1306838423650891"/>
    <n v="3.13"/>
    <s v="High"/>
    <s v="Valid"/>
  </r>
  <r>
    <x v="231"/>
    <x v="6"/>
    <s v="Google Ads"/>
    <x v="1"/>
    <s v="EdTech"/>
    <x v="6"/>
    <n v="149233"/>
    <n v="3686"/>
    <n v="2.47E-2"/>
    <n v="1"/>
    <n v="3686"/>
    <n v="250"/>
    <n v="14.74"/>
    <n v="16524.46"/>
    <n v="12838.46"/>
    <n v="3.4830330982094408"/>
    <n v="4.4800000000000004"/>
    <s v="High"/>
    <s v="Valid"/>
  </r>
  <r>
    <x v="29"/>
    <x v="2"/>
    <s v="TikTok Ads"/>
    <x v="0"/>
    <s v="SaaS"/>
    <x v="0"/>
    <n v="7637"/>
    <n v="415"/>
    <n v="5.4399999999999997E-2"/>
    <n v="1.54"/>
    <n v="639.1"/>
    <n v="10"/>
    <n v="63.91"/>
    <n v="1137.83"/>
    <n v="498.7299999999999"/>
    <n v="0.78036301048349221"/>
    <n v="1.78"/>
    <s v="Medium"/>
    <s v="Valid"/>
  </r>
  <r>
    <x v="144"/>
    <x v="0"/>
    <s v="Google Ads"/>
    <x v="3"/>
    <s v="Fintech"/>
    <x v="1"/>
    <n v="20198"/>
    <n v="878"/>
    <n v="4.3499999999999997E-2"/>
    <n v="2.68"/>
    <n v="2353.04"/>
    <n v="67"/>
    <n v="35.119999999999997"/>
    <n v="5967.58"/>
    <n v="3614.54"/>
    <n v="1.5361149831707068"/>
    <n v="2.54"/>
    <s v="Medium"/>
    <s v="Valid"/>
  </r>
  <r>
    <x v="11"/>
    <x v="7"/>
    <s v="Google Ads"/>
    <x v="0"/>
    <s v="EdTech"/>
    <x v="0"/>
    <n v="32675"/>
    <n v="941"/>
    <n v="2.8799999999999999E-2"/>
    <n v="1.0900000000000001"/>
    <n v="1025.69"/>
    <n v="47"/>
    <n v="21.82"/>
    <n v="12632.32"/>
    <n v="11606.63"/>
    <n v="11.315923914633075"/>
    <n v="12.32"/>
    <s v="High"/>
    <s v="Valid"/>
  </r>
  <r>
    <x v="66"/>
    <x v="2"/>
    <s v="Google Ads"/>
    <x v="0"/>
    <s v="EdTech"/>
    <x v="2"/>
    <n v="116560"/>
    <n v="4312"/>
    <n v="3.6999999999999998E-2"/>
    <n v="2.79"/>
    <n v="12030.48"/>
    <n v="198"/>
    <n v="60.76"/>
    <n v="51746.42"/>
    <n v="39715.94"/>
    <n v="3.3012764245483144"/>
    <n v="4.3"/>
    <s v="High"/>
    <s v="Valid"/>
  </r>
  <r>
    <x v="232"/>
    <x v="0"/>
    <s v="Meta Ads"/>
    <x v="3"/>
    <s v="E-commerce"/>
    <x v="6"/>
    <n v="176459"/>
    <n v="3670"/>
    <n v="2.0799999999999999E-2"/>
    <n v="1.91"/>
    <n v="7009.7"/>
    <n v="65"/>
    <n v="107.84"/>
    <n v="2483.8000000000002"/>
    <n v="-4525.8999999999996"/>
    <n v="-0.6456624391914062"/>
    <n v="0.35"/>
    <s v="Low"/>
    <s v="Valid"/>
  </r>
  <r>
    <x v="212"/>
    <x v="7"/>
    <s v="Meta Ads"/>
    <x v="2"/>
    <s v="SaaS"/>
    <x v="6"/>
    <n v="49980"/>
    <n v="1664"/>
    <n v="3.3300000000000003E-2"/>
    <n v="1.98"/>
    <n v="3294.72"/>
    <n v="37"/>
    <n v="89.05"/>
    <n v="6236.77"/>
    <n v="2942.0500000000006"/>
    <n v="0.89295903749028771"/>
    <n v="1.89"/>
    <s v="Medium"/>
    <s v="Valid"/>
  </r>
  <r>
    <x v="79"/>
    <x v="0"/>
    <s v="Meta Ads"/>
    <x v="1"/>
    <s v="Healthcare"/>
    <x v="3"/>
    <n v="98944"/>
    <n v="1850"/>
    <n v="1.8700000000000001E-2"/>
    <n v="1.42"/>
    <n v="2627"/>
    <n v="78"/>
    <n v="33.68"/>
    <n v="17285.68"/>
    <n v="14658.68"/>
    <n v="5.5800076132470497"/>
    <n v="6.58"/>
    <s v="High"/>
    <s v="Valid"/>
  </r>
  <r>
    <x v="227"/>
    <x v="5"/>
    <s v="TikTok Ads"/>
    <x v="1"/>
    <s v="Healthcare"/>
    <x v="2"/>
    <n v="115310"/>
    <n v="3205"/>
    <n v="2.7799999999999998E-2"/>
    <n v="1.04"/>
    <n v="3333.2"/>
    <n v="134"/>
    <n v="24.87"/>
    <n v="14521.43"/>
    <n v="11188.23"/>
    <n v="3.3566032641305652"/>
    <n v="4.3600000000000003"/>
    <s v="High"/>
    <s v="Valid"/>
  </r>
  <r>
    <x v="233"/>
    <x v="4"/>
    <s v="Meta Ads"/>
    <x v="0"/>
    <s v="E-commerce"/>
    <x v="5"/>
    <n v="8626"/>
    <n v="242"/>
    <n v="2.81E-2"/>
    <n v="1.1299999999999999"/>
    <n v="273.45999999999998"/>
    <n v="18"/>
    <n v="15.19"/>
    <n v="3013.54"/>
    <n v="2740.08"/>
    <n v="10.020039493893075"/>
    <n v="11.02"/>
    <s v="High"/>
    <s v="Valid"/>
  </r>
  <r>
    <x v="33"/>
    <x v="0"/>
    <s v="Meta Ads"/>
    <x v="3"/>
    <s v="E-commerce"/>
    <x v="3"/>
    <n v="88732"/>
    <n v="1579"/>
    <n v="1.78E-2"/>
    <n v="0.44"/>
    <n v="694.76"/>
    <n v="32"/>
    <n v="21.71"/>
    <n v="4757.82"/>
    <n v="4063.0599999999995"/>
    <n v="5.8481490010939021"/>
    <n v="6.85"/>
    <s v="High"/>
    <s v="Valid"/>
  </r>
  <r>
    <x v="234"/>
    <x v="1"/>
    <s v="Meta Ads"/>
    <x v="1"/>
    <s v="EdTech"/>
    <x v="3"/>
    <n v="29502"/>
    <n v="604"/>
    <n v="2.0500000000000001E-2"/>
    <n v="1.61"/>
    <n v="972.44"/>
    <n v="30"/>
    <n v="32.409999999999997"/>
    <n v="5842.59"/>
    <n v="4870.1499999999996"/>
    <n v="5.0081753115873466"/>
    <n v="6.01"/>
    <s v="High"/>
    <s v="Valid"/>
  </r>
  <r>
    <x v="163"/>
    <x v="7"/>
    <s v="TikTok Ads"/>
    <x v="0"/>
    <s v="E-commerce"/>
    <x v="4"/>
    <n v="198085"/>
    <n v="14460"/>
    <n v="7.2999999999999995E-2"/>
    <n v="0.82"/>
    <n v="11857.2"/>
    <n v="1133"/>
    <n v="10.47"/>
    <n v="295028.26"/>
    <n v="283171.06"/>
    <n v="23.88178153358297"/>
    <n v="24.88"/>
    <s v="High"/>
    <s v="Valid"/>
  </r>
  <r>
    <x v="72"/>
    <x v="10"/>
    <s v="Meta Ads"/>
    <x v="2"/>
    <s v="Healthcare"/>
    <x v="2"/>
    <n v="111802"/>
    <n v="2247"/>
    <n v="2.01E-2"/>
    <n v="1.65"/>
    <n v="3707.55"/>
    <n v="163"/>
    <n v="22.75"/>
    <n v="6163.84"/>
    <n v="2456.29"/>
    <n v="0.66251028307103066"/>
    <n v="1.66"/>
    <s v="Medium"/>
    <s v="Valid"/>
  </r>
  <r>
    <x v="174"/>
    <x v="4"/>
    <s v="Google Ads"/>
    <x v="2"/>
    <s v="EdTech"/>
    <x v="0"/>
    <n v="65186"/>
    <n v="1955"/>
    <n v="0.03"/>
    <n v="2.2599999999999998"/>
    <n v="4418.3"/>
    <n v="89"/>
    <n v="49.64"/>
    <n v="13375.79"/>
    <n v="8957.4900000000016"/>
    <n v="2.0273612022723673"/>
    <n v="3.03"/>
    <s v="High"/>
    <s v="Valid"/>
  </r>
  <r>
    <x v="2"/>
    <x v="1"/>
    <s v="TikTok Ads"/>
    <x v="1"/>
    <s v="EdTech"/>
    <x v="1"/>
    <n v="101176"/>
    <n v="6505"/>
    <n v="6.4299999999999996E-2"/>
    <n v="0.96"/>
    <n v="6244.8"/>
    <n v="459"/>
    <n v="13.61"/>
    <n v="44008.34"/>
    <n v="37763.539999999994"/>
    <n v="6.047197668460158"/>
    <n v="7.05"/>
    <s v="High"/>
    <s v="Valid"/>
  </r>
  <r>
    <x v="235"/>
    <x v="4"/>
    <s v="TikTok Ads"/>
    <x v="1"/>
    <s v="SaaS"/>
    <x v="0"/>
    <n v="41307"/>
    <n v="1367"/>
    <n v="3.3099999999999997E-2"/>
    <n v="0.56999999999999995"/>
    <n v="779.19"/>
    <n v="92"/>
    <n v="8.4700000000000006"/>
    <n v="6211.99"/>
    <n v="5432.7999999999993"/>
    <n v="6.9723687418986371"/>
    <n v="7.97"/>
    <s v="High"/>
    <s v="Valid"/>
  </r>
  <r>
    <x v="236"/>
    <x v="8"/>
    <s v="Meta Ads"/>
    <x v="1"/>
    <s v="EdTech"/>
    <x v="1"/>
    <n v="174579"/>
    <n v="3247"/>
    <n v="1.8599999999999998E-2"/>
    <n v="1.33"/>
    <n v="4318.51"/>
    <n v="187"/>
    <n v="23.09"/>
    <n v="41760.07"/>
    <n v="37441.56"/>
    <n v="8.6700181312536024"/>
    <n v="9.67"/>
    <s v="High"/>
    <s v="Valid"/>
  </r>
  <r>
    <x v="71"/>
    <x v="2"/>
    <s v="Meta Ads"/>
    <x v="1"/>
    <s v="SaaS"/>
    <x v="5"/>
    <n v="83137"/>
    <n v="2045"/>
    <n v="2.46E-2"/>
    <n v="1.01"/>
    <n v="2065.4499999999998"/>
    <n v="37"/>
    <n v="55.82"/>
    <n v="1798.59"/>
    <n v="-266.8599999999999"/>
    <n v="-0.12920186884214091"/>
    <n v="0.87"/>
    <s v="Low"/>
    <s v="Valid"/>
  </r>
  <r>
    <x v="144"/>
    <x v="0"/>
    <s v="Meta Ads"/>
    <x v="0"/>
    <s v="Healthcare"/>
    <x v="1"/>
    <n v="122897"/>
    <n v="2040"/>
    <n v="1.66E-2"/>
    <n v="0.77"/>
    <n v="1570.8"/>
    <n v="159"/>
    <n v="9.8800000000000008"/>
    <n v="45753.83"/>
    <n v="44183.03"/>
    <n v="28.127724726254137"/>
    <n v="29.13"/>
    <s v="High"/>
    <s v="Valid"/>
  </r>
  <r>
    <x v="165"/>
    <x v="3"/>
    <s v="TikTok Ads"/>
    <x v="0"/>
    <s v="Healthcare"/>
    <x v="5"/>
    <n v="47462"/>
    <n v="1803"/>
    <n v="3.7999999999999999E-2"/>
    <n v="0.53"/>
    <n v="955.59"/>
    <n v="98"/>
    <n v="9.75"/>
    <n v="29213.279999999999"/>
    <n v="28257.69"/>
    <n v="29.570935233729944"/>
    <n v="30.57"/>
    <s v="High"/>
    <s v="Valid"/>
  </r>
  <r>
    <x v="237"/>
    <x v="1"/>
    <s v="TikTok Ads"/>
    <x v="3"/>
    <s v="EdTech"/>
    <x v="3"/>
    <n v="99202"/>
    <n v="6428"/>
    <n v="6.4799999999999996E-2"/>
    <n v="1.54"/>
    <n v="9899.1200000000008"/>
    <n v="165"/>
    <n v="59.99"/>
    <n v="34456.26"/>
    <n v="24557.14"/>
    <n v="2.4807397021149353"/>
    <n v="3.48"/>
    <s v="High"/>
    <s v="Valid"/>
  </r>
  <r>
    <x v="238"/>
    <x v="2"/>
    <s v="Meta Ads"/>
    <x v="2"/>
    <s v="SaaS"/>
    <x v="2"/>
    <n v="125871"/>
    <n v="3083"/>
    <n v="2.4500000000000001E-2"/>
    <n v="1.72"/>
    <n v="5302.76"/>
    <n v="185"/>
    <n v="28.66"/>
    <n v="27759.15"/>
    <n v="22456.39"/>
    <n v="4.2348493991808036"/>
    <n v="5.23"/>
    <s v="High"/>
    <s v="Valid"/>
  </r>
  <r>
    <x v="194"/>
    <x v="11"/>
    <s v="Google Ads"/>
    <x v="0"/>
    <s v="Healthcare"/>
    <x v="1"/>
    <n v="8880"/>
    <n v="216"/>
    <n v="2.4400000000000002E-2"/>
    <n v="2.06"/>
    <n v="444.96"/>
    <n v="6"/>
    <n v="74.16"/>
    <n v="1186.19"/>
    <n v="741.23"/>
    <n v="1.6658351312477526"/>
    <n v="2.67"/>
    <s v="Medium"/>
    <s v="Valid"/>
  </r>
  <r>
    <x v="188"/>
    <x v="6"/>
    <s v="Google Ads"/>
    <x v="2"/>
    <s v="EdTech"/>
    <x v="2"/>
    <n v="156388"/>
    <n v="7021"/>
    <n v="4.4900000000000002E-2"/>
    <n v="1.64"/>
    <n v="11514.44"/>
    <n v="315"/>
    <n v="36.549999999999997"/>
    <n v="34670.519999999997"/>
    <n v="23156.079999999994"/>
    <n v="2.0110469983776889"/>
    <n v="3.01"/>
    <s v="High"/>
    <s v="Valid"/>
  </r>
  <r>
    <x v="104"/>
    <x v="11"/>
    <s v="Google Ads"/>
    <x v="1"/>
    <s v="EdTech"/>
    <x v="1"/>
    <n v="109672"/>
    <n v="2675"/>
    <n v="2.4400000000000002E-2"/>
    <n v="2.5499999999999998"/>
    <n v="6821.25"/>
    <n v="50"/>
    <n v="136.43"/>
    <n v="11521.03"/>
    <n v="4699.7800000000007"/>
    <n v="0.68899102070734841"/>
    <n v="1.69"/>
    <s v="Medium"/>
    <s v="Valid"/>
  </r>
  <r>
    <x v="239"/>
    <x v="8"/>
    <s v="Meta Ads"/>
    <x v="3"/>
    <s v="SaaS"/>
    <x v="0"/>
    <n v="70030"/>
    <n v="1470"/>
    <n v="2.1000000000000001E-2"/>
    <n v="1.68"/>
    <n v="2469.6"/>
    <n v="90"/>
    <n v="27.44"/>
    <n v="9384.9"/>
    <n v="6915.2999999999993"/>
    <n v="2.8001700680272106"/>
    <n v="3.8"/>
    <s v="High"/>
    <s v="Valid"/>
  </r>
  <r>
    <x v="240"/>
    <x v="0"/>
    <s v="Meta Ads"/>
    <x v="1"/>
    <s v="EdTech"/>
    <x v="5"/>
    <n v="149375"/>
    <n v="6109"/>
    <n v="4.0899999999999999E-2"/>
    <n v="2.1800000000000002"/>
    <n v="13317.62"/>
    <n v="89"/>
    <n v="149.63999999999999"/>
    <n v="22418.799999999999"/>
    <n v="9101.1799999999985"/>
    <n v="0.68339387968721121"/>
    <n v="1.68"/>
    <s v="Medium"/>
    <s v="Valid"/>
  </r>
  <r>
    <x v="63"/>
    <x v="1"/>
    <s v="Meta Ads"/>
    <x v="0"/>
    <s v="Fintech"/>
    <x v="4"/>
    <n v="123171"/>
    <n v="3756"/>
    <n v="3.0499999999999999E-2"/>
    <n v="1.86"/>
    <n v="6986.16"/>
    <n v="52"/>
    <n v="134.35"/>
    <n v="7553.6"/>
    <n v="567.44000000000051"/>
    <n v="8.122344750191815E-2"/>
    <n v="1.08"/>
    <s v="Medium"/>
    <s v="Valid"/>
  </r>
  <r>
    <x v="241"/>
    <x v="11"/>
    <s v="Meta Ads"/>
    <x v="0"/>
    <s v="SaaS"/>
    <x v="1"/>
    <n v="52779"/>
    <n v="596"/>
    <n v="1.1299999999999999E-2"/>
    <n v="1.0900000000000001"/>
    <n v="649.64"/>
    <n v="35"/>
    <n v="18.559999999999999"/>
    <n v="3583.95"/>
    <n v="2934.31"/>
    <n v="4.5168247029123823"/>
    <n v="5.52"/>
    <s v="High"/>
    <s v="Valid"/>
  </r>
  <r>
    <x v="26"/>
    <x v="8"/>
    <s v="Google Ads"/>
    <x v="3"/>
    <s v="Fintech"/>
    <x v="2"/>
    <n v="117036"/>
    <n v="3569"/>
    <n v="3.0499999999999999E-2"/>
    <n v="2.13"/>
    <n v="7601.97"/>
    <n v="178"/>
    <n v="42.71"/>
    <n v="11935.14"/>
    <n v="4333.1699999999992"/>
    <n v="0.57000619576241407"/>
    <n v="1.57"/>
    <s v="Medium"/>
    <s v="Valid"/>
  </r>
  <r>
    <x v="242"/>
    <x v="10"/>
    <s v="TikTok Ads"/>
    <x v="2"/>
    <s v="E-commerce"/>
    <x v="0"/>
    <n v="177517"/>
    <n v="13917"/>
    <n v="7.8399999999999997E-2"/>
    <n v="0.91"/>
    <n v="12664.47"/>
    <n v="671"/>
    <n v="18.87"/>
    <n v="36680.47"/>
    <n v="24016"/>
    <n v="1.8963288633476174"/>
    <n v="2.9"/>
    <s v="Medium"/>
    <s v="Valid"/>
  </r>
  <r>
    <x v="19"/>
    <x v="9"/>
    <s v="TikTok Ads"/>
    <x v="0"/>
    <s v="EdTech"/>
    <x v="3"/>
    <n v="196349"/>
    <n v="8325"/>
    <n v="4.24E-2"/>
    <n v="0.69"/>
    <n v="5744.25"/>
    <n v="398"/>
    <n v="14.43"/>
    <n v="42464.91"/>
    <n v="36720.660000000003"/>
    <n v="6.392594333463899"/>
    <n v="7.39"/>
    <s v="High"/>
    <s v="Valid"/>
  </r>
  <r>
    <x v="243"/>
    <x v="3"/>
    <s v="TikTok Ads"/>
    <x v="0"/>
    <s v="SaaS"/>
    <x v="0"/>
    <n v="174898"/>
    <n v="13029"/>
    <n v="7.4499999999999997E-2"/>
    <n v="1.26"/>
    <n v="16416.54"/>
    <n v="822"/>
    <n v="19.97"/>
    <n v="162206.84"/>
    <n v="145790.29999999999"/>
    <n v="8.8806959322731824"/>
    <n v="9.8800000000000008"/>
    <s v="High"/>
    <s v="Valid"/>
  </r>
  <r>
    <x v="52"/>
    <x v="1"/>
    <s v="Google Ads"/>
    <x v="3"/>
    <s v="EdTech"/>
    <x v="2"/>
    <n v="83972"/>
    <n v="4903"/>
    <n v="5.8400000000000001E-2"/>
    <n v="2.9"/>
    <n v="14218.7"/>
    <n v="341"/>
    <n v="41.7"/>
    <n v="36574.449999999997"/>
    <n v="22355.749999999996"/>
    <n v="1.5722780563623957"/>
    <n v="2.57"/>
    <s v="Medium"/>
    <s v="Valid"/>
  </r>
  <r>
    <x v="244"/>
    <x v="5"/>
    <s v="Meta Ads"/>
    <x v="0"/>
    <s v="Fintech"/>
    <x v="2"/>
    <n v="165371"/>
    <n v="2993"/>
    <n v="1.8100000000000002E-2"/>
    <n v="1.51"/>
    <n v="4519.43"/>
    <n v="32"/>
    <n v="141.22999999999999"/>
    <n v="8918.68"/>
    <n v="4399.25"/>
    <n v="0.97340815102789502"/>
    <n v="1.97"/>
    <s v="Medium"/>
    <s v="Valid"/>
  </r>
  <r>
    <x v="245"/>
    <x v="4"/>
    <s v="TikTok Ads"/>
    <x v="2"/>
    <s v="Fintech"/>
    <x v="2"/>
    <n v="133949"/>
    <n v="7219"/>
    <n v="5.3900000000000003E-2"/>
    <n v="1.52"/>
    <n v="10972.88"/>
    <n v="73"/>
    <n v="150.31"/>
    <n v="21583.279999999999"/>
    <n v="10610.4"/>
    <n v="0.96696582847894086"/>
    <n v="1.97"/>
    <s v="Medium"/>
    <s v="Valid"/>
  </r>
  <r>
    <x v="118"/>
    <x v="7"/>
    <s v="TikTok Ads"/>
    <x v="3"/>
    <s v="Fintech"/>
    <x v="6"/>
    <n v="105400"/>
    <n v="7704"/>
    <n v="7.3099999999999998E-2"/>
    <n v="1.1100000000000001"/>
    <n v="8551.44"/>
    <n v="442"/>
    <n v="19.350000000000001"/>
    <n v="49251.38"/>
    <n v="40699.939999999995"/>
    <n v="4.7594253131636304"/>
    <n v="5.76"/>
    <s v="High"/>
    <s v="Valid"/>
  </r>
  <r>
    <x v="246"/>
    <x v="4"/>
    <s v="Google Ads"/>
    <x v="2"/>
    <s v="EdTech"/>
    <x v="2"/>
    <n v="63959"/>
    <n v="2014"/>
    <n v="3.15E-2"/>
    <n v="2.2799999999999998"/>
    <n v="4591.92"/>
    <n v="150"/>
    <n v="30.61"/>
    <n v="37769.589999999997"/>
    <n v="33177.67"/>
    <n v="7.2252282269725949"/>
    <n v="8.23"/>
    <s v="High"/>
    <s v="Valid"/>
  </r>
  <r>
    <x v="36"/>
    <x v="11"/>
    <s v="Google Ads"/>
    <x v="0"/>
    <s v="SaaS"/>
    <x v="5"/>
    <n v="6044"/>
    <n v="146"/>
    <n v="2.4199999999999999E-2"/>
    <n v="1.1299999999999999"/>
    <n v="164.98"/>
    <n v="5"/>
    <n v="33"/>
    <n v="611.36"/>
    <n v="446.38"/>
    <n v="2.7056612922778518"/>
    <n v="3.71"/>
    <s v="High"/>
    <s v="Valid"/>
  </r>
  <r>
    <x v="67"/>
    <x v="5"/>
    <s v="Google Ads"/>
    <x v="2"/>
    <s v="Fintech"/>
    <x v="2"/>
    <n v="90945"/>
    <n v="3637"/>
    <n v="0.04"/>
    <n v="3.02"/>
    <n v="10983.74"/>
    <n v="145"/>
    <n v="75.75"/>
    <n v="21488.5"/>
    <n v="10504.76"/>
    <n v="0.9563919029401643"/>
    <n v="1.96"/>
    <s v="Medium"/>
    <s v="Valid"/>
  </r>
  <r>
    <x v="225"/>
    <x v="2"/>
    <s v="Google Ads"/>
    <x v="0"/>
    <s v="SaaS"/>
    <x v="1"/>
    <n v="73681"/>
    <n v="4457"/>
    <n v="6.0499999999999998E-2"/>
    <n v="1.77"/>
    <n v="7888.89"/>
    <n v="95"/>
    <n v="83.04"/>
    <n v="11815.26"/>
    <n v="3926.37"/>
    <n v="0.49770880313960514"/>
    <n v="1.5"/>
    <s v="Medium"/>
    <s v="Valid"/>
  </r>
  <r>
    <x v="20"/>
    <x v="9"/>
    <s v="Google Ads"/>
    <x v="3"/>
    <s v="Healthcare"/>
    <x v="6"/>
    <n v="195545"/>
    <n v="8799"/>
    <n v="4.4999999999999998E-2"/>
    <n v="2.98"/>
    <n v="26221.02"/>
    <n v="444"/>
    <n v="59.06"/>
    <n v="122723.09"/>
    <n v="96502.069999999992"/>
    <n v="3.6803324203253722"/>
    <n v="4.68"/>
    <s v="High"/>
    <s v="Valid"/>
  </r>
  <r>
    <x v="72"/>
    <x v="10"/>
    <s v="Google Ads"/>
    <x v="2"/>
    <s v="E-commerce"/>
    <x v="2"/>
    <n v="46846"/>
    <n v="2183"/>
    <n v="4.6600000000000003E-2"/>
    <n v="3.36"/>
    <n v="7334.88"/>
    <n v="46"/>
    <n v="159.44999999999999"/>
    <n v="5098.84"/>
    <n v="-2236.04"/>
    <n v="-0.30485024976550401"/>
    <n v="0.7"/>
    <s v="Low"/>
    <s v="Valid"/>
  </r>
  <r>
    <x v="247"/>
    <x v="10"/>
    <s v="Google Ads"/>
    <x v="2"/>
    <s v="Healthcare"/>
    <x v="4"/>
    <n v="183428"/>
    <n v="4549"/>
    <n v="2.4799999999999999E-2"/>
    <n v="2.11"/>
    <n v="9598.39"/>
    <n v="135"/>
    <n v="71.099999999999994"/>
    <n v="6604"/>
    <n v="-2994.3899999999994"/>
    <n v="-0.31196794462404626"/>
    <n v="0.69"/>
    <s v="Low"/>
    <s v="Valid"/>
  </r>
  <r>
    <x v="97"/>
    <x v="8"/>
    <s v="Google Ads"/>
    <x v="2"/>
    <s v="EdTech"/>
    <x v="6"/>
    <n v="173913"/>
    <n v="5860"/>
    <n v="3.3700000000000001E-2"/>
    <n v="3.46"/>
    <n v="20275.599999999999"/>
    <n v="111"/>
    <n v="182.66"/>
    <n v="20779.66"/>
    <n v="504.06000000000131"/>
    <n v="2.4860423366016363E-2"/>
    <n v="1.02"/>
    <s v="Medium"/>
    <s v="Valid"/>
  </r>
  <r>
    <x v="131"/>
    <x v="8"/>
    <s v="Google Ads"/>
    <x v="1"/>
    <s v="SaaS"/>
    <x v="2"/>
    <n v="190541"/>
    <n v="9527"/>
    <n v="0.05"/>
    <n v="2.17"/>
    <n v="20673.59"/>
    <n v="157"/>
    <n v="131.68"/>
    <n v="5416.71"/>
    <n v="-15256.880000000001"/>
    <n v="-0.73798890274983686"/>
    <n v="0.26"/>
    <s v="Low"/>
    <s v="Valid"/>
  </r>
  <r>
    <x v="11"/>
    <x v="7"/>
    <s v="TikTok Ads"/>
    <x v="1"/>
    <s v="SaaS"/>
    <x v="4"/>
    <n v="122116"/>
    <n v="5507"/>
    <n v="4.5100000000000001E-2"/>
    <n v="0.98"/>
    <n v="5396.86"/>
    <n v="110"/>
    <n v="49.06"/>
    <n v="3555.98"/>
    <n v="-1840.8799999999997"/>
    <n v="-0.34110204822804369"/>
    <n v="0.66"/>
    <s v="Low"/>
    <s v="Valid"/>
  </r>
  <r>
    <x v="248"/>
    <x v="11"/>
    <s v="Google Ads"/>
    <x v="3"/>
    <s v="Fintech"/>
    <x v="5"/>
    <n v="47879"/>
    <n v="1149"/>
    <n v="2.4E-2"/>
    <n v="3.06"/>
    <n v="3515.94"/>
    <n v="25"/>
    <n v="140.63999999999999"/>
    <n v="3124.11"/>
    <n v="-391.82999999999993"/>
    <n v="-0.11144388129490262"/>
    <n v="0.89"/>
    <s v="Low"/>
    <s v="Valid"/>
  </r>
  <r>
    <x v="60"/>
    <x v="3"/>
    <s v="Meta Ads"/>
    <x v="0"/>
    <s v="Healthcare"/>
    <x v="2"/>
    <n v="164876"/>
    <n v="5820"/>
    <n v="3.5299999999999998E-2"/>
    <n v="0.74"/>
    <n v="4306.8"/>
    <n v="463"/>
    <n v="9.3000000000000007"/>
    <n v="73917.740000000005"/>
    <n v="69610.94"/>
    <n v="16.163030556329524"/>
    <n v="17.16"/>
    <s v="High"/>
    <s v="Valid"/>
  </r>
  <r>
    <x v="59"/>
    <x v="8"/>
    <s v="Meta Ads"/>
    <x v="3"/>
    <s v="SaaS"/>
    <x v="2"/>
    <n v="163253"/>
    <n v="1779"/>
    <n v="1.09E-2"/>
    <n v="0.51"/>
    <n v="907.29"/>
    <n v="121"/>
    <n v="7.5"/>
    <n v="18762.73"/>
    <n v="17855.439999999999"/>
    <n v="19.679970020610828"/>
    <n v="20.68"/>
    <s v="High"/>
    <s v="Valid"/>
  </r>
  <r>
    <x v="149"/>
    <x v="3"/>
    <s v="Meta Ads"/>
    <x v="2"/>
    <s v="Fintech"/>
    <x v="5"/>
    <n v="120631"/>
    <n v="1532"/>
    <n v="1.2699999999999999E-2"/>
    <n v="0.77"/>
    <n v="1179.6400000000001"/>
    <n v="114"/>
    <n v="10.35"/>
    <n v="25286.78"/>
    <n v="24107.14"/>
    <n v="20.436014377267639"/>
    <n v="21.44"/>
    <s v="High"/>
    <s v="Valid"/>
  </r>
  <r>
    <x v="57"/>
    <x v="5"/>
    <s v="Meta Ads"/>
    <x v="3"/>
    <s v="Fintech"/>
    <x v="6"/>
    <n v="12610"/>
    <n v="197"/>
    <n v="1.5699999999999999E-2"/>
    <n v="0.66"/>
    <n v="130.02000000000001"/>
    <n v="11"/>
    <n v="11.82"/>
    <n v="2637.16"/>
    <n v="2507.14"/>
    <n v="19.282725734502382"/>
    <n v="20.28"/>
    <s v="High"/>
    <s v="Valid"/>
  </r>
  <r>
    <x v="31"/>
    <x v="0"/>
    <s v="Meta Ads"/>
    <x v="1"/>
    <s v="Healthcare"/>
    <x v="1"/>
    <n v="62676"/>
    <n v="595"/>
    <n v="9.4999999999999998E-3"/>
    <n v="2.42"/>
    <n v="1439.9"/>
    <n v="32"/>
    <n v="45"/>
    <n v="1319.08"/>
    <n v="-120.82000000000016"/>
    <n v="-8.3908604764219852E-2"/>
    <n v="0.92"/>
    <s v="Low"/>
    <s v="Valid"/>
  </r>
  <r>
    <x v="87"/>
    <x v="10"/>
    <s v="Google Ads"/>
    <x v="0"/>
    <s v="Fintech"/>
    <x v="1"/>
    <n v="59943"/>
    <n v="2163"/>
    <n v="3.61E-2"/>
    <n v="3.29"/>
    <n v="7116.27"/>
    <n v="114"/>
    <n v="62.42"/>
    <n v="4800.8100000000004"/>
    <n v="-2315.46"/>
    <n v="-0.32537551273349663"/>
    <n v="0.67"/>
    <s v="Low"/>
    <s v="Valid"/>
  </r>
  <r>
    <x v="186"/>
    <x v="3"/>
    <s v="Meta Ads"/>
    <x v="3"/>
    <s v="SaaS"/>
    <x v="2"/>
    <n v="78302"/>
    <n v="900"/>
    <n v="1.15E-2"/>
    <n v="0.49"/>
    <n v="441"/>
    <n v="52"/>
    <n v="8.48"/>
    <n v="6354.23"/>
    <n v="5913.23"/>
    <n v="13.408684807256234"/>
    <n v="14.41"/>
    <s v="High"/>
    <s v="Valid"/>
  </r>
  <r>
    <x v="156"/>
    <x v="7"/>
    <s v="Google Ads"/>
    <x v="1"/>
    <s v="EdTech"/>
    <x v="1"/>
    <n v="154805"/>
    <n v="9535"/>
    <n v="6.1600000000000002E-2"/>
    <n v="0.96"/>
    <n v="9153.6"/>
    <n v="525"/>
    <n v="17.440000000000001"/>
    <n v="18155.37"/>
    <n v="9001.7699999999986"/>
    <n v="0.98341308337703182"/>
    <n v="1.98"/>
    <s v="Medium"/>
    <s v="Valid"/>
  </r>
  <r>
    <x v="97"/>
    <x v="8"/>
    <s v="TikTok Ads"/>
    <x v="1"/>
    <s v="Fintech"/>
    <x v="6"/>
    <n v="41839"/>
    <n v="2991"/>
    <n v="7.1499999999999994E-2"/>
    <n v="0.99"/>
    <n v="2961.09"/>
    <n v="45"/>
    <n v="65.8"/>
    <n v="9665.89"/>
    <n v="6704.7999999999993"/>
    <n v="2.2643013214728356"/>
    <n v="3.26"/>
    <s v="High"/>
    <s v="Valid"/>
  </r>
  <r>
    <x v="152"/>
    <x v="1"/>
    <s v="Meta Ads"/>
    <x v="2"/>
    <s v="SaaS"/>
    <x v="5"/>
    <n v="127872"/>
    <n v="2953"/>
    <n v="2.3099999999999999E-2"/>
    <n v="0.59"/>
    <n v="1742.27"/>
    <n v="150"/>
    <n v="11.62"/>
    <n v="15282.38"/>
    <n v="13540.109999999999"/>
    <n v="7.7715336888082787"/>
    <n v="8.77"/>
    <s v="High"/>
    <s v="Valid"/>
  </r>
  <r>
    <x v="231"/>
    <x v="6"/>
    <s v="Google Ads"/>
    <x v="3"/>
    <s v="Fintech"/>
    <x v="3"/>
    <n v="146779"/>
    <n v="5019"/>
    <n v="3.4200000000000001E-2"/>
    <n v="2.2200000000000002"/>
    <n v="11142.18"/>
    <n v="349"/>
    <n v="31.93"/>
    <n v="91145.36"/>
    <n v="80003.179999999993"/>
    <n v="7.1802088998741711"/>
    <n v="8.18"/>
    <s v="High"/>
    <s v="Valid"/>
  </r>
  <r>
    <x v="249"/>
    <x v="1"/>
    <s v="Google Ads"/>
    <x v="2"/>
    <s v="EdTech"/>
    <x v="2"/>
    <n v="133588"/>
    <n v="6545"/>
    <n v="4.9000000000000002E-2"/>
    <n v="1.68"/>
    <n v="10995.6"/>
    <n v="241"/>
    <n v="45.62"/>
    <n v="34421.71"/>
    <n v="23426.11"/>
    <n v="2.1304985630615882"/>
    <n v="3.13"/>
    <s v="High"/>
    <s v="Valid"/>
  </r>
  <r>
    <x v="207"/>
    <x v="0"/>
    <s v="Google Ads"/>
    <x v="1"/>
    <s v="Fintech"/>
    <x v="1"/>
    <n v="82462"/>
    <n v="3916"/>
    <n v="4.7500000000000001E-2"/>
    <n v="2.1"/>
    <n v="8223.6"/>
    <n v="199"/>
    <n v="41.32"/>
    <n v="48785.37"/>
    <n v="40561.770000000004"/>
    <n v="4.9323617393842119"/>
    <n v="5.93"/>
    <s v="High"/>
    <s v="Valid"/>
  </r>
  <r>
    <x v="221"/>
    <x v="0"/>
    <s v="Google Ads"/>
    <x v="3"/>
    <s v="E-commerce"/>
    <x v="6"/>
    <n v="55248"/>
    <n v="1646"/>
    <n v="2.98E-2"/>
    <n v="2.6"/>
    <n v="4279.6000000000004"/>
    <n v="43"/>
    <n v="99.53"/>
    <n v="12311.15"/>
    <n v="8031.5499999999993"/>
    <n v="1.8767057668941018"/>
    <n v="2.88"/>
    <s v="Medium"/>
    <s v="Valid"/>
  </r>
  <r>
    <x v="250"/>
    <x v="4"/>
    <s v="Google Ads"/>
    <x v="3"/>
    <s v="Healthcare"/>
    <x v="0"/>
    <n v="90374"/>
    <n v="2349"/>
    <n v="2.5999999999999999E-2"/>
    <n v="0.97"/>
    <n v="2278.5300000000002"/>
    <n v="69"/>
    <n v="33.020000000000003"/>
    <n v="5506.03"/>
    <n v="3227.4999999999995"/>
    <n v="1.416483434495047"/>
    <n v="2.42"/>
    <s v="Medium"/>
    <s v="Valid"/>
  </r>
  <r>
    <x v="36"/>
    <x v="11"/>
    <s v="Meta Ads"/>
    <x v="1"/>
    <s v="EdTech"/>
    <x v="2"/>
    <n v="104976"/>
    <n v="1238"/>
    <n v="1.18E-2"/>
    <n v="1.52"/>
    <n v="1881.76"/>
    <n v="16"/>
    <n v="117.61"/>
    <n v="4162.9799999999996"/>
    <n v="2281.2199999999993"/>
    <n v="1.212279993197857"/>
    <n v="2.21"/>
    <s v="Medium"/>
    <s v="Valid"/>
  </r>
  <r>
    <x v="251"/>
    <x v="6"/>
    <s v="Google Ads"/>
    <x v="3"/>
    <s v="SaaS"/>
    <x v="6"/>
    <n v="124774"/>
    <n v="3481"/>
    <n v="2.7900000000000001E-2"/>
    <n v="1.21"/>
    <n v="4212.01"/>
    <n v="113"/>
    <n v="37.270000000000003"/>
    <n v="4447.1899999999996"/>
    <n v="235.17999999999938"/>
    <n v="5.5835574939280624E-2"/>
    <n v="1.06"/>
    <s v="Medium"/>
    <s v="Valid"/>
  </r>
  <r>
    <x v="6"/>
    <x v="4"/>
    <s v="Google Ads"/>
    <x v="0"/>
    <s v="SaaS"/>
    <x v="2"/>
    <n v="109263"/>
    <n v="2829"/>
    <n v="2.5899999999999999E-2"/>
    <n v="0.88"/>
    <n v="2489.52"/>
    <n v="129"/>
    <n v="19.3"/>
    <n v="14321.34"/>
    <n v="11831.82"/>
    <n v="4.7526511134676559"/>
    <n v="5.75"/>
    <s v="High"/>
    <s v="Valid"/>
  </r>
  <r>
    <x v="55"/>
    <x v="1"/>
    <s v="Google Ads"/>
    <x v="1"/>
    <s v="Fintech"/>
    <x v="0"/>
    <n v="105814"/>
    <n v="6126"/>
    <n v="5.79E-2"/>
    <n v="2.79"/>
    <n v="17091.54"/>
    <n v="289"/>
    <n v="59.14"/>
    <n v="45447.24"/>
    <n v="28355.699999999997"/>
    <n v="1.6590488627707038"/>
    <n v="2.66"/>
    <s v="Medium"/>
    <s v="Valid"/>
  </r>
  <r>
    <x v="41"/>
    <x v="4"/>
    <s v="TikTok Ads"/>
    <x v="2"/>
    <s v="Healthcare"/>
    <x v="4"/>
    <n v="41113"/>
    <n v="2347"/>
    <n v="5.7099999999999998E-2"/>
    <n v="0.96"/>
    <n v="2253.12"/>
    <n v="33"/>
    <n v="68.28"/>
    <n v="2659.26"/>
    <n v="406.14000000000033"/>
    <n v="0.18025671069450377"/>
    <n v="1.18"/>
    <s v="Medium"/>
    <s v="Valid"/>
  </r>
  <r>
    <x v="252"/>
    <x v="0"/>
    <s v="Google Ads"/>
    <x v="0"/>
    <s v="SaaS"/>
    <x v="4"/>
    <n v="43098"/>
    <n v="1620"/>
    <n v="3.7600000000000001E-2"/>
    <n v="2.73"/>
    <n v="4422.6000000000004"/>
    <n v="39"/>
    <n v="113.4"/>
    <n v="7135.44"/>
    <n v="2712.8399999999992"/>
    <n v="0.61340388007054647"/>
    <n v="1.61"/>
    <s v="Medium"/>
    <s v="Valid"/>
  </r>
  <r>
    <x v="137"/>
    <x v="4"/>
    <s v="Meta Ads"/>
    <x v="3"/>
    <s v="E-commerce"/>
    <x v="4"/>
    <n v="25991"/>
    <n v="309"/>
    <n v="1.1900000000000001E-2"/>
    <n v="1.52"/>
    <n v="469.68"/>
    <n v="14"/>
    <n v="33.549999999999997"/>
    <n v="2306.63"/>
    <n v="1836.95"/>
    <n v="3.9110671095213765"/>
    <n v="4.91"/>
    <s v="High"/>
    <s v="Valid"/>
  </r>
  <r>
    <x v="253"/>
    <x v="6"/>
    <s v="Google Ads"/>
    <x v="3"/>
    <s v="EdTech"/>
    <x v="5"/>
    <n v="150778"/>
    <n v="2985"/>
    <n v="1.9800000000000002E-2"/>
    <n v="1.39"/>
    <n v="4149.1499999999996"/>
    <n v="59"/>
    <n v="70.319999999999993"/>
    <n v="16435.61"/>
    <n v="12286.460000000001"/>
    <n v="2.9611992817806061"/>
    <n v="3.96"/>
    <s v="High"/>
    <s v="Valid"/>
  </r>
  <r>
    <x v="242"/>
    <x v="10"/>
    <s v="Google Ads"/>
    <x v="1"/>
    <s v="EdTech"/>
    <x v="3"/>
    <n v="113500"/>
    <n v="7604"/>
    <n v="6.7000000000000004E-2"/>
    <n v="1.3"/>
    <n v="9885.2000000000007"/>
    <n v="340"/>
    <n v="29.07"/>
    <n v="21520.639999999999"/>
    <n v="11635.439999999999"/>
    <n v="1.1770566098814388"/>
    <n v="2.1800000000000002"/>
    <s v="Medium"/>
    <s v="Valid"/>
  </r>
  <r>
    <x v="243"/>
    <x v="3"/>
    <s v="Meta Ads"/>
    <x v="1"/>
    <s v="EdTech"/>
    <x v="0"/>
    <n v="140453"/>
    <n v="4213"/>
    <n v="0.03"/>
    <n v="1.0900000000000001"/>
    <n v="4592.17"/>
    <n v="56"/>
    <n v="82"/>
    <n v="4347.7700000000004"/>
    <n v="-244.39999999999964"/>
    <n v="-5.3221026225074339E-2"/>
    <n v="0.95"/>
    <s v="Low"/>
    <s v="Valid"/>
  </r>
  <r>
    <x v="254"/>
    <x v="5"/>
    <s v="TikTok Ads"/>
    <x v="3"/>
    <s v="SaaS"/>
    <x v="3"/>
    <n v="27936"/>
    <n v="1402"/>
    <n v="5.0200000000000002E-2"/>
    <n v="1.32"/>
    <n v="1850.64"/>
    <n v="99"/>
    <n v="18.690000000000001"/>
    <n v="26865.9"/>
    <n v="25015.260000000002"/>
    <n v="13.51708598106601"/>
    <n v="14.52"/>
    <s v="High"/>
    <s v="Valid"/>
  </r>
  <r>
    <x v="29"/>
    <x v="2"/>
    <s v="TikTok Ads"/>
    <x v="3"/>
    <s v="SaaS"/>
    <x v="1"/>
    <n v="133303"/>
    <n v="4225"/>
    <n v="3.1699999999999999E-2"/>
    <n v="1.53"/>
    <n v="6464.25"/>
    <n v="139"/>
    <n v="46.51"/>
    <n v="8508.68"/>
    <n v="2044.4300000000003"/>
    <n v="0.31626716169702601"/>
    <n v="1.32"/>
    <s v="Medium"/>
    <s v="Valid"/>
  </r>
  <r>
    <x v="255"/>
    <x v="8"/>
    <s v="Google Ads"/>
    <x v="1"/>
    <s v="EdTech"/>
    <x v="0"/>
    <n v="117333"/>
    <n v="2898"/>
    <n v="2.47E-2"/>
    <n v="3.93"/>
    <n v="11389.14"/>
    <n v="48"/>
    <n v="237.27"/>
    <n v="5367.73"/>
    <n v="-6021.41"/>
    <n v="-0.52869751359628558"/>
    <n v="0.47"/>
    <s v="Low"/>
    <s v="Valid"/>
  </r>
  <r>
    <x v="163"/>
    <x v="7"/>
    <s v="Meta Ads"/>
    <x v="3"/>
    <s v="SaaS"/>
    <x v="2"/>
    <n v="152680"/>
    <n v="6214"/>
    <n v="4.07E-2"/>
    <n v="2.1"/>
    <n v="13049.4"/>
    <n v="283"/>
    <n v="46.11"/>
    <n v="13261.37"/>
    <n v="211.97000000000116"/>
    <n v="1.624365871227805E-2"/>
    <n v="1.02"/>
    <s v="Medium"/>
    <s v="Valid"/>
  </r>
  <r>
    <x v="256"/>
    <x v="7"/>
    <s v="Google Ads"/>
    <x v="3"/>
    <s v="Healthcare"/>
    <x v="2"/>
    <n v="168384"/>
    <n v="4681"/>
    <n v="2.7799999999999998E-2"/>
    <n v="2.57"/>
    <n v="12030.17"/>
    <n v="267"/>
    <n v="45.06"/>
    <n v="58628.480000000003"/>
    <n v="46598.310000000005"/>
    <n v="3.8734539910907331"/>
    <n v="4.87"/>
    <s v="High"/>
    <s v="Valid"/>
  </r>
  <r>
    <x v="257"/>
    <x v="4"/>
    <s v="Google Ads"/>
    <x v="3"/>
    <s v="Fintech"/>
    <x v="6"/>
    <n v="106026"/>
    <n v="5152"/>
    <n v="4.8599999999999997E-2"/>
    <n v="1.72"/>
    <n v="8861.44"/>
    <n v="240"/>
    <n v="36.92"/>
    <n v="50663.13"/>
    <n v="41801.689999999995"/>
    <n v="4.7172570146612731"/>
    <n v="5.72"/>
    <s v="High"/>
    <s v="Valid"/>
  </r>
  <r>
    <x v="10"/>
    <x v="5"/>
    <s v="Google Ads"/>
    <x v="0"/>
    <s v="E-commerce"/>
    <x v="3"/>
    <n v="107364"/>
    <n v="4895"/>
    <n v="4.5600000000000002E-2"/>
    <n v="2.65"/>
    <n v="12971.75"/>
    <n v="200"/>
    <n v="64.86"/>
    <n v="42108.23"/>
    <n v="29136.480000000003"/>
    <n v="2.2461487463141059"/>
    <n v="3.25"/>
    <s v="High"/>
    <s v="Valid"/>
  </r>
  <r>
    <x v="166"/>
    <x v="1"/>
    <s v="Google Ads"/>
    <x v="1"/>
    <s v="EdTech"/>
    <x v="1"/>
    <n v="132152"/>
    <n v="7572"/>
    <n v="5.7299999999999997E-2"/>
    <n v="1.1399999999999999"/>
    <n v="8632.08"/>
    <n v="552"/>
    <n v="15.64"/>
    <n v="115644.47"/>
    <n v="107012.39"/>
    <n v="12.397057256188543"/>
    <n v="13.4"/>
    <s v="High"/>
    <s v="Valid"/>
  </r>
  <r>
    <x v="72"/>
    <x v="10"/>
    <s v="Google Ads"/>
    <x v="2"/>
    <s v="Fintech"/>
    <x v="6"/>
    <n v="116695"/>
    <n v="5799"/>
    <n v="4.9700000000000001E-2"/>
    <n v="3.13"/>
    <n v="18150.87"/>
    <n v="372"/>
    <n v="48.79"/>
    <n v="56034.95"/>
    <n v="37884.080000000002"/>
    <n v="2.0871770884811585"/>
    <n v="3.09"/>
    <s v="High"/>
    <s v="Valid"/>
  </r>
  <r>
    <x v="258"/>
    <x v="6"/>
    <s v="Meta Ads"/>
    <x v="0"/>
    <s v="E-commerce"/>
    <x v="1"/>
    <n v="116030"/>
    <n v="4177"/>
    <n v="3.5999999999999997E-2"/>
    <n v="0.9"/>
    <n v="3759.3"/>
    <n v="188"/>
    <n v="20"/>
    <n v="8691.11"/>
    <n v="4931.8100000000004"/>
    <n v="1.3118958316707898"/>
    <n v="2.31"/>
    <s v="Medium"/>
    <s v="Valid"/>
  </r>
  <r>
    <x v="193"/>
    <x v="4"/>
    <s v="TikTok Ads"/>
    <x v="0"/>
    <s v="E-commerce"/>
    <x v="6"/>
    <n v="164599"/>
    <n v="11209"/>
    <n v="6.8099999999999994E-2"/>
    <n v="0.41"/>
    <n v="4595.6899999999996"/>
    <n v="653"/>
    <n v="7.04"/>
    <n v="133415.01"/>
    <n v="128819.32"/>
    <n v="28.030463325420126"/>
    <n v="29.03"/>
    <s v="High"/>
    <s v="Valid"/>
  </r>
  <r>
    <x v="141"/>
    <x v="5"/>
    <s v="TikTok Ads"/>
    <x v="1"/>
    <s v="Fintech"/>
    <x v="5"/>
    <n v="188844"/>
    <n v="12860"/>
    <n v="6.8099999999999994E-2"/>
    <n v="0.98"/>
    <n v="12602.8"/>
    <n v="892"/>
    <n v="14.13"/>
    <n v="133607.64000000001"/>
    <n v="121004.84000000001"/>
    <n v="9.6014250801409222"/>
    <n v="10.6"/>
    <s v="High"/>
    <s v="Valid"/>
  </r>
  <r>
    <x v="99"/>
    <x v="7"/>
    <s v="TikTok Ads"/>
    <x v="0"/>
    <s v="E-commerce"/>
    <x v="4"/>
    <n v="90468"/>
    <n v="5753"/>
    <n v="6.3600000000000004E-2"/>
    <n v="0.8"/>
    <n v="4602.3999999999996"/>
    <n v="141"/>
    <n v="32.64"/>
    <n v="12042.73"/>
    <n v="7440.33"/>
    <n v="1.6166195897792457"/>
    <n v="2.62"/>
    <s v="Medium"/>
    <s v="Valid"/>
  </r>
  <r>
    <x v="69"/>
    <x v="1"/>
    <s v="Google Ads"/>
    <x v="1"/>
    <s v="E-commerce"/>
    <x v="6"/>
    <n v="117223"/>
    <n v="7935"/>
    <n v="6.7699999999999996E-2"/>
    <n v="2.02"/>
    <n v="16028.7"/>
    <n v="166"/>
    <n v="96.56"/>
    <n v="47449.87"/>
    <n v="31421.170000000002"/>
    <n v="1.960306824633314"/>
    <n v="2.96"/>
    <s v="Medium"/>
    <s v="Valid"/>
  </r>
  <r>
    <x v="62"/>
    <x v="11"/>
    <s v="TikTok Ads"/>
    <x v="2"/>
    <s v="SaaS"/>
    <x v="3"/>
    <n v="93478"/>
    <n v="5786"/>
    <n v="6.1899999999999997E-2"/>
    <n v="0.42"/>
    <n v="2430.12"/>
    <n v="272"/>
    <n v="8.93"/>
    <n v="27905.19"/>
    <n v="25475.07"/>
    <n v="10.483050219742235"/>
    <n v="11.48"/>
    <s v="High"/>
    <s v="Valid"/>
  </r>
  <r>
    <x v="45"/>
    <x v="6"/>
    <s v="Google Ads"/>
    <x v="1"/>
    <s v="EdTech"/>
    <x v="4"/>
    <n v="9134"/>
    <n v="228"/>
    <n v="2.5000000000000001E-2"/>
    <n v="1.39"/>
    <n v="316.92"/>
    <n v="2"/>
    <n v="158.46"/>
    <n v="329.55"/>
    <n v="12.629999999999995"/>
    <n v="3.9852328663385068E-2"/>
    <n v="1.04"/>
    <s v="Medium"/>
    <s v="Valid"/>
  </r>
  <r>
    <x v="259"/>
    <x v="8"/>
    <s v="Meta Ads"/>
    <x v="3"/>
    <s v="E-commerce"/>
    <x v="0"/>
    <n v="29485"/>
    <n v="1341"/>
    <n v="4.5499999999999999E-2"/>
    <n v="1.41"/>
    <n v="1890.81"/>
    <n v="46"/>
    <n v="41.1"/>
    <n v="4626.55"/>
    <n v="2735.7400000000002"/>
    <n v="1.4468613980251852"/>
    <n v="2.4500000000000002"/>
    <s v="Medium"/>
    <s v="Valid"/>
  </r>
  <r>
    <x v="162"/>
    <x v="9"/>
    <s v="TikTok Ads"/>
    <x v="1"/>
    <s v="SaaS"/>
    <x v="4"/>
    <n v="22221"/>
    <n v="1706"/>
    <n v="7.6799999999999993E-2"/>
    <n v="0.5"/>
    <n v="853"/>
    <n v="74"/>
    <n v="11.53"/>
    <n v="14659.06"/>
    <n v="13806.06"/>
    <n v="16.185298944900349"/>
    <n v="17.190000000000001"/>
    <s v="High"/>
    <s v="Valid"/>
  </r>
  <r>
    <x v="237"/>
    <x v="1"/>
    <s v="Google Ads"/>
    <x v="3"/>
    <s v="SaaS"/>
    <x v="3"/>
    <n v="178567"/>
    <n v="8374"/>
    <n v="4.6899999999999997E-2"/>
    <n v="1.33"/>
    <n v="11137.42"/>
    <n v="98"/>
    <n v="113.65"/>
    <n v="8808.2900000000009"/>
    <n v="-2329.1299999999992"/>
    <n v="-0.20912653020178812"/>
    <n v="0.79"/>
    <s v="Low"/>
    <s v="Valid"/>
  </r>
  <r>
    <x v="151"/>
    <x v="3"/>
    <s v="TikTok Ads"/>
    <x v="3"/>
    <s v="E-commerce"/>
    <x v="6"/>
    <n v="93074"/>
    <n v="4225"/>
    <n v="4.5400000000000003E-2"/>
    <n v="1.54"/>
    <n v="6506.5"/>
    <n v="300"/>
    <n v="21.69"/>
    <n v="11467.08"/>
    <n v="4960.58"/>
    <n v="0.76240375009605776"/>
    <n v="1.76"/>
    <s v="Medium"/>
    <s v="Valid"/>
  </r>
  <r>
    <x v="112"/>
    <x v="9"/>
    <s v="Google Ads"/>
    <x v="0"/>
    <s v="Healthcare"/>
    <x v="6"/>
    <n v="155840"/>
    <n v="4566"/>
    <n v="2.93E-2"/>
    <n v="1.1200000000000001"/>
    <n v="5113.92"/>
    <n v="312"/>
    <n v="16.39"/>
    <n v="40138.5"/>
    <n v="35024.58"/>
    <n v="6.848871315937676"/>
    <n v="7.85"/>
    <s v="High"/>
    <s v="Valid"/>
  </r>
  <r>
    <x v="260"/>
    <x v="10"/>
    <s v="TikTok Ads"/>
    <x v="3"/>
    <s v="E-commerce"/>
    <x v="5"/>
    <n v="21956"/>
    <n v="1611"/>
    <n v="7.3400000000000007E-2"/>
    <n v="1.41"/>
    <n v="2271.5100000000002"/>
    <n v="79"/>
    <n v="28.75"/>
    <n v="9545.2800000000007"/>
    <n v="7273.77"/>
    <n v="3.2021738843324483"/>
    <n v="4.2"/>
    <s v="High"/>
    <s v="Valid"/>
  </r>
  <r>
    <x v="181"/>
    <x v="8"/>
    <s v="Meta Ads"/>
    <x v="0"/>
    <s v="E-commerce"/>
    <x v="2"/>
    <n v="177224"/>
    <n v="2374"/>
    <n v="1.34E-2"/>
    <n v="1.57"/>
    <n v="3727.18"/>
    <n v="142"/>
    <n v="26.25"/>
    <n v="18303.419999999998"/>
    <n v="14576.239999999998"/>
    <n v="3.9107958295547838"/>
    <n v="4.91"/>
    <s v="High"/>
    <s v="Valid"/>
  </r>
  <r>
    <x v="231"/>
    <x v="6"/>
    <s v="Google Ads"/>
    <x v="0"/>
    <s v="EdTech"/>
    <x v="0"/>
    <n v="93720"/>
    <n v="2661"/>
    <n v="2.8400000000000002E-2"/>
    <n v="1.7"/>
    <n v="4523.7"/>
    <n v="104"/>
    <n v="43.5"/>
    <n v="18904.07"/>
    <n v="14380.369999999999"/>
    <n v="3.1788955943143886"/>
    <n v="4.18"/>
    <s v="High"/>
    <s v="Valid"/>
  </r>
  <r>
    <x v="61"/>
    <x v="8"/>
    <s v="Google Ads"/>
    <x v="3"/>
    <s v="EdTech"/>
    <x v="2"/>
    <n v="169909"/>
    <n v="7781"/>
    <n v="4.58E-2"/>
    <n v="2.5"/>
    <n v="19452.5"/>
    <n v="124"/>
    <n v="156.88"/>
    <n v="26123.279999999999"/>
    <n v="6670.7799999999988"/>
    <n v="0.34292661611618036"/>
    <n v="1.34"/>
    <s v="Medium"/>
    <s v="Valid"/>
  </r>
  <r>
    <x v="261"/>
    <x v="4"/>
    <s v="Meta Ads"/>
    <x v="1"/>
    <s v="Healthcare"/>
    <x v="2"/>
    <n v="46548"/>
    <n v="1047"/>
    <n v="2.2499999999999999E-2"/>
    <n v="1.55"/>
    <n v="1622.85"/>
    <n v="28"/>
    <n v="57.96"/>
    <n v="7800.92"/>
    <n v="6178.07"/>
    <n v="3.8069260868225654"/>
    <n v="4.8099999999999996"/>
    <s v="High"/>
    <s v="Valid"/>
  </r>
  <r>
    <x v="262"/>
    <x v="9"/>
    <s v="Meta Ads"/>
    <x v="0"/>
    <s v="Healthcare"/>
    <x v="2"/>
    <n v="6875"/>
    <n v="158"/>
    <n v="2.3099999999999999E-2"/>
    <n v="1.83"/>
    <n v="289.14"/>
    <n v="2"/>
    <n v="144.57"/>
    <n v="386.94"/>
    <n v="97.800000000000011"/>
    <n v="0.33824444905582074"/>
    <n v="1.34"/>
    <s v="Medium"/>
    <s v="Valid"/>
  </r>
  <r>
    <x v="25"/>
    <x v="9"/>
    <s v="Google Ads"/>
    <x v="0"/>
    <s v="SaaS"/>
    <x v="5"/>
    <n v="106975"/>
    <n v="4300"/>
    <n v="4.02E-2"/>
    <n v="2.39"/>
    <n v="10277"/>
    <n v="335"/>
    <n v="30.68"/>
    <n v="35904.36"/>
    <n v="25627.360000000001"/>
    <n v="2.4936615743894133"/>
    <n v="3.49"/>
    <s v="High"/>
    <s v="Valid"/>
  </r>
  <r>
    <x v="177"/>
    <x v="2"/>
    <s v="Google Ads"/>
    <x v="2"/>
    <s v="SaaS"/>
    <x v="1"/>
    <n v="10574"/>
    <n v="389"/>
    <n v="3.6799999999999999E-2"/>
    <n v="2.59"/>
    <n v="1007.51"/>
    <n v="6"/>
    <n v="167.92"/>
    <n v="908.68"/>
    <n v="-98.830000000000041"/>
    <n v="-9.8093319173010729E-2"/>
    <n v="0.9"/>
    <s v="Low"/>
    <s v="Valid"/>
  </r>
  <r>
    <x v="223"/>
    <x v="10"/>
    <s v="TikTok Ads"/>
    <x v="1"/>
    <s v="Fintech"/>
    <x v="6"/>
    <n v="147658"/>
    <n v="6939"/>
    <n v="4.7E-2"/>
    <n v="0.86"/>
    <n v="5967.54"/>
    <n v="282"/>
    <n v="21.16"/>
    <n v="39581.75"/>
    <n v="33614.21"/>
    <n v="5.6328420085998587"/>
    <n v="6.63"/>
    <s v="High"/>
    <s v="Valid"/>
  </r>
  <r>
    <x v="119"/>
    <x v="1"/>
    <s v="Meta Ads"/>
    <x v="2"/>
    <s v="SaaS"/>
    <x v="4"/>
    <n v="52013"/>
    <n v="1565"/>
    <n v="3.0099999999999998E-2"/>
    <n v="1.03"/>
    <n v="1611.95"/>
    <n v="23"/>
    <n v="70.08"/>
    <n v="6481.69"/>
    <n v="4869.74"/>
    <n v="3.0210242253171624"/>
    <n v="4.0199999999999996"/>
    <s v="High"/>
    <s v="Valid"/>
  </r>
  <r>
    <x v="263"/>
    <x v="3"/>
    <s v="Google Ads"/>
    <x v="0"/>
    <s v="E-commerce"/>
    <x v="5"/>
    <n v="49484"/>
    <n v="1118"/>
    <n v="2.2599999999999999E-2"/>
    <n v="2.0499999999999998"/>
    <n v="2291.9"/>
    <n v="79"/>
    <n v="29.01"/>
    <n v="18417.53"/>
    <n v="16125.63"/>
    <n v="7.0359221606527331"/>
    <n v="8.0399999999999991"/>
    <s v="High"/>
    <s v="Valid"/>
  </r>
  <r>
    <x v="18"/>
    <x v="10"/>
    <s v="Google Ads"/>
    <x v="0"/>
    <s v="Healthcare"/>
    <x v="2"/>
    <n v="18877"/>
    <n v="545"/>
    <n v="2.8899999999999999E-2"/>
    <n v="3.2"/>
    <n v="1744"/>
    <n v="26"/>
    <n v="67.08"/>
    <n v="5981"/>
    <n v="4237"/>
    <n v="2.4294724770642202"/>
    <n v="3.43"/>
    <s v="High"/>
    <s v="Valid"/>
  </r>
  <r>
    <x v="78"/>
    <x v="5"/>
    <s v="Meta Ads"/>
    <x v="2"/>
    <s v="Healthcare"/>
    <x v="1"/>
    <n v="106505"/>
    <n v="1022"/>
    <n v="9.5999999999999992E-3"/>
    <n v="1.8"/>
    <n v="1839.6"/>
    <n v="27"/>
    <n v="68.13"/>
    <n v="2467.1799999999998"/>
    <n v="627.57999999999993"/>
    <n v="0.34115025005435962"/>
    <n v="1.34"/>
    <s v="Medium"/>
    <s v="Valid"/>
  </r>
  <r>
    <x v="111"/>
    <x v="8"/>
    <s v="Google Ads"/>
    <x v="0"/>
    <s v="E-commerce"/>
    <x v="5"/>
    <n v="65107"/>
    <n v="1777"/>
    <n v="2.7300000000000001E-2"/>
    <n v="1.63"/>
    <n v="2896.51"/>
    <n v="128"/>
    <n v="22.63"/>
    <n v="29612.560000000001"/>
    <n v="26716.050000000003"/>
    <n v="9.2235310770548011"/>
    <n v="10.220000000000001"/>
    <s v="High"/>
    <s v="Valid"/>
  </r>
  <r>
    <x v="264"/>
    <x v="11"/>
    <s v="Google Ads"/>
    <x v="2"/>
    <s v="SaaS"/>
    <x v="5"/>
    <n v="69839"/>
    <n v="1620"/>
    <n v="2.3199999999999998E-2"/>
    <n v="1.26"/>
    <n v="2041.2"/>
    <n v="80"/>
    <n v="25.52"/>
    <n v="22785.52"/>
    <n v="20744.32"/>
    <n v="10.162806192435822"/>
    <n v="11.16"/>
    <s v="High"/>
    <s v="Valid"/>
  </r>
  <r>
    <x v="29"/>
    <x v="2"/>
    <s v="Google Ads"/>
    <x v="1"/>
    <s v="SaaS"/>
    <x v="2"/>
    <n v="104794"/>
    <n v="5920"/>
    <n v="5.6500000000000002E-2"/>
    <n v="3.66"/>
    <n v="21667.200000000001"/>
    <n v="359"/>
    <n v="60.35"/>
    <n v="21837.83"/>
    <n v="170.63000000000102"/>
    <n v="7.8750369221681164E-3"/>
    <n v="1.01"/>
    <s v="Medium"/>
    <s v="Valid"/>
  </r>
  <r>
    <x v="219"/>
    <x v="5"/>
    <s v="Meta Ads"/>
    <x v="1"/>
    <s v="EdTech"/>
    <x v="2"/>
    <n v="33549"/>
    <n v="1224"/>
    <n v="3.6499999999999998E-2"/>
    <n v="0.76"/>
    <n v="930.24"/>
    <n v="89"/>
    <n v="10.45"/>
    <n v="26101.34"/>
    <n v="25171.1"/>
    <n v="27.058716030271757"/>
    <n v="28.06"/>
    <s v="High"/>
    <s v="Valid"/>
  </r>
  <r>
    <x v="103"/>
    <x v="2"/>
    <s v="Google Ads"/>
    <x v="1"/>
    <s v="SaaS"/>
    <x v="3"/>
    <n v="133027"/>
    <n v="7808"/>
    <n v="5.8700000000000002E-2"/>
    <n v="1.26"/>
    <n v="9838.08"/>
    <n v="153"/>
    <n v="64.3"/>
    <n v="22193.119999999999"/>
    <n v="12355.039999999999"/>
    <n v="1.2558385376008325"/>
    <n v="2.2599999999999998"/>
    <s v="Medium"/>
    <s v="Valid"/>
  </r>
  <r>
    <x v="30"/>
    <x v="6"/>
    <s v="Meta Ads"/>
    <x v="1"/>
    <s v="EdTech"/>
    <x v="3"/>
    <n v="27419"/>
    <n v="1192"/>
    <n v="4.3499999999999997E-2"/>
    <n v="1.83"/>
    <n v="2181.36"/>
    <n v="38"/>
    <n v="57.4"/>
    <n v="5935.39"/>
    <n v="3754.03"/>
    <n v="1.7209584846151025"/>
    <n v="2.72"/>
    <s v="Medium"/>
    <s v="Valid"/>
  </r>
  <r>
    <x v="32"/>
    <x v="8"/>
    <s v="Google Ads"/>
    <x v="1"/>
    <s v="Healthcare"/>
    <x v="4"/>
    <n v="102648"/>
    <n v="2330"/>
    <n v="2.2700000000000001E-2"/>
    <n v="2.5499999999999998"/>
    <n v="5941.5"/>
    <n v="157"/>
    <n v="37.840000000000003"/>
    <n v="28653.63"/>
    <n v="22712.13"/>
    <n v="3.8226255995960616"/>
    <n v="4.82"/>
    <s v="High"/>
    <s v="Valid"/>
  </r>
  <r>
    <x v="109"/>
    <x v="0"/>
    <s v="Google Ads"/>
    <x v="3"/>
    <s v="E-commerce"/>
    <x v="4"/>
    <n v="181687"/>
    <n v="8321"/>
    <n v="4.58E-2"/>
    <n v="3.14"/>
    <n v="26127.94"/>
    <n v="651"/>
    <n v="40.14"/>
    <n v="189283.47"/>
    <n v="163155.53"/>
    <n v="6.244485022546745"/>
    <n v="7.24"/>
    <s v="High"/>
    <s v="Valid"/>
  </r>
  <r>
    <x v="265"/>
    <x v="10"/>
    <s v="Google Ads"/>
    <x v="3"/>
    <s v="SaaS"/>
    <x v="1"/>
    <n v="166792"/>
    <n v="6071"/>
    <n v="3.6400000000000002E-2"/>
    <n v="3.15"/>
    <n v="19123.650000000001"/>
    <n v="323"/>
    <n v="59.21"/>
    <n v="23590.83"/>
    <n v="4467.18"/>
    <n v="0.23359452824120919"/>
    <n v="1.23"/>
    <s v="Medium"/>
    <s v="Valid"/>
  </r>
  <r>
    <x v="249"/>
    <x v="1"/>
    <s v="TikTok Ads"/>
    <x v="0"/>
    <s v="SaaS"/>
    <x v="2"/>
    <n v="7889"/>
    <n v="416"/>
    <n v="5.28E-2"/>
    <n v="1"/>
    <n v="416"/>
    <n v="16"/>
    <n v="26"/>
    <n v="2147.9499999999998"/>
    <n v="1731.9499999999998"/>
    <n v="4.163341346153846"/>
    <n v="5.16"/>
    <s v="High"/>
    <s v="Valid"/>
  </r>
  <r>
    <x v="266"/>
    <x v="6"/>
    <s v="Meta Ads"/>
    <x v="1"/>
    <s v="E-commerce"/>
    <x v="5"/>
    <n v="129746"/>
    <n v="4891"/>
    <n v="3.7699999999999997E-2"/>
    <n v="1.81"/>
    <n v="8852.7099999999991"/>
    <n v="117"/>
    <n v="75.66"/>
    <n v="26101.17"/>
    <n v="17248.46"/>
    <n v="1.9483819079129443"/>
    <n v="2.95"/>
    <s v="Medium"/>
    <s v="Valid"/>
  </r>
  <r>
    <x v="180"/>
    <x v="11"/>
    <s v="Google Ads"/>
    <x v="3"/>
    <s v="E-commerce"/>
    <x v="3"/>
    <n v="94506"/>
    <n v="3269"/>
    <n v="3.4599999999999999E-2"/>
    <n v="1.56"/>
    <n v="5099.6400000000003"/>
    <n v="193"/>
    <n v="26.42"/>
    <n v="7342.38"/>
    <n v="2242.7399999999998"/>
    <n v="0.43978398475186475"/>
    <n v="1.44"/>
    <s v="Medium"/>
    <s v="Valid"/>
  </r>
  <r>
    <x v="44"/>
    <x v="8"/>
    <s v="Google Ads"/>
    <x v="3"/>
    <s v="EdTech"/>
    <x v="4"/>
    <n v="12086"/>
    <n v="594"/>
    <n v="4.9200000000000001E-2"/>
    <n v="2.46"/>
    <n v="1461.24"/>
    <n v="21"/>
    <n v="69.58"/>
    <n v="3418.15"/>
    <n v="1956.91"/>
    <n v="1.3392119022200324"/>
    <n v="2.34"/>
    <s v="Medium"/>
    <s v="Valid"/>
  </r>
  <r>
    <x v="239"/>
    <x v="8"/>
    <s v="TikTok Ads"/>
    <x v="3"/>
    <s v="SaaS"/>
    <x v="1"/>
    <n v="145497"/>
    <n v="4743"/>
    <n v="3.2599999999999997E-2"/>
    <n v="0.35"/>
    <n v="1660.05"/>
    <n v="313"/>
    <n v="5.3"/>
    <n v="81349.350000000006"/>
    <n v="79689.3"/>
    <n v="48.004156501310206"/>
    <n v="49"/>
    <s v="High"/>
    <s v="Valid"/>
  </r>
  <r>
    <x v="267"/>
    <x v="8"/>
    <s v="Meta Ads"/>
    <x v="0"/>
    <s v="EdTech"/>
    <x v="0"/>
    <n v="14491"/>
    <n v="259"/>
    <n v="1.7899999999999999E-2"/>
    <n v="1.7"/>
    <n v="440.3"/>
    <n v="3"/>
    <n v="146.77000000000001"/>
    <n v="260.32"/>
    <n v="-179.98000000000002"/>
    <n v="-0.40876674994322054"/>
    <n v="0.59"/>
    <s v="Low"/>
    <s v="Valid"/>
  </r>
  <r>
    <x v="65"/>
    <x v="11"/>
    <s v="Meta Ads"/>
    <x v="2"/>
    <s v="Fintech"/>
    <x v="0"/>
    <n v="156043"/>
    <n v="4478"/>
    <n v="2.87E-2"/>
    <n v="1.33"/>
    <n v="5955.74"/>
    <n v="193"/>
    <n v="30.86"/>
    <n v="22322.38"/>
    <n v="16366.640000000001"/>
    <n v="2.7480447433904103"/>
    <n v="3.75"/>
    <s v="High"/>
    <s v="Valid"/>
  </r>
  <r>
    <x v="128"/>
    <x v="10"/>
    <s v="TikTok Ads"/>
    <x v="3"/>
    <s v="Healthcare"/>
    <x v="1"/>
    <n v="115304"/>
    <n v="3551"/>
    <n v="3.0800000000000001E-2"/>
    <n v="1.56"/>
    <n v="5539.56"/>
    <n v="232"/>
    <n v="23.88"/>
    <n v="22178.1"/>
    <n v="16638.539999999997"/>
    <n v="3.0035851222840795"/>
    <n v="4"/>
    <s v="High"/>
    <s v="Valid"/>
  </r>
  <r>
    <x v="228"/>
    <x v="7"/>
    <s v="TikTok Ads"/>
    <x v="2"/>
    <s v="Fintech"/>
    <x v="0"/>
    <n v="132571"/>
    <n v="9147"/>
    <n v="6.9000000000000006E-2"/>
    <n v="1.02"/>
    <n v="9329.94"/>
    <n v="502"/>
    <n v="18.59"/>
    <n v="55471.3"/>
    <n v="46141.36"/>
    <n v="4.9455151908801129"/>
    <n v="5.95"/>
    <s v="High"/>
    <s v="Valid"/>
  </r>
  <r>
    <x v="9"/>
    <x v="6"/>
    <s v="Google Ads"/>
    <x v="3"/>
    <s v="E-commerce"/>
    <x v="0"/>
    <n v="92502"/>
    <n v="2960"/>
    <n v="3.2000000000000001E-2"/>
    <n v="2.06"/>
    <n v="6097.6"/>
    <n v="201"/>
    <n v="30.34"/>
    <n v="47885.36"/>
    <n v="41787.760000000002"/>
    <n v="6.8531487798478086"/>
    <n v="7.85"/>
    <s v="High"/>
    <s v="Valid"/>
  </r>
  <r>
    <x v="268"/>
    <x v="6"/>
    <s v="Google Ads"/>
    <x v="3"/>
    <s v="EdTech"/>
    <x v="2"/>
    <n v="133792"/>
    <n v="6943"/>
    <n v="5.1900000000000002E-2"/>
    <n v="2.35"/>
    <n v="16316.05"/>
    <n v="186"/>
    <n v="87.72"/>
    <n v="17630.23"/>
    <n v="1314.1800000000003"/>
    <n v="8.0545230003585447E-2"/>
    <n v="1.08"/>
    <s v="Medium"/>
    <s v="Valid"/>
  </r>
  <r>
    <x v="25"/>
    <x v="9"/>
    <s v="Google Ads"/>
    <x v="3"/>
    <s v="EdTech"/>
    <x v="1"/>
    <n v="77258"/>
    <n v="3963"/>
    <n v="5.1299999999999998E-2"/>
    <n v="1.8"/>
    <n v="7133.4"/>
    <n v="135"/>
    <n v="52.84"/>
    <n v="34518.129999999997"/>
    <n v="27384.729999999996"/>
    <n v="3.8389449631311852"/>
    <n v="4.84"/>
    <s v="High"/>
    <s v="Valid"/>
  </r>
  <r>
    <x v="259"/>
    <x v="8"/>
    <s v="Google Ads"/>
    <x v="3"/>
    <s v="EdTech"/>
    <x v="0"/>
    <n v="74672"/>
    <n v="2665"/>
    <n v="3.5700000000000003E-2"/>
    <n v="1.56"/>
    <n v="4157.3999999999996"/>
    <n v="129"/>
    <n v="32.229999999999997"/>
    <n v="32318.91"/>
    <n v="28161.510000000002"/>
    <n v="6.7738273921200758"/>
    <n v="7.77"/>
    <s v="High"/>
    <s v="Valid"/>
  </r>
  <r>
    <x v="141"/>
    <x v="5"/>
    <s v="TikTok Ads"/>
    <x v="0"/>
    <s v="Healthcare"/>
    <x v="6"/>
    <n v="41558"/>
    <n v="1757"/>
    <n v="4.2299999999999997E-2"/>
    <n v="1.21"/>
    <n v="2125.9699999999998"/>
    <n v="72"/>
    <n v="29.53"/>
    <n v="18414.150000000001"/>
    <n v="16288.180000000002"/>
    <n v="7.6615286198770463"/>
    <n v="8.66"/>
    <s v="High"/>
    <s v="Valid"/>
  </r>
  <r>
    <x v="269"/>
    <x v="9"/>
    <s v="Google Ads"/>
    <x v="2"/>
    <s v="Healthcare"/>
    <x v="6"/>
    <n v="134560"/>
    <n v="5947"/>
    <n v="4.4200000000000003E-2"/>
    <n v="2.84"/>
    <n v="16889.48"/>
    <n v="144"/>
    <n v="117.29"/>
    <n v="23257.77"/>
    <n v="6368.2900000000009"/>
    <n v="0.37705660565038124"/>
    <n v="1.38"/>
    <s v="Medium"/>
    <s v="Valid"/>
  </r>
  <r>
    <x v="12"/>
    <x v="8"/>
    <s v="TikTok Ads"/>
    <x v="0"/>
    <s v="E-commerce"/>
    <x v="4"/>
    <n v="143518"/>
    <n v="10491"/>
    <n v="7.3099999999999998E-2"/>
    <n v="0.85"/>
    <n v="8917.35"/>
    <n v="313"/>
    <n v="28.49"/>
    <n v="46285.52"/>
    <n v="37368.17"/>
    <n v="4.1905016624894165"/>
    <n v="5.19"/>
    <s v="High"/>
    <s v="Valid"/>
  </r>
  <r>
    <x v="270"/>
    <x v="3"/>
    <s v="Meta Ads"/>
    <x v="1"/>
    <s v="Fintech"/>
    <x v="1"/>
    <n v="7402"/>
    <n v="91"/>
    <n v="1.24E-2"/>
    <n v="2.08"/>
    <n v="189.28"/>
    <n v="6"/>
    <n v="31.55"/>
    <n v="1105.17"/>
    <n v="915.8900000000001"/>
    <n v="4.8388102282333056"/>
    <n v="5.84"/>
    <s v="High"/>
    <s v="Valid"/>
  </r>
  <r>
    <x v="136"/>
    <x v="7"/>
    <s v="Google Ads"/>
    <x v="2"/>
    <s v="EdTech"/>
    <x v="6"/>
    <n v="49225"/>
    <n v="2367"/>
    <n v="4.8099999999999997E-2"/>
    <n v="1.84"/>
    <n v="4355.28"/>
    <n v="137"/>
    <n v="31.79"/>
    <n v="8811.5300000000007"/>
    <n v="4456.2500000000009"/>
    <n v="1.0231833544571189"/>
    <n v="2.02"/>
    <s v="Medium"/>
    <s v="Valid"/>
  </r>
  <r>
    <x v="185"/>
    <x v="10"/>
    <s v="Google Ads"/>
    <x v="1"/>
    <s v="Healthcare"/>
    <x v="5"/>
    <n v="173678"/>
    <n v="11428"/>
    <n v="6.5799999999999997E-2"/>
    <n v="2.11"/>
    <n v="24113.08"/>
    <n v="310"/>
    <n v="77.78"/>
    <n v="83080.36"/>
    <n v="58967.28"/>
    <n v="2.4454478648103017"/>
    <n v="3.45"/>
    <s v="High"/>
    <s v="Valid"/>
  </r>
  <r>
    <x v="40"/>
    <x v="11"/>
    <s v="Meta Ads"/>
    <x v="3"/>
    <s v="Healthcare"/>
    <x v="6"/>
    <n v="92793"/>
    <n v="1261"/>
    <n v="1.3599999999999999E-2"/>
    <n v="0.37"/>
    <n v="466.57"/>
    <n v="80"/>
    <n v="5.83"/>
    <n v="13024.34"/>
    <n v="12557.77"/>
    <n v="26.915082409927773"/>
    <n v="27.92"/>
    <s v="High"/>
    <s v="Valid"/>
  </r>
  <r>
    <x v="250"/>
    <x v="4"/>
    <s v="TikTok Ads"/>
    <x v="1"/>
    <s v="SaaS"/>
    <x v="1"/>
    <n v="122408"/>
    <n v="6671"/>
    <n v="5.45E-2"/>
    <n v="1.17"/>
    <n v="7805.07"/>
    <n v="293"/>
    <n v="26.64"/>
    <n v="67215.820000000007"/>
    <n v="59410.750000000007"/>
    <n v="7.6118151406713856"/>
    <n v="8.61"/>
    <s v="High"/>
    <s v="Valid"/>
  </r>
  <r>
    <x v="18"/>
    <x v="10"/>
    <s v="TikTok Ads"/>
    <x v="0"/>
    <s v="E-commerce"/>
    <x v="0"/>
    <n v="162826"/>
    <n v="7815"/>
    <n v="4.8000000000000001E-2"/>
    <n v="1.64"/>
    <n v="12816.6"/>
    <n v="120"/>
    <n v="106.81"/>
    <n v="13520.75"/>
    <n v="704.14999999999964"/>
    <n v="5.4940467830781922E-2"/>
    <n v="1.05"/>
    <s v="Medium"/>
    <s v="Valid"/>
  </r>
  <r>
    <x v="87"/>
    <x v="10"/>
    <s v="Meta Ads"/>
    <x v="2"/>
    <s v="Healthcare"/>
    <x v="5"/>
    <n v="134614"/>
    <n v="3190"/>
    <n v="2.3699999999999999E-2"/>
    <n v="1.78"/>
    <n v="5678.2"/>
    <n v="188"/>
    <n v="30.2"/>
    <n v="41736.54"/>
    <n v="36058.340000000004"/>
    <n v="6.3503117185023434"/>
    <n v="7.35"/>
    <s v="High"/>
    <s v="Valid"/>
  </r>
  <r>
    <x v="271"/>
    <x v="11"/>
    <s v="Google Ads"/>
    <x v="2"/>
    <s v="Fintech"/>
    <x v="5"/>
    <n v="116451"/>
    <n v="3388"/>
    <n v="2.9100000000000001E-2"/>
    <n v="3.39"/>
    <n v="11485.32"/>
    <n v="188"/>
    <n v="61.09"/>
    <n v="28791.61"/>
    <n v="17306.29"/>
    <n v="1.5068182688858474"/>
    <n v="2.5099999999999998"/>
    <s v="Medium"/>
    <s v="Valid"/>
  </r>
  <r>
    <x v="272"/>
    <x v="2"/>
    <s v="Google Ads"/>
    <x v="0"/>
    <s v="E-commerce"/>
    <x v="3"/>
    <n v="188276"/>
    <n v="11277"/>
    <n v="5.9900000000000002E-2"/>
    <n v="2.48"/>
    <n v="27966.959999999999"/>
    <n v="554"/>
    <n v="50.48"/>
    <n v="89376.47"/>
    <n v="61409.51"/>
    <n v="2.195787815336383"/>
    <n v="3.2"/>
    <s v="High"/>
    <s v="Valid"/>
  </r>
  <r>
    <x v="72"/>
    <x v="10"/>
    <s v="Meta Ads"/>
    <x v="0"/>
    <s v="Fintech"/>
    <x v="6"/>
    <n v="165552"/>
    <n v="4337"/>
    <n v="2.6200000000000001E-2"/>
    <n v="2.2200000000000002"/>
    <n v="9628.14"/>
    <n v="132"/>
    <n v="72.94"/>
    <n v="21448.35"/>
    <n v="11820.21"/>
    <n v="1.2276732577631817"/>
    <n v="2.23"/>
    <s v="Medium"/>
    <s v="Valid"/>
  </r>
  <r>
    <x v="83"/>
    <x v="4"/>
    <s v="Meta Ads"/>
    <x v="1"/>
    <s v="EdTech"/>
    <x v="1"/>
    <n v="82271"/>
    <n v="3397"/>
    <n v="4.1300000000000003E-2"/>
    <n v="0.52"/>
    <n v="1766.44"/>
    <n v="36"/>
    <n v="49.07"/>
    <n v="6412.73"/>
    <n v="4646.2899999999991"/>
    <n v="2.630312945811915"/>
    <n v="3.63"/>
    <s v="High"/>
    <s v="Valid"/>
  </r>
  <r>
    <x v="19"/>
    <x v="9"/>
    <s v="TikTok Ads"/>
    <x v="0"/>
    <s v="Fintech"/>
    <x v="3"/>
    <n v="61921"/>
    <n v="3814"/>
    <n v="6.1600000000000002E-2"/>
    <n v="0.31"/>
    <n v="1182.3399999999999"/>
    <n v="50"/>
    <n v="23.65"/>
    <n v="8842.35"/>
    <n v="7660.01"/>
    <n v="6.4786863338802716"/>
    <n v="7.48"/>
    <s v="High"/>
    <s v="Valid"/>
  </r>
  <r>
    <x v="273"/>
    <x v="7"/>
    <s v="Google Ads"/>
    <x v="2"/>
    <s v="E-commerce"/>
    <x v="4"/>
    <n v="161089"/>
    <n v="6540"/>
    <n v="4.0599999999999997E-2"/>
    <n v="2.1"/>
    <n v="13734"/>
    <n v="285"/>
    <n v="48.19"/>
    <n v="49746.79"/>
    <n v="36012.79"/>
    <n v="2.6221632445026941"/>
    <n v="3.62"/>
    <s v="High"/>
    <s v="Valid"/>
  </r>
  <r>
    <x v="274"/>
    <x v="7"/>
    <s v="Google Ads"/>
    <x v="2"/>
    <s v="Healthcare"/>
    <x v="2"/>
    <n v="85618"/>
    <n v="2679"/>
    <n v="3.1300000000000001E-2"/>
    <n v="0.92"/>
    <n v="2464.6799999999998"/>
    <n v="74"/>
    <n v="33.31"/>
    <n v="6024.46"/>
    <n v="3559.78"/>
    <n v="1.4443173150266972"/>
    <n v="2.44"/>
    <s v="Medium"/>
    <s v="Valid"/>
  </r>
  <r>
    <x v="275"/>
    <x v="9"/>
    <s v="Meta Ads"/>
    <x v="0"/>
    <s v="Healthcare"/>
    <x v="6"/>
    <n v="30457"/>
    <n v="606"/>
    <n v="1.9900000000000001E-2"/>
    <n v="0.57999999999999996"/>
    <n v="351.48"/>
    <n v="34"/>
    <n v="10.34"/>
    <n v="4981.9399999999996"/>
    <n v="4630.4599999999991"/>
    <n v="13.174177762603843"/>
    <n v="14.17"/>
    <s v="High"/>
    <s v="Valid"/>
  </r>
  <r>
    <x v="98"/>
    <x v="0"/>
    <s v="TikTok Ads"/>
    <x v="0"/>
    <s v="E-commerce"/>
    <x v="5"/>
    <n v="46420"/>
    <n v="1880"/>
    <n v="4.0500000000000001E-2"/>
    <n v="1.9"/>
    <n v="3572"/>
    <n v="113"/>
    <n v="31.61"/>
    <n v="5769.59"/>
    <n v="2197.59"/>
    <n v="0.61522676371780516"/>
    <n v="1.62"/>
    <s v="Medium"/>
    <s v="Valid"/>
  </r>
  <r>
    <x v="276"/>
    <x v="4"/>
    <s v="Google Ads"/>
    <x v="0"/>
    <s v="E-commerce"/>
    <x v="1"/>
    <n v="180746"/>
    <n v="5024"/>
    <n v="2.7799999999999998E-2"/>
    <n v="1.28"/>
    <n v="6430.72"/>
    <n v="64"/>
    <n v="100.48"/>
    <n v="17709.21"/>
    <n v="11278.489999999998"/>
    <n v="1.7538456036027066"/>
    <n v="2.75"/>
    <s v="Medium"/>
    <s v="Valid"/>
  </r>
  <r>
    <x v="249"/>
    <x v="1"/>
    <s v="TikTok Ads"/>
    <x v="0"/>
    <s v="SaaS"/>
    <x v="3"/>
    <n v="131244"/>
    <n v="5604"/>
    <n v="4.2700000000000002E-2"/>
    <n v="0.38"/>
    <n v="2129.52"/>
    <n v="229"/>
    <n v="9.3000000000000007"/>
    <n v="65541.490000000005"/>
    <n v="63411.970000000008"/>
    <n v="29.777588376723397"/>
    <n v="30.78"/>
    <s v="High"/>
    <s v="Valid"/>
  </r>
  <r>
    <x v="124"/>
    <x v="11"/>
    <s v="Google Ads"/>
    <x v="0"/>
    <s v="E-commerce"/>
    <x v="3"/>
    <n v="86678"/>
    <n v="2158"/>
    <n v="2.4899999999999999E-2"/>
    <n v="1.45"/>
    <n v="3129.1"/>
    <n v="163"/>
    <n v="19.2"/>
    <n v="27708.880000000001"/>
    <n v="24579.780000000002"/>
    <n v="7.8552235467067222"/>
    <n v="8.86"/>
    <s v="High"/>
    <s v="Valid"/>
  </r>
  <r>
    <x v="216"/>
    <x v="6"/>
    <s v="Google Ads"/>
    <x v="3"/>
    <s v="EdTech"/>
    <x v="4"/>
    <n v="70226"/>
    <n v="4037"/>
    <n v="5.7500000000000002E-2"/>
    <n v="2.16"/>
    <n v="8719.92"/>
    <n v="240"/>
    <n v="36.33"/>
    <n v="68153.47"/>
    <n v="59433.55"/>
    <n v="6.8158366131799379"/>
    <n v="7.82"/>
    <s v="High"/>
    <s v="Valid"/>
  </r>
  <r>
    <x v="86"/>
    <x v="9"/>
    <s v="Google Ads"/>
    <x v="0"/>
    <s v="Fintech"/>
    <x v="3"/>
    <n v="124119"/>
    <n v="6416"/>
    <n v="5.1700000000000003E-2"/>
    <n v="2.5499999999999998"/>
    <n v="16360.8"/>
    <n v="358"/>
    <n v="45.7"/>
    <n v="48445.72"/>
    <n v="32084.920000000002"/>
    <n v="1.9610850325167475"/>
    <n v="2.96"/>
    <s v="Medium"/>
    <s v="Valid"/>
  </r>
  <r>
    <x v="51"/>
    <x v="8"/>
    <s v="Google Ads"/>
    <x v="2"/>
    <s v="Healthcare"/>
    <x v="0"/>
    <n v="126292"/>
    <n v="5165"/>
    <n v="4.0899999999999999E-2"/>
    <n v="1.49"/>
    <n v="7695.85"/>
    <n v="110"/>
    <n v="69.959999999999994"/>
    <n v="14074.18"/>
    <n v="6378.33"/>
    <n v="0.82880123703034747"/>
    <n v="1.83"/>
    <s v="Medium"/>
    <s v="Valid"/>
  </r>
  <r>
    <x v="277"/>
    <x v="2"/>
    <s v="Google Ads"/>
    <x v="1"/>
    <s v="E-commerce"/>
    <x v="4"/>
    <n v="189935"/>
    <n v="10161"/>
    <n v="5.3499999999999999E-2"/>
    <n v="1.49"/>
    <n v="15139.89"/>
    <n v="615"/>
    <n v="24.62"/>
    <n v="31748.86"/>
    <n v="16608.97"/>
    <n v="1.0970337300997564"/>
    <n v="2.1"/>
    <s v="Medium"/>
    <s v="Valid"/>
  </r>
  <r>
    <x v="196"/>
    <x v="5"/>
    <s v="Google Ads"/>
    <x v="3"/>
    <s v="EdTech"/>
    <x v="0"/>
    <n v="103066"/>
    <n v="2380"/>
    <n v="2.3099999999999999E-2"/>
    <n v="2.4900000000000002"/>
    <n v="5926.2"/>
    <n v="121"/>
    <n v="48.98"/>
    <n v="20395.259999999998"/>
    <n v="14469.059999999998"/>
    <n v="2.4415409537308896"/>
    <n v="3.44"/>
    <s v="High"/>
    <s v="Valid"/>
  </r>
  <r>
    <x v="230"/>
    <x v="11"/>
    <s v="Meta Ads"/>
    <x v="2"/>
    <s v="E-commerce"/>
    <x v="2"/>
    <n v="11083"/>
    <n v="193"/>
    <n v="1.7500000000000002E-2"/>
    <n v="0.83"/>
    <n v="160.19"/>
    <n v="11"/>
    <n v="14.56"/>
    <n v="912.82"/>
    <n v="752.63000000000011"/>
    <n v="4.6983581996379309"/>
    <n v="5.7"/>
    <s v="High"/>
    <s v="Valid"/>
  </r>
  <r>
    <x v="278"/>
    <x v="5"/>
    <s v="Meta Ads"/>
    <x v="3"/>
    <s v="EdTech"/>
    <x v="0"/>
    <n v="6074"/>
    <n v="128"/>
    <n v="2.12E-2"/>
    <n v="1.51"/>
    <n v="193.28"/>
    <n v="5"/>
    <n v="38.659999999999997"/>
    <n v="1253.71"/>
    <n v="1060.43"/>
    <n v="5.4864962748344377"/>
    <n v="6.49"/>
    <s v="High"/>
    <s v="Valid"/>
  </r>
  <r>
    <x v="279"/>
    <x v="3"/>
    <s v="TikTok Ads"/>
    <x v="1"/>
    <s v="Healthcare"/>
    <x v="4"/>
    <n v="54752"/>
    <n v="2814"/>
    <n v="5.1400000000000001E-2"/>
    <n v="0.86"/>
    <n v="2420.04"/>
    <n v="137"/>
    <n v="17.66"/>
    <n v="13580.22"/>
    <n v="11160.18"/>
    <n v="4.611568403828036"/>
    <n v="5.61"/>
    <s v="High"/>
    <s v="Valid"/>
  </r>
  <r>
    <x v="280"/>
    <x v="2"/>
    <s v="Meta Ads"/>
    <x v="1"/>
    <s v="Healthcare"/>
    <x v="1"/>
    <n v="141313"/>
    <n v="4762"/>
    <n v="3.3700000000000001E-2"/>
    <n v="1.05"/>
    <n v="5000.1000000000004"/>
    <n v="207"/>
    <n v="24.16"/>
    <n v="26737.15"/>
    <n v="21737.050000000003"/>
    <n v="4.3473230535389291"/>
    <n v="5.35"/>
    <s v="High"/>
    <s v="Valid"/>
  </r>
  <r>
    <x v="258"/>
    <x v="6"/>
    <s v="TikTok Ads"/>
    <x v="3"/>
    <s v="EdTech"/>
    <x v="2"/>
    <n v="34669"/>
    <n v="1965"/>
    <n v="5.67E-2"/>
    <n v="1.61"/>
    <n v="3163.65"/>
    <n v="74"/>
    <n v="42.75"/>
    <n v="12153.4"/>
    <n v="8989.75"/>
    <n v="2.8415753955083525"/>
    <n v="3.84"/>
    <s v="High"/>
    <s v="Valid"/>
  </r>
  <r>
    <x v="180"/>
    <x v="11"/>
    <s v="Meta Ads"/>
    <x v="3"/>
    <s v="E-commerce"/>
    <x v="6"/>
    <n v="104714"/>
    <n v="1015"/>
    <n v="9.7000000000000003E-3"/>
    <n v="0.93"/>
    <n v="943.95"/>
    <n v="78"/>
    <n v="12.1"/>
    <n v="20952.03"/>
    <n v="20008.079999999998"/>
    <n v="21.196122675989191"/>
    <n v="22.2"/>
    <s v="High"/>
    <s v="Valid"/>
  </r>
  <r>
    <x v="281"/>
    <x v="8"/>
    <s v="TikTok Ads"/>
    <x v="1"/>
    <s v="Healthcare"/>
    <x v="0"/>
    <n v="109733"/>
    <n v="6616"/>
    <n v="6.0299999999999999E-2"/>
    <n v="0.91"/>
    <n v="6020.56"/>
    <n v="516"/>
    <n v="11.67"/>
    <n v="53965.61"/>
    <n v="47945.05"/>
    <n v="7.9635532242847837"/>
    <n v="8.9600000000000009"/>
    <s v="High"/>
    <s v="Valid"/>
  </r>
  <r>
    <x v="135"/>
    <x v="7"/>
    <s v="TikTok Ads"/>
    <x v="3"/>
    <s v="SaaS"/>
    <x v="2"/>
    <n v="67502"/>
    <n v="5859"/>
    <n v="8.6800000000000002E-2"/>
    <n v="0.48"/>
    <n v="2812.32"/>
    <n v="395"/>
    <n v="7.12"/>
    <n v="42271.31"/>
    <n v="39458.99"/>
    <n v="14.030761079820218"/>
    <n v="15.03"/>
    <s v="High"/>
    <s v="Valid"/>
  </r>
  <r>
    <x v="282"/>
    <x v="5"/>
    <s v="Google Ads"/>
    <x v="3"/>
    <s v="E-commerce"/>
    <x v="4"/>
    <n v="129121"/>
    <n v="4893"/>
    <n v="3.7900000000000003E-2"/>
    <n v="2.56"/>
    <n v="12526.08"/>
    <n v="137"/>
    <n v="91.43"/>
    <n v="7241.16"/>
    <n v="-5284.92"/>
    <n v="-0.42191332004904969"/>
    <n v="0.57999999999999996"/>
    <s v="Low"/>
    <s v="Valid"/>
  </r>
  <r>
    <x v="283"/>
    <x v="11"/>
    <s v="Google Ads"/>
    <x v="1"/>
    <s v="Fintech"/>
    <x v="2"/>
    <n v="173102"/>
    <n v="4414"/>
    <n v="2.5499999999999998E-2"/>
    <n v="3.4"/>
    <n v="15007.6"/>
    <n v="341"/>
    <n v="44.01"/>
    <n v="52487.34"/>
    <n v="37479.74"/>
    <n v="2.4973839921106635"/>
    <n v="3.5"/>
    <s v="High"/>
    <s v="Valid"/>
  </r>
  <r>
    <x v="104"/>
    <x v="11"/>
    <s v="Google Ads"/>
    <x v="2"/>
    <s v="EdTech"/>
    <x v="4"/>
    <n v="140607"/>
    <n v="6397"/>
    <n v="4.5499999999999999E-2"/>
    <n v="1.43"/>
    <n v="9147.7099999999991"/>
    <n v="393"/>
    <n v="23.28"/>
    <n v="82224.929999999993"/>
    <n v="73077.22"/>
    <n v="7.9885807486245204"/>
    <n v="8.99"/>
    <s v="High"/>
    <s v="Valid"/>
  </r>
  <r>
    <x v="56"/>
    <x v="0"/>
    <s v="Google Ads"/>
    <x v="0"/>
    <s v="Healthcare"/>
    <x v="3"/>
    <n v="48351"/>
    <n v="2156"/>
    <n v="4.4600000000000001E-2"/>
    <n v="3.16"/>
    <n v="6812.96"/>
    <n v="83"/>
    <n v="82.08"/>
    <n v="7504.87"/>
    <n v="691.90999999999985"/>
    <n v="0.101557913153754"/>
    <n v="1.1000000000000001"/>
    <s v="Medium"/>
    <s v="Valid"/>
  </r>
  <r>
    <x v="224"/>
    <x v="5"/>
    <s v="TikTok Ads"/>
    <x v="1"/>
    <s v="Fintech"/>
    <x v="3"/>
    <n v="118135"/>
    <n v="8151"/>
    <n v="6.9000000000000006E-2"/>
    <n v="0.69"/>
    <n v="5624.19"/>
    <n v="428"/>
    <n v="13.14"/>
    <n v="64189.34"/>
    <n v="58565.149999999994"/>
    <n v="10.413081705987883"/>
    <n v="11.41"/>
    <s v="High"/>
    <s v="Valid"/>
  </r>
  <r>
    <x v="166"/>
    <x v="1"/>
    <s v="TikTok Ads"/>
    <x v="0"/>
    <s v="Fintech"/>
    <x v="1"/>
    <n v="20185"/>
    <n v="878"/>
    <n v="4.3499999999999997E-2"/>
    <n v="0.61"/>
    <n v="535.58000000000004"/>
    <n v="27"/>
    <n v="19.84"/>
    <n v="7476.28"/>
    <n v="6940.7"/>
    <n v="12.959221778259082"/>
    <n v="13.96"/>
    <s v="High"/>
    <s v="Valid"/>
  </r>
  <r>
    <x v="45"/>
    <x v="6"/>
    <s v="TikTok Ads"/>
    <x v="1"/>
    <s v="E-commerce"/>
    <x v="6"/>
    <n v="50802"/>
    <n v="3617"/>
    <n v="7.1199999999999999E-2"/>
    <n v="0.42"/>
    <n v="1519.14"/>
    <n v="279"/>
    <n v="5.44"/>
    <n v="22644.29"/>
    <n v="21125.15"/>
    <n v="13.905992864383796"/>
    <n v="14.91"/>
    <s v="High"/>
    <s v="Valid"/>
  </r>
  <r>
    <x v="6"/>
    <x v="4"/>
    <s v="Meta Ads"/>
    <x v="2"/>
    <s v="E-commerce"/>
    <x v="4"/>
    <n v="34048"/>
    <n v="694"/>
    <n v="2.0400000000000001E-2"/>
    <n v="1.45"/>
    <n v="1006.3"/>
    <n v="49"/>
    <n v="20.54"/>
    <n v="12555.06"/>
    <n v="11548.76"/>
    <n v="11.476458312630429"/>
    <n v="12.48"/>
    <s v="High"/>
    <s v="Valid"/>
  </r>
  <r>
    <x v="277"/>
    <x v="2"/>
    <s v="TikTok Ads"/>
    <x v="1"/>
    <s v="SaaS"/>
    <x v="0"/>
    <n v="56672"/>
    <n v="2397"/>
    <n v="4.2299999999999997E-2"/>
    <n v="0.48"/>
    <n v="1150.56"/>
    <n v="138"/>
    <n v="8.34"/>
    <n v="33165.74"/>
    <n v="32015.179999999997"/>
    <n v="27.825737032401612"/>
    <n v="28.83"/>
    <s v="High"/>
    <s v="Valid"/>
  </r>
  <r>
    <x v="284"/>
    <x v="8"/>
    <s v="Google Ads"/>
    <x v="1"/>
    <s v="Fintech"/>
    <x v="0"/>
    <n v="128962"/>
    <n v="7337"/>
    <n v="5.6899999999999999E-2"/>
    <n v="1.35"/>
    <n v="9904.9500000000007"/>
    <n v="226"/>
    <n v="43.83"/>
    <n v="26098.81"/>
    <n v="16193.86"/>
    <n v="1.6349259713577553"/>
    <n v="2.63"/>
    <s v="Medium"/>
    <s v="Valid"/>
  </r>
  <r>
    <x v="84"/>
    <x v="7"/>
    <s v="Meta Ads"/>
    <x v="1"/>
    <s v="Healthcare"/>
    <x v="1"/>
    <n v="15532"/>
    <n v="593"/>
    <n v="3.8199999999999998E-2"/>
    <n v="1.43"/>
    <n v="847.99"/>
    <n v="45"/>
    <n v="18.84"/>
    <n v="2243.79"/>
    <n v="1395.8"/>
    <n v="1.6460099765327421"/>
    <n v="2.65"/>
    <s v="Medium"/>
    <s v="Valid"/>
  </r>
  <r>
    <x v="285"/>
    <x v="4"/>
    <s v="Google Ads"/>
    <x v="1"/>
    <s v="Fintech"/>
    <x v="6"/>
    <n v="154666"/>
    <n v="5939"/>
    <n v="3.8399999999999997E-2"/>
    <n v="1.28"/>
    <n v="7601.92"/>
    <n v="366"/>
    <n v="20.77"/>
    <n v="24965.13"/>
    <n v="17363.21"/>
    <n v="2.2840558700959757"/>
    <n v="3.28"/>
    <s v="High"/>
    <s v="Valid"/>
  </r>
  <r>
    <x v="257"/>
    <x v="4"/>
    <s v="TikTok Ads"/>
    <x v="1"/>
    <s v="E-commerce"/>
    <x v="2"/>
    <n v="9722"/>
    <n v="455"/>
    <n v="4.6899999999999997E-2"/>
    <n v="1.21"/>
    <n v="550.54999999999995"/>
    <n v="29"/>
    <n v="18.98"/>
    <n v="3533.89"/>
    <n v="2983.34"/>
    <n v="5.4188357097448012"/>
    <n v="6.42"/>
    <s v="High"/>
    <s v="Valid"/>
  </r>
  <r>
    <x v="42"/>
    <x v="4"/>
    <s v="Google Ads"/>
    <x v="3"/>
    <s v="Fintech"/>
    <x v="6"/>
    <n v="24464"/>
    <n v="511"/>
    <n v="2.0899999999999998E-2"/>
    <n v="1.1200000000000001"/>
    <n v="572.32000000000005"/>
    <n v="20"/>
    <n v="28.62"/>
    <n v="5921.83"/>
    <n v="5349.51"/>
    <n v="9.347061084707855"/>
    <n v="10.35"/>
    <s v="High"/>
    <s v="Valid"/>
  </r>
  <r>
    <x v="286"/>
    <x v="2"/>
    <s v="Meta Ads"/>
    <x v="1"/>
    <s v="E-commerce"/>
    <x v="5"/>
    <n v="170413"/>
    <n v="3936"/>
    <n v="2.3099999999999999E-2"/>
    <n v="0.71"/>
    <n v="2794.56"/>
    <n v="63"/>
    <n v="44.36"/>
    <n v="12671.79"/>
    <n v="9877.2300000000014"/>
    <n v="3.534449072483683"/>
    <n v="4.53"/>
    <s v="High"/>
    <s v="Valid"/>
  </r>
  <r>
    <x v="287"/>
    <x v="11"/>
    <s v="TikTok Ads"/>
    <x v="1"/>
    <s v="Fintech"/>
    <x v="3"/>
    <n v="109205"/>
    <n v="4499"/>
    <n v="4.1200000000000001E-2"/>
    <n v="0.84"/>
    <n v="3779.16"/>
    <n v="49"/>
    <n v="77.13"/>
    <n v="13660.38"/>
    <n v="9881.2199999999993"/>
    <n v="2.6146604007239702"/>
    <n v="3.61"/>
    <s v="High"/>
    <s v="Valid"/>
  </r>
  <r>
    <x v="15"/>
    <x v="4"/>
    <s v="Google Ads"/>
    <x v="2"/>
    <s v="E-commerce"/>
    <x v="3"/>
    <n v="161926"/>
    <n v="5424"/>
    <n v="3.3500000000000002E-2"/>
    <n v="3.29"/>
    <n v="17844.96"/>
    <n v="87"/>
    <n v="205.11"/>
    <n v="11807.21"/>
    <n v="-6037.75"/>
    <n v="-0.33834483237844187"/>
    <n v="0.66"/>
    <s v="Low"/>
    <s v="Valid"/>
  </r>
  <r>
    <x v="35"/>
    <x v="3"/>
    <s v="Meta Ads"/>
    <x v="0"/>
    <s v="E-commerce"/>
    <x v="1"/>
    <n v="125725"/>
    <n v="1646"/>
    <n v="1.3100000000000001E-2"/>
    <n v="0.81"/>
    <n v="1333.26"/>
    <n v="19"/>
    <n v="70.17"/>
    <n v="2319.58"/>
    <n v="986.31999999999994"/>
    <n v="0.73978068793783658"/>
    <n v="1.74"/>
    <s v="Medium"/>
    <s v="Valid"/>
  </r>
  <r>
    <x v="44"/>
    <x v="8"/>
    <s v="TikTok Ads"/>
    <x v="1"/>
    <s v="Healthcare"/>
    <x v="0"/>
    <n v="116301"/>
    <n v="4198"/>
    <n v="3.61E-2"/>
    <n v="1.45"/>
    <n v="6087.1"/>
    <n v="212"/>
    <n v="28.71"/>
    <n v="37780.9"/>
    <n v="31693.800000000003"/>
    <n v="5.206715841698017"/>
    <n v="6.21"/>
    <s v="High"/>
    <s v="Valid"/>
  </r>
  <r>
    <x v="275"/>
    <x v="9"/>
    <s v="Google Ads"/>
    <x v="2"/>
    <s v="SaaS"/>
    <x v="4"/>
    <n v="88251"/>
    <n v="2665"/>
    <n v="3.0200000000000001E-2"/>
    <n v="1.29"/>
    <n v="3437.85"/>
    <n v="151"/>
    <n v="22.77"/>
    <n v="17509.21"/>
    <n v="14071.359999999999"/>
    <n v="4.0930697965298073"/>
    <n v="5.09"/>
    <s v="High"/>
    <s v="Valid"/>
  </r>
  <r>
    <x v="120"/>
    <x v="3"/>
    <s v="Google Ads"/>
    <x v="1"/>
    <s v="EdTech"/>
    <x v="3"/>
    <n v="185378"/>
    <n v="3244"/>
    <n v="1.7500000000000002E-2"/>
    <n v="1.82"/>
    <n v="5904.08"/>
    <n v="246"/>
    <n v="24"/>
    <n v="67552.800000000003"/>
    <n v="61648.72"/>
    <n v="10.441714881912169"/>
    <n v="11.44"/>
    <s v="High"/>
    <s v="Valid"/>
  </r>
  <r>
    <x v="14"/>
    <x v="4"/>
    <s v="Meta Ads"/>
    <x v="2"/>
    <s v="SaaS"/>
    <x v="2"/>
    <n v="177905"/>
    <n v="5532"/>
    <n v="3.1099999999999999E-2"/>
    <n v="0.98"/>
    <n v="5421.36"/>
    <n v="370"/>
    <n v="14.65"/>
    <n v="14673.05"/>
    <n v="9251.6899999999987"/>
    <n v="1.7065256688358639"/>
    <n v="2.71"/>
    <s v="Medium"/>
    <s v="Valid"/>
  </r>
  <r>
    <x v="41"/>
    <x v="4"/>
    <s v="Meta Ads"/>
    <x v="1"/>
    <s v="E-commerce"/>
    <x v="4"/>
    <n v="122845"/>
    <n v="2714"/>
    <n v="2.2100000000000002E-2"/>
    <n v="0.56999999999999995"/>
    <n v="1546.98"/>
    <n v="143"/>
    <n v="10.82"/>
    <n v="36419.79"/>
    <n v="34872.81"/>
    <n v="22.542508629717254"/>
    <n v="23.54"/>
    <s v="High"/>
    <s v="Valid"/>
  </r>
  <r>
    <x v="152"/>
    <x v="1"/>
    <s v="Meta Ads"/>
    <x v="1"/>
    <s v="Healthcare"/>
    <x v="3"/>
    <n v="36017"/>
    <n v="1210"/>
    <n v="3.3599999999999998E-2"/>
    <n v="1.01"/>
    <n v="1222.0999999999999"/>
    <n v="28"/>
    <n v="43.65"/>
    <n v="1258.31"/>
    <n v="36.210000000000036"/>
    <n v="2.9629326569020571E-2"/>
    <n v="1.03"/>
    <s v="Medium"/>
    <s v="Valid"/>
  </r>
  <r>
    <x v="59"/>
    <x v="8"/>
    <s v="Google Ads"/>
    <x v="0"/>
    <s v="EdTech"/>
    <x v="2"/>
    <n v="71267"/>
    <n v="3962"/>
    <n v="5.5599999999999997E-2"/>
    <n v="0.93"/>
    <n v="3684.66"/>
    <n v="287"/>
    <n v="12.84"/>
    <n v="50107.59"/>
    <n v="46422.929999999993"/>
    <n v="12.598972496783963"/>
    <n v="13.6"/>
    <s v="High"/>
    <s v="Valid"/>
  </r>
  <r>
    <x v="144"/>
    <x v="0"/>
    <s v="Meta Ads"/>
    <x v="3"/>
    <s v="EdTech"/>
    <x v="5"/>
    <n v="97152"/>
    <n v="1156"/>
    <n v="1.1900000000000001E-2"/>
    <n v="0.54"/>
    <n v="624.24"/>
    <n v="43"/>
    <n v="14.52"/>
    <n v="4965.75"/>
    <n v="4341.51"/>
    <n v="6.9548731257208765"/>
    <n v="7.95"/>
    <s v="High"/>
    <s v="Valid"/>
  </r>
  <r>
    <x v="288"/>
    <x v="7"/>
    <s v="Meta Ads"/>
    <x v="2"/>
    <s v="E-commerce"/>
    <x v="2"/>
    <n v="33834"/>
    <n v="906"/>
    <n v="2.6800000000000001E-2"/>
    <n v="0.88"/>
    <n v="797.28"/>
    <n v="23"/>
    <n v="34.659999999999997"/>
    <n v="2361.23"/>
    <n v="1563.95"/>
    <n v="1.9616069636765001"/>
    <n v="2.96"/>
    <s v="Medium"/>
    <s v="Valid"/>
  </r>
  <r>
    <x v="20"/>
    <x v="9"/>
    <s v="TikTok Ads"/>
    <x v="2"/>
    <s v="E-commerce"/>
    <x v="4"/>
    <n v="183775"/>
    <n v="7093"/>
    <n v="3.8600000000000002E-2"/>
    <n v="1"/>
    <n v="7093"/>
    <n v="373"/>
    <n v="19.02"/>
    <n v="88634"/>
    <n v="81541"/>
    <n v="11.495981954039193"/>
    <n v="12.5"/>
    <s v="High"/>
    <s v="Valid"/>
  </r>
  <r>
    <x v="184"/>
    <x v="4"/>
    <s v="Meta Ads"/>
    <x v="0"/>
    <s v="Fintech"/>
    <x v="0"/>
    <n v="199405"/>
    <n v="5204"/>
    <n v="2.6100000000000002E-2"/>
    <n v="0.96"/>
    <n v="4995.84"/>
    <n v="333"/>
    <n v="15"/>
    <n v="25169.83"/>
    <n v="20173.990000000002"/>
    <n v="4.0381577472457089"/>
    <n v="5.04"/>
    <s v="High"/>
    <s v="Valid"/>
  </r>
  <r>
    <x v="289"/>
    <x v="11"/>
    <s v="TikTok Ads"/>
    <x v="0"/>
    <s v="Healthcare"/>
    <x v="3"/>
    <n v="169512"/>
    <n v="9475"/>
    <n v="5.5899999999999998E-2"/>
    <n v="1.41"/>
    <n v="13359.75"/>
    <n v="203"/>
    <n v="65.81"/>
    <n v="26995.02"/>
    <n v="13635.27"/>
    <n v="1.0206231404030763"/>
    <n v="2.02"/>
    <s v="Medium"/>
    <s v="Valid"/>
  </r>
  <r>
    <x v="290"/>
    <x v="6"/>
    <s v="Google Ads"/>
    <x v="3"/>
    <s v="EdTech"/>
    <x v="5"/>
    <n v="14884"/>
    <n v="541"/>
    <n v="3.6400000000000002E-2"/>
    <n v="3.25"/>
    <n v="1758.25"/>
    <n v="43"/>
    <n v="40.89"/>
    <n v="4123.58"/>
    <n v="2365.33"/>
    <n v="1.3452751315228209"/>
    <n v="2.35"/>
    <s v="Medium"/>
    <s v="Valid"/>
  </r>
  <r>
    <x v="90"/>
    <x v="6"/>
    <s v="TikTok Ads"/>
    <x v="2"/>
    <s v="Healthcare"/>
    <x v="3"/>
    <n v="47623"/>
    <n v="1695"/>
    <n v="3.56E-2"/>
    <n v="1.85"/>
    <n v="3135.75"/>
    <n v="36"/>
    <n v="87.1"/>
    <n v="9884.86"/>
    <n v="6749.1100000000006"/>
    <n v="2.1523112493024001"/>
    <n v="3.15"/>
    <s v="High"/>
    <s v="Valid"/>
  </r>
  <r>
    <x v="291"/>
    <x v="6"/>
    <s v="Meta Ads"/>
    <x v="0"/>
    <s v="E-commerce"/>
    <x v="2"/>
    <n v="102780"/>
    <n v="1952"/>
    <n v="1.9E-2"/>
    <n v="1.2"/>
    <n v="2342.4"/>
    <n v="63"/>
    <n v="37.18"/>
    <n v="16160.9"/>
    <n v="13818.5"/>
    <n v="5.8992913251366117"/>
    <n v="6.9"/>
    <s v="High"/>
    <s v="Valid"/>
  </r>
  <r>
    <x v="280"/>
    <x v="2"/>
    <s v="Google Ads"/>
    <x v="2"/>
    <s v="Healthcare"/>
    <x v="6"/>
    <n v="167717"/>
    <n v="4142"/>
    <n v="2.47E-2"/>
    <n v="1.73"/>
    <n v="7165.66"/>
    <n v="71"/>
    <n v="100.92"/>
    <n v="15937.54"/>
    <n v="8771.880000000001"/>
    <n v="1.2241552069174368"/>
    <n v="2.2200000000000002"/>
    <s v="Medium"/>
    <s v="Valid"/>
  </r>
  <r>
    <x v="24"/>
    <x v="7"/>
    <s v="Meta Ads"/>
    <x v="0"/>
    <s v="E-commerce"/>
    <x v="1"/>
    <n v="189598"/>
    <n v="6673"/>
    <n v="3.5200000000000002E-2"/>
    <n v="1.99"/>
    <n v="13279.27"/>
    <n v="170"/>
    <n v="78.11"/>
    <n v="36177.68"/>
    <n v="22898.41"/>
    <n v="1.724372650002598"/>
    <n v="2.72"/>
    <s v="Medium"/>
    <s v="Valid"/>
  </r>
  <r>
    <x v="0"/>
    <x v="0"/>
    <s v="TikTok Ads"/>
    <x v="3"/>
    <s v="SaaS"/>
    <x v="3"/>
    <n v="92273"/>
    <n v="6237"/>
    <n v="6.7599999999999993E-2"/>
    <n v="1.41"/>
    <n v="8794.17"/>
    <n v="291"/>
    <n v="30.22"/>
    <n v="72065.02"/>
    <n v="63270.850000000006"/>
    <n v="7.1946357643757173"/>
    <n v="8.19"/>
    <s v="High"/>
    <s v="Valid"/>
  </r>
  <r>
    <x v="24"/>
    <x v="7"/>
    <s v="Google Ads"/>
    <x v="3"/>
    <s v="Fintech"/>
    <x v="1"/>
    <n v="118884"/>
    <n v="5932"/>
    <n v="4.99E-2"/>
    <n v="2.95"/>
    <n v="17499.400000000001"/>
    <n v="450"/>
    <n v="38.89"/>
    <n v="121374.91"/>
    <n v="103875.51000000001"/>
    <n v="5.9359469467524599"/>
    <n v="6.94"/>
    <s v="High"/>
    <s v="Valid"/>
  </r>
  <r>
    <x v="76"/>
    <x v="5"/>
    <s v="Google Ads"/>
    <x v="0"/>
    <s v="Healthcare"/>
    <x v="6"/>
    <n v="84303"/>
    <n v="4417"/>
    <n v="5.2400000000000002E-2"/>
    <n v="3.12"/>
    <n v="13781.04"/>
    <n v="100"/>
    <n v="137.81"/>
    <n v="20354.89"/>
    <n v="6573.8499999999985"/>
    <n v="0.47702132785334039"/>
    <n v="1.48"/>
    <s v="Medium"/>
    <s v="Valid"/>
  </r>
  <r>
    <x v="144"/>
    <x v="0"/>
    <s v="Google Ads"/>
    <x v="1"/>
    <s v="EdTech"/>
    <x v="3"/>
    <n v="89730"/>
    <n v="4621"/>
    <n v="5.1499999999999997E-2"/>
    <n v="2.68"/>
    <n v="12384.28"/>
    <n v="277"/>
    <n v="44.71"/>
    <n v="13483.54"/>
    <n v="1099.2600000000002"/>
    <n v="8.8762527979018568E-2"/>
    <n v="1.0900000000000001"/>
    <s v="Medium"/>
    <s v="Valid"/>
  </r>
  <r>
    <x v="188"/>
    <x v="6"/>
    <s v="Google Ads"/>
    <x v="0"/>
    <s v="SaaS"/>
    <x v="1"/>
    <n v="174737"/>
    <n v="5207"/>
    <n v="2.98E-2"/>
    <n v="1.44"/>
    <n v="7498.08"/>
    <n v="398"/>
    <n v="18.84"/>
    <n v="90351.24"/>
    <n v="82853.16"/>
    <n v="11.049916778695346"/>
    <n v="12.05"/>
    <s v="High"/>
    <s v="Valid"/>
  </r>
  <r>
    <x v="99"/>
    <x v="7"/>
    <s v="Google Ads"/>
    <x v="2"/>
    <s v="Healthcare"/>
    <x v="3"/>
    <n v="145508"/>
    <n v="7158"/>
    <n v="4.9200000000000001E-2"/>
    <n v="1.44"/>
    <n v="10307.52"/>
    <n v="566"/>
    <n v="18.21"/>
    <n v="76404.289999999994"/>
    <n v="66096.76999999999"/>
    <n v="6.4124804026574758"/>
    <n v="7.41"/>
    <s v="High"/>
    <s v="Valid"/>
  </r>
  <r>
    <x v="282"/>
    <x v="5"/>
    <s v="Google Ads"/>
    <x v="2"/>
    <s v="EdTech"/>
    <x v="6"/>
    <n v="75649"/>
    <n v="1792"/>
    <n v="2.3699999999999999E-2"/>
    <n v="2.78"/>
    <n v="4981.76"/>
    <n v="110"/>
    <n v="45.29"/>
    <n v="12588.99"/>
    <n v="7607.23"/>
    <n v="1.5270165563977387"/>
    <n v="2.5299999999999998"/>
    <s v="Medium"/>
    <s v="Valid"/>
  </r>
  <r>
    <x v="283"/>
    <x v="11"/>
    <s v="TikTok Ads"/>
    <x v="3"/>
    <s v="E-commerce"/>
    <x v="1"/>
    <n v="85522"/>
    <n v="3378"/>
    <n v="3.95E-2"/>
    <n v="0.35"/>
    <n v="1182.3"/>
    <n v="167"/>
    <n v="7.08"/>
    <n v="30312.31"/>
    <n v="29130.010000000002"/>
    <n v="24.638425103611606"/>
    <n v="25.64"/>
    <s v="High"/>
    <s v="Valid"/>
  </r>
  <r>
    <x v="90"/>
    <x v="6"/>
    <s v="Meta Ads"/>
    <x v="2"/>
    <s v="Healthcare"/>
    <x v="4"/>
    <n v="19588"/>
    <n v="434"/>
    <n v="2.2200000000000001E-2"/>
    <n v="1.77"/>
    <n v="768.18"/>
    <n v="5"/>
    <n v="153.63999999999999"/>
    <n v="560.03"/>
    <n v="-208.14999999999998"/>
    <n v="-0.27096513837902575"/>
    <n v="0.73"/>
    <s v="Low"/>
    <s v="Valid"/>
  </r>
  <r>
    <x v="143"/>
    <x v="6"/>
    <s v="TikTok Ads"/>
    <x v="1"/>
    <s v="E-commerce"/>
    <x v="4"/>
    <n v="92985"/>
    <n v="8024"/>
    <n v="8.6300000000000002E-2"/>
    <n v="0.85"/>
    <n v="6820.4"/>
    <n v="520"/>
    <n v="13.12"/>
    <n v="150774.99"/>
    <n v="143954.59"/>
    <n v="21.106473227376693"/>
    <n v="22.11"/>
    <s v="High"/>
    <s v="Valid"/>
  </r>
  <r>
    <x v="37"/>
    <x v="11"/>
    <s v="Google Ads"/>
    <x v="1"/>
    <s v="E-commerce"/>
    <x v="2"/>
    <n v="134198"/>
    <n v="2670"/>
    <n v="1.9900000000000001E-2"/>
    <n v="3.15"/>
    <n v="8410.5"/>
    <n v="71"/>
    <n v="118.46"/>
    <n v="14769.75"/>
    <n v="6359.25"/>
    <n v="0.75610843588371679"/>
    <n v="1.76"/>
    <s v="Medium"/>
    <s v="Valid"/>
  </r>
  <r>
    <x v="132"/>
    <x v="9"/>
    <s v="TikTok Ads"/>
    <x v="0"/>
    <s v="E-commerce"/>
    <x v="4"/>
    <n v="25951"/>
    <n v="809"/>
    <n v="3.1199999999999999E-2"/>
    <n v="0.48"/>
    <n v="388.32"/>
    <n v="61"/>
    <n v="6.37"/>
    <n v="10397.040000000001"/>
    <n v="10008.720000000001"/>
    <n v="25.774412855377012"/>
    <n v="26.77"/>
    <s v="High"/>
    <s v="Valid"/>
  </r>
  <r>
    <x v="292"/>
    <x v="3"/>
    <s v="Google Ads"/>
    <x v="2"/>
    <s v="E-commerce"/>
    <x v="1"/>
    <n v="55385"/>
    <n v="1678"/>
    <n v="3.0300000000000001E-2"/>
    <n v="1.44"/>
    <n v="2416.3200000000002"/>
    <n v="64"/>
    <n v="37.76"/>
    <n v="18110.48"/>
    <n v="15694.16"/>
    <n v="6.4950668785591308"/>
    <n v="7.5"/>
    <s v="High"/>
    <s v="Valid"/>
  </r>
  <r>
    <x v="293"/>
    <x v="0"/>
    <s v="Google Ads"/>
    <x v="0"/>
    <s v="SaaS"/>
    <x v="5"/>
    <n v="21702"/>
    <n v="1000"/>
    <n v="4.6100000000000002E-2"/>
    <n v="3.17"/>
    <n v="3170"/>
    <n v="17"/>
    <n v="186.47"/>
    <n v="3670.88"/>
    <n v="500.88000000000011"/>
    <n v="0.15800630914826502"/>
    <n v="1.1599999999999999"/>
    <s v="Medium"/>
    <s v="Valid"/>
  </r>
  <r>
    <x v="29"/>
    <x v="2"/>
    <s v="TikTok Ads"/>
    <x v="0"/>
    <s v="SaaS"/>
    <x v="0"/>
    <n v="195972"/>
    <n v="13796"/>
    <n v="7.0400000000000004E-2"/>
    <n v="0.5"/>
    <n v="6898"/>
    <n v="645"/>
    <n v="10.69"/>
    <n v="54701.33"/>
    <n v="47803.33"/>
    <n v="6.9300275442157151"/>
    <n v="7.93"/>
    <s v="High"/>
    <s v="Valid"/>
  </r>
  <r>
    <x v="294"/>
    <x v="7"/>
    <s v="Meta Ads"/>
    <x v="0"/>
    <s v="Healthcare"/>
    <x v="0"/>
    <n v="73447"/>
    <n v="2401"/>
    <n v="3.27E-2"/>
    <n v="1.44"/>
    <n v="3457.44"/>
    <n v="93"/>
    <n v="37.18"/>
    <n v="11150.38"/>
    <n v="7692.9399999999987"/>
    <n v="2.2250393354620757"/>
    <n v="3.23"/>
    <s v="High"/>
    <s v="Valid"/>
  </r>
  <r>
    <x v="165"/>
    <x v="3"/>
    <s v="Meta Ads"/>
    <x v="0"/>
    <s v="Healthcare"/>
    <x v="0"/>
    <n v="55867"/>
    <n v="1681"/>
    <n v="3.0099999999999998E-2"/>
    <n v="1.98"/>
    <n v="3328.38"/>
    <n v="32"/>
    <n v="104.01"/>
    <n v="3790.94"/>
    <n v="462.55999999999995"/>
    <n v="0.13897451613097059"/>
    <n v="1.1399999999999999"/>
    <s v="Medium"/>
    <s v="Valid"/>
  </r>
  <r>
    <x v="202"/>
    <x v="8"/>
    <s v="Google Ads"/>
    <x v="3"/>
    <s v="Fintech"/>
    <x v="1"/>
    <n v="64567"/>
    <n v="1439"/>
    <n v="2.23E-2"/>
    <n v="2.29"/>
    <n v="3295.31"/>
    <n v="64"/>
    <n v="51.49"/>
    <n v="4231.38"/>
    <n v="936.07000000000016"/>
    <n v="0.28406128710197226"/>
    <n v="1.28"/>
    <s v="Medium"/>
    <s v="Valid"/>
  </r>
  <r>
    <x v="295"/>
    <x v="10"/>
    <s v="TikTok Ads"/>
    <x v="2"/>
    <s v="SaaS"/>
    <x v="4"/>
    <n v="97254"/>
    <n v="3374"/>
    <n v="3.4700000000000002E-2"/>
    <n v="1.65"/>
    <n v="5567.1"/>
    <n v="63"/>
    <n v="88.37"/>
    <n v="17255.150000000001"/>
    <n v="11688.050000000001"/>
    <n v="2.0994862675360602"/>
    <n v="3.1"/>
    <s v="High"/>
    <s v="Valid"/>
  </r>
  <r>
    <x v="109"/>
    <x v="0"/>
    <s v="Meta Ads"/>
    <x v="2"/>
    <s v="Healthcare"/>
    <x v="1"/>
    <n v="147897"/>
    <n v="2144"/>
    <n v="1.4500000000000001E-2"/>
    <n v="1.94"/>
    <n v="4159.3599999999997"/>
    <n v="24"/>
    <n v="173.31"/>
    <n v="3826.61"/>
    <n v="-332.74999999999955"/>
    <n v="-8.0000288505923889E-2"/>
    <n v="0.92"/>
    <s v="Low"/>
    <s v="Valid"/>
  </r>
  <r>
    <x v="274"/>
    <x v="7"/>
    <s v="Meta Ads"/>
    <x v="3"/>
    <s v="Healthcare"/>
    <x v="3"/>
    <n v="115379"/>
    <n v="5134"/>
    <n v="4.4499999999999998E-2"/>
    <n v="2.41"/>
    <n v="12372.94"/>
    <n v="391"/>
    <n v="31.64"/>
    <n v="109895.16"/>
    <n v="97522.22"/>
    <n v="7.8818954912898631"/>
    <n v="8.8800000000000008"/>
    <s v="High"/>
    <s v="Valid"/>
  </r>
  <r>
    <x v="296"/>
    <x v="11"/>
    <s v="Google Ads"/>
    <x v="0"/>
    <s v="Fintech"/>
    <x v="1"/>
    <n v="51566"/>
    <n v="1531"/>
    <n v="2.9700000000000001E-2"/>
    <n v="1.39"/>
    <n v="2128.09"/>
    <n v="112"/>
    <n v="19"/>
    <n v="6716.48"/>
    <n v="4588.3899999999994"/>
    <n v="2.1561071195297186"/>
    <n v="3.16"/>
    <s v="High"/>
    <s v="Valid"/>
  </r>
  <r>
    <x v="297"/>
    <x v="1"/>
    <s v="Google Ads"/>
    <x v="0"/>
    <s v="Healthcare"/>
    <x v="0"/>
    <n v="184889"/>
    <n v="6212"/>
    <n v="3.3599999999999998E-2"/>
    <n v="2.17"/>
    <n v="13480.04"/>
    <n v="73"/>
    <n v="184.66"/>
    <n v="2434.91"/>
    <n v="-11045.130000000001"/>
    <n v="-0.81936923035836695"/>
    <n v="0.18"/>
    <s v="Low"/>
    <s v="Valid"/>
  </r>
  <r>
    <x v="8"/>
    <x v="5"/>
    <s v="TikTok Ads"/>
    <x v="2"/>
    <s v="EdTech"/>
    <x v="6"/>
    <n v="100028"/>
    <n v="7402"/>
    <n v="7.3999999999999996E-2"/>
    <n v="0.73"/>
    <n v="5403.46"/>
    <n v="100"/>
    <n v="54.03"/>
    <n v="7280.48"/>
    <n v="1877.0199999999995"/>
    <n v="0.34737371980175658"/>
    <n v="1.35"/>
    <s v="Medium"/>
    <s v="Valid"/>
  </r>
  <r>
    <x v="298"/>
    <x v="10"/>
    <s v="TikTok Ads"/>
    <x v="0"/>
    <s v="EdTech"/>
    <x v="5"/>
    <n v="29741"/>
    <n v="1287"/>
    <n v="4.3299999999999998E-2"/>
    <n v="1.23"/>
    <n v="1583.01"/>
    <n v="55"/>
    <n v="28.78"/>
    <n v="6012.36"/>
    <n v="4429.3499999999995"/>
    <n v="2.7980556029336512"/>
    <n v="3.8"/>
    <s v="High"/>
    <s v="Valid"/>
  </r>
  <r>
    <x v="287"/>
    <x v="11"/>
    <s v="Google Ads"/>
    <x v="2"/>
    <s v="Fintech"/>
    <x v="6"/>
    <n v="155033"/>
    <n v="5782"/>
    <n v="3.73E-2"/>
    <n v="2.17"/>
    <n v="12546.94"/>
    <n v="248"/>
    <n v="50.59"/>
    <n v="71470.23"/>
    <n v="58923.289999999994"/>
    <n v="4.6962279248964283"/>
    <n v="5.7"/>
    <s v="High"/>
    <s v="Valid"/>
  </r>
  <r>
    <x v="285"/>
    <x v="4"/>
    <s v="TikTok Ads"/>
    <x v="2"/>
    <s v="Fintech"/>
    <x v="4"/>
    <n v="13562"/>
    <n v="790"/>
    <n v="5.8299999999999998E-2"/>
    <n v="1.18"/>
    <n v="932.2"/>
    <n v="40"/>
    <n v="23.3"/>
    <n v="7014.55"/>
    <n v="6082.35"/>
    <n v="6.5247264535507403"/>
    <n v="7.52"/>
    <s v="High"/>
    <s v="Valid"/>
  </r>
  <r>
    <x v="221"/>
    <x v="0"/>
    <s v="Meta Ads"/>
    <x v="2"/>
    <s v="Healthcare"/>
    <x v="0"/>
    <n v="84830"/>
    <n v="2612"/>
    <n v="3.0800000000000001E-2"/>
    <n v="1.98"/>
    <n v="5171.76"/>
    <n v="84"/>
    <n v="61.57"/>
    <n v="6284.59"/>
    <n v="1112.83"/>
    <n v="0.21517433136881833"/>
    <n v="1.22"/>
    <s v="Medium"/>
    <s v="Valid"/>
  </r>
  <r>
    <x v="95"/>
    <x v="8"/>
    <s v="Meta Ads"/>
    <x v="2"/>
    <s v="Healthcare"/>
    <x v="3"/>
    <n v="119427"/>
    <n v="1146"/>
    <n v="9.5999999999999992E-3"/>
    <n v="1.93"/>
    <n v="2211.7800000000002"/>
    <n v="27"/>
    <n v="81.92"/>
    <n v="5094.3599999999997"/>
    <n v="2882.5799999999995"/>
    <n v="1.3032851368580958"/>
    <n v="2.2999999999999998"/>
    <s v="Medium"/>
    <s v="Valid"/>
  </r>
  <r>
    <x v="285"/>
    <x v="4"/>
    <s v="Google Ads"/>
    <x v="2"/>
    <s v="EdTech"/>
    <x v="5"/>
    <n v="175623"/>
    <n v="9483"/>
    <n v="5.3999999999999999E-2"/>
    <n v="0.97"/>
    <n v="9198.51"/>
    <n v="268"/>
    <n v="34.32"/>
    <n v="79311.56"/>
    <n v="70113.05"/>
    <n v="7.6222181635938862"/>
    <n v="8.6199999999999992"/>
    <s v="High"/>
    <s v="Valid"/>
  </r>
  <r>
    <x v="85"/>
    <x v="10"/>
    <s v="Google Ads"/>
    <x v="0"/>
    <s v="SaaS"/>
    <x v="6"/>
    <n v="93919"/>
    <n v="4968"/>
    <n v="5.2900000000000003E-2"/>
    <n v="2.5499999999999998"/>
    <n v="12668.4"/>
    <n v="308"/>
    <n v="41.13"/>
    <n v="66254.75"/>
    <n v="53586.35"/>
    <n v="4.229922484291623"/>
    <n v="5.23"/>
    <s v="High"/>
    <s v="Valid"/>
  </r>
  <r>
    <x v="231"/>
    <x v="6"/>
    <s v="TikTok Ads"/>
    <x v="3"/>
    <s v="Fintech"/>
    <x v="0"/>
    <n v="46190"/>
    <n v="3030"/>
    <n v="6.5600000000000006E-2"/>
    <n v="0.42"/>
    <n v="1272.5999999999999"/>
    <n v="183"/>
    <n v="6.95"/>
    <n v="38945.83"/>
    <n v="37673.230000000003"/>
    <n v="29.603355335533557"/>
    <n v="30.6"/>
    <s v="High"/>
    <s v="Valid"/>
  </r>
  <r>
    <x v="121"/>
    <x v="3"/>
    <s v="Meta Ads"/>
    <x v="3"/>
    <s v="Healthcare"/>
    <x v="6"/>
    <n v="152996"/>
    <n v="3136"/>
    <n v="2.0500000000000001E-2"/>
    <n v="1.79"/>
    <n v="5613.44"/>
    <n v="82"/>
    <n v="68.459999999999994"/>
    <n v="6472.17"/>
    <n v="858.73000000000047"/>
    <n v="0.15297749686466774"/>
    <n v="1.1499999999999999"/>
    <s v="Medium"/>
    <s v="Valid"/>
  </r>
  <r>
    <x v="173"/>
    <x v="1"/>
    <s v="TikTok Ads"/>
    <x v="2"/>
    <s v="E-commerce"/>
    <x v="0"/>
    <n v="62600"/>
    <n v="3142"/>
    <n v="5.0200000000000002E-2"/>
    <n v="0.71"/>
    <n v="2230.8200000000002"/>
    <n v="245"/>
    <n v="9.11"/>
    <n v="17495.080000000002"/>
    <n v="15264.260000000002"/>
    <n v="6.8424435857666692"/>
    <n v="7.84"/>
    <s v="High"/>
    <s v="Valid"/>
  </r>
  <r>
    <x v="13"/>
    <x v="2"/>
    <s v="Meta Ads"/>
    <x v="0"/>
    <s v="E-commerce"/>
    <x v="0"/>
    <n v="36127"/>
    <n v="610"/>
    <n v="1.6899999999999998E-2"/>
    <n v="1.1100000000000001"/>
    <n v="677.1"/>
    <n v="45"/>
    <n v="15.05"/>
    <n v="6906.4"/>
    <n v="6229.2999999999993"/>
    <n v="9.1999704622655436"/>
    <n v="10.199999999999999"/>
    <s v="High"/>
    <s v="Valid"/>
  </r>
  <r>
    <x v="206"/>
    <x v="5"/>
    <s v="TikTok Ads"/>
    <x v="1"/>
    <s v="EdTech"/>
    <x v="5"/>
    <n v="110940"/>
    <n v="6512"/>
    <n v="5.8700000000000002E-2"/>
    <n v="1.41"/>
    <n v="9181.92"/>
    <n v="108"/>
    <n v="85.02"/>
    <n v="14612.87"/>
    <n v="5430.9500000000007"/>
    <n v="0.59148304494049186"/>
    <n v="1.59"/>
    <s v="Medium"/>
    <s v="Valid"/>
  </r>
  <r>
    <x v="227"/>
    <x v="5"/>
    <s v="Meta Ads"/>
    <x v="0"/>
    <s v="E-commerce"/>
    <x v="1"/>
    <n v="91332"/>
    <n v="3762"/>
    <n v="4.1200000000000001E-2"/>
    <n v="0.65"/>
    <n v="2445.3000000000002"/>
    <n v="125"/>
    <n v="19.559999999999999"/>
    <n v="31285.11"/>
    <n v="28839.81"/>
    <n v="11.793976199239356"/>
    <n v="12.79"/>
    <s v="High"/>
    <s v="Valid"/>
  </r>
  <r>
    <x v="126"/>
    <x v="4"/>
    <s v="TikTok Ads"/>
    <x v="1"/>
    <s v="EdTech"/>
    <x v="0"/>
    <n v="149526"/>
    <n v="4321"/>
    <n v="2.8899999999999999E-2"/>
    <n v="0.78"/>
    <n v="3370.38"/>
    <n v="120"/>
    <n v="28.09"/>
    <n v="25118.55"/>
    <n v="21748.17"/>
    <n v="6.4527352998771645"/>
    <n v="7.45"/>
    <s v="High"/>
    <s v="Valid"/>
  </r>
  <r>
    <x v="57"/>
    <x v="5"/>
    <s v="Meta Ads"/>
    <x v="0"/>
    <s v="Healthcare"/>
    <x v="2"/>
    <n v="77746"/>
    <n v="2861"/>
    <n v="3.6799999999999999E-2"/>
    <n v="1.04"/>
    <n v="2975.44"/>
    <n v="82"/>
    <n v="36.29"/>
    <n v="21523.93"/>
    <n v="18548.490000000002"/>
    <n v="6.2338645712902974"/>
    <n v="7.23"/>
    <s v="High"/>
    <s v="Valid"/>
  </r>
  <r>
    <x v="8"/>
    <x v="5"/>
    <s v="Google Ads"/>
    <x v="1"/>
    <s v="Healthcare"/>
    <x v="1"/>
    <n v="105804"/>
    <n v="3110"/>
    <n v="2.9399999999999999E-2"/>
    <n v="0.97"/>
    <n v="3016.7"/>
    <n v="200"/>
    <n v="15.08"/>
    <n v="49067.29"/>
    <n v="46050.590000000004"/>
    <n v="15.265220273809131"/>
    <n v="16.27"/>
    <s v="High"/>
    <s v="Valid"/>
  </r>
  <r>
    <x v="118"/>
    <x v="7"/>
    <s v="Meta Ads"/>
    <x v="1"/>
    <s v="Fintech"/>
    <x v="3"/>
    <n v="37599"/>
    <n v="1225"/>
    <n v="3.2599999999999997E-2"/>
    <n v="1.3"/>
    <n v="1592.5"/>
    <n v="73"/>
    <n v="21.82"/>
    <n v="19164.89"/>
    <n v="17572.39"/>
    <n v="11.034467817896388"/>
    <n v="12.03"/>
    <s v="High"/>
    <s v="Valid"/>
  </r>
  <r>
    <x v="219"/>
    <x v="5"/>
    <s v="Google Ads"/>
    <x v="2"/>
    <s v="E-commerce"/>
    <x v="5"/>
    <n v="9791"/>
    <n v="519"/>
    <n v="5.3100000000000001E-2"/>
    <n v="3.95"/>
    <n v="2050.0500000000002"/>
    <n v="40"/>
    <n v="51.25"/>
    <n v="2255.2399999999998"/>
    <n v="205.1899999999996"/>
    <n v="0.10009024170142171"/>
    <n v="1.1000000000000001"/>
    <s v="Medium"/>
    <s v="Valid"/>
  </r>
  <r>
    <x v="13"/>
    <x v="2"/>
    <s v="Google Ads"/>
    <x v="0"/>
    <s v="Healthcare"/>
    <x v="2"/>
    <n v="34802"/>
    <n v="1708"/>
    <n v="4.9099999999999998E-2"/>
    <n v="2.9"/>
    <n v="4953.2"/>
    <n v="72"/>
    <n v="68.790000000000006"/>
    <n v="6827.25"/>
    <n v="1874.0500000000002"/>
    <n v="0.37835136881208115"/>
    <n v="1.38"/>
    <s v="Medium"/>
    <s v="Valid"/>
  </r>
  <r>
    <x v="165"/>
    <x v="3"/>
    <s v="TikTok Ads"/>
    <x v="3"/>
    <s v="Healthcare"/>
    <x v="5"/>
    <n v="81394"/>
    <n v="5192"/>
    <n v="6.3799999999999996E-2"/>
    <n v="0.94"/>
    <n v="4880.4799999999996"/>
    <n v="253"/>
    <n v="19.29"/>
    <n v="41499.01"/>
    <n v="36618.53"/>
    <n v="7.5030591253319354"/>
    <n v="8.5"/>
    <s v="High"/>
    <s v="Valid"/>
  </r>
  <r>
    <x v="82"/>
    <x v="7"/>
    <s v="Google Ads"/>
    <x v="2"/>
    <s v="E-commerce"/>
    <x v="3"/>
    <n v="101299"/>
    <n v="3504"/>
    <n v="3.4599999999999999E-2"/>
    <n v="1.8"/>
    <n v="6307.2"/>
    <n v="250"/>
    <n v="25.23"/>
    <n v="36776.35"/>
    <n v="30469.149999999998"/>
    <n v="4.8308520421106032"/>
    <n v="5.83"/>
    <s v="High"/>
    <s v="Valid"/>
  </r>
  <r>
    <x v="245"/>
    <x v="4"/>
    <s v="Meta Ads"/>
    <x v="1"/>
    <s v="Healthcare"/>
    <x v="3"/>
    <n v="140431"/>
    <n v="1544"/>
    <n v="1.0999999999999999E-2"/>
    <n v="0.52"/>
    <n v="802.88"/>
    <n v="74"/>
    <n v="10.85"/>
    <n v="2904.54"/>
    <n v="2101.66"/>
    <n v="2.6176514547628535"/>
    <n v="3.62"/>
    <s v="High"/>
    <s v="Valid"/>
  </r>
  <r>
    <x v="100"/>
    <x v="1"/>
    <s v="Google Ads"/>
    <x v="1"/>
    <s v="SaaS"/>
    <x v="4"/>
    <n v="113368"/>
    <n v="5260"/>
    <n v="4.6399999999999997E-2"/>
    <n v="1.31"/>
    <n v="6890.6"/>
    <n v="168"/>
    <n v="41.02"/>
    <n v="8983.58"/>
    <n v="2092.9799999999996"/>
    <n v="0.30374423127158728"/>
    <n v="1.3"/>
    <s v="Medium"/>
    <s v="Valid"/>
  </r>
  <r>
    <x v="297"/>
    <x v="1"/>
    <s v="Google Ads"/>
    <x v="3"/>
    <s v="E-commerce"/>
    <x v="3"/>
    <n v="89263"/>
    <n v="3695"/>
    <n v="4.1399999999999999E-2"/>
    <n v="1.77"/>
    <n v="6540.15"/>
    <n v="155"/>
    <n v="42.19"/>
    <n v="19291.23"/>
    <n v="12751.08"/>
    <n v="1.9496617050067659"/>
    <n v="2.95"/>
    <s v="Medium"/>
    <s v="Valid"/>
  </r>
  <r>
    <x v="174"/>
    <x v="4"/>
    <s v="Meta Ads"/>
    <x v="3"/>
    <s v="E-commerce"/>
    <x v="2"/>
    <n v="168947"/>
    <n v="4510"/>
    <n v="2.6700000000000002E-2"/>
    <n v="1.94"/>
    <n v="8749.4"/>
    <n v="179"/>
    <n v="48.88"/>
    <n v="48341.14"/>
    <n v="39591.74"/>
    <n v="4.5250805769538482"/>
    <n v="5.53"/>
    <s v="High"/>
    <s v="Valid"/>
  </r>
  <r>
    <x v="55"/>
    <x v="1"/>
    <s v="TikTok Ads"/>
    <x v="0"/>
    <s v="EdTech"/>
    <x v="0"/>
    <n v="139511"/>
    <n v="8384"/>
    <n v="6.0100000000000001E-2"/>
    <n v="1.35"/>
    <n v="11318.4"/>
    <n v="209"/>
    <n v="54.16"/>
    <n v="26357.3"/>
    <n v="15038.9"/>
    <n v="1.3287125388747527"/>
    <n v="2.33"/>
    <s v="Medium"/>
    <s v="Valid"/>
  </r>
  <r>
    <x v="294"/>
    <x v="7"/>
    <s v="Google Ads"/>
    <x v="0"/>
    <s v="Fintech"/>
    <x v="1"/>
    <n v="25927"/>
    <n v="1501"/>
    <n v="5.79E-2"/>
    <n v="1.01"/>
    <n v="1516.01"/>
    <n v="44"/>
    <n v="34.450000000000003"/>
    <n v="4091.03"/>
    <n v="2575.0200000000004"/>
    <n v="1.6985508011160879"/>
    <n v="2.7"/>
    <s v="Medium"/>
    <s v="Valid"/>
  </r>
  <r>
    <x v="299"/>
    <x v="6"/>
    <s v="Meta Ads"/>
    <x v="2"/>
    <s v="E-commerce"/>
    <x v="3"/>
    <n v="165322"/>
    <n v="4529"/>
    <n v="2.7400000000000001E-2"/>
    <n v="1.73"/>
    <n v="7835.17"/>
    <n v="167"/>
    <n v="46.92"/>
    <n v="38358.92"/>
    <n v="30523.75"/>
    <n v="3.8957355105249789"/>
    <n v="4.9000000000000004"/>
    <s v="High"/>
    <s v="Valid"/>
  </r>
  <r>
    <x v="94"/>
    <x v="9"/>
    <s v="Meta Ads"/>
    <x v="1"/>
    <s v="Healthcare"/>
    <x v="5"/>
    <n v="149542"/>
    <n v="2497"/>
    <n v="1.67E-2"/>
    <n v="1.04"/>
    <n v="2596.88"/>
    <n v="70"/>
    <n v="37.1"/>
    <n v="12612.87"/>
    <n v="10015.990000000002"/>
    <n v="3.8569321647515484"/>
    <n v="4.8600000000000003"/>
    <s v="High"/>
    <s v="Valid"/>
  </r>
  <r>
    <x v="300"/>
    <x v="7"/>
    <s v="Meta Ads"/>
    <x v="1"/>
    <s v="Healthcare"/>
    <x v="1"/>
    <n v="20021"/>
    <n v="462"/>
    <n v="2.3099999999999999E-2"/>
    <n v="1.57"/>
    <n v="725.34"/>
    <n v="20"/>
    <n v="36.270000000000003"/>
    <n v="4554.08"/>
    <n v="3828.74"/>
    <n v="5.278545233959246"/>
    <n v="6.28"/>
    <s v="High"/>
    <s v="Valid"/>
  </r>
  <r>
    <x v="214"/>
    <x v="0"/>
    <s v="Google Ads"/>
    <x v="2"/>
    <s v="SaaS"/>
    <x v="0"/>
    <n v="31783"/>
    <n v="781"/>
    <n v="2.46E-2"/>
    <n v="1.1599999999999999"/>
    <n v="905.96"/>
    <n v="49"/>
    <n v="18.489999999999998"/>
    <n v="4886.84"/>
    <n v="3980.88"/>
    <n v="4.394101284824937"/>
    <n v="5.39"/>
    <s v="High"/>
    <s v="Valid"/>
  </r>
  <r>
    <x v="210"/>
    <x v="0"/>
    <s v="Meta Ads"/>
    <x v="3"/>
    <s v="EdTech"/>
    <x v="5"/>
    <n v="171020"/>
    <n v="2616"/>
    <n v="1.5299999999999999E-2"/>
    <n v="0.44"/>
    <n v="1151.04"/>
    <n v="41"/>
    <n v="28.07"/>
    <n v="9636.8799999999992"/>
    <n v="8485.84"/>
    <n v="7.3723241590214075"/>
    <n v="8.3699999999999992"/>
    <s v="High"/>
    <s v="Valid"/>
  </r>
  <r>
    <x v="301"/>
    <x v="0"/>
    <s v="Google Ads"/>
    <x v="2"/>
    <s v="Fintech"/>
    <x v="6"/>
    <n v="31325"/>
    <n v="858"/>
    <n v="2.7400000000000001E-2"/>
    <n v="2.12"/>
    <n v="1818.96"/>
    <n v="43"/>
    <n v="42.3"/>
    <n v="2004.67"/>
    <n v="185.71000000000004"/>
    <n v="0.10209680256850071"/>
    <n v="1.1000000000000001"/>
    <s v="Medium"/>
    <s v="Valid"/>
  </r>
  <r>
    <x v="19"/>
    <x v="9"/>
    <s v="Meta Ads"/>
    <x v="3"/>
    <s v="SaaS"/>
    <x v="6"/>
    <n v="49134"/>
    <n v="1026"/>
    <n v="2.0899999999999998E-2"/>
    <n v="0.8"/>
    <n v="820.8"/>
    <n v="16"/>
    <n v="51.3"/>
    <n v="1025.05"/>
    <n v="204.25"/>
    <n v="0.24884259259259262"/>
    <n v="1.25"/>
    <s v="Medium"/>
    <s v="Valid"/>
  </r>
  <r>
    <x v="302"/>
    <x v="5"/>
    <s v="Google Ads"/>
    <x v="3"/>
    <s v="SaaS"/>
    <x v="5"/>
    <n v="114599"/>
    <n v="2028"/>
    <n v="1.77E-2"/>
    <n v="2.4300000000000002"/>
    <n v="4928.04"/>
    <n v="29"/>
    <n v="169.93"/>
    <n v="5366.72"/>
    <n v="438.68000000000029"/>
    <n v="8.9017134601180242E-2"/>
    <n v="1.0900000000000001"/>
    <s v="Medium"/>
    <s v="Valid"/>
  </r>
  <r>
    <x v="60"/>
    <x v="3"/>
    <s v="Meta Ads"/>
    <x v="1"/>
    <s v="Fintech"/>
    <x v="1"/>
    <n v="198581"/>
    <n v="1985"/>
    <n v="0.01"/>
    <n v="1.76"/>
    <n v="3493.6"/>
    <n v="38"/>
    <n v="91.94"/>
    <n v="8029.71"/>
    <n v="4536.1100000000006"/>
    <n v="1.2984056560567898"/>
    <n v="2.2999999999999998"/>
    <s v="Medium"/>
    <s v="Valid"/>
  </r>
  <r>
    <x v="260"/>
    <x v="10"/>
    <s v="Google Ads"/>
    <x v="1"/>
    <s v="SaaS"/>
    <x v="4"/>
    <n v="157890"/>
    <n v="9204"/>
    <n v="5.8299999999999998E-2"/>
    <n v="3.37"/>
    <n v="31017.48"/>
    <n v="321"/>
    <n v="96.63"/>
    <n v="10260.33"/>
    <n v="-20757.150000000001"/>
    <n v="-0.66920813683123204"/>
    <n v="0.33"/>
    <s v="Low"/>
    <s v="Valid"/>
  </r>
  <r>
    <x v="76"/>
    <x v="5"/>
    <s v="Google Ads"/>
    <x v="0"/>
    <s v="EdTech"/>
    <x v="3"/>
    <n v="161215"/>
    <n v="5948"/>
    <n v="3.6900000000000002E-2"/>
    <n v="2.27"/>
    <n v="13501.96"/>
    <n v="439"/>
    <n v="30.76"/>
    <n v="105685.25"/>
    <n v="92183.290000000008"/>
    <n v="6.8274006144293136"/>
    <n v="7.83"/>
    <s v="High"/>
    <s v="Valid"/>
  </r>
  <r>
    <x v="303"/>
    <x v="0"/>
    <s v="TikTok Ads"/>
    <x v="1"/>
    <s v="Fintech"/>
    <x v="5"/>
    <n v="48147"/>
    <n v="3562"/>
    <n v="7.3999999999999996E-2"/>
    <n v="0.42"/>
    <n v="1496.04"/>
    <n v="163"/>
    <n v="9.18"/>
    <n v="41382.29"/>
    <n v="39886.25"/>
    <n v="26.661218951364937"/>
    <n v="27.66"/>
    <s v="High"/>
    <s v="Valid"/>
  </r>
  <r>
    <x v="76"/>
    <x v="5"/>
    <s v="Meta Ads"/>
    <x v="1"/>
    <s v="EdTech"/>
    <x v="2"/>
    <n v="90818"/>
    <n v="3287"/>
    <n v="3.6200000000000003E-2"/>
    <n v="0.8"/>
    <n v="2629.6"/>
    <n v="123"/>
    <n v="21.38"/>
    <n v="11242.68"/>
    <n v="8613.08"/>
    <n v="3.2754335260115606"/>
    <n v="4.28"/>
    <s v="High"/>
    <s v="Valid"/>
  </r>
  <r>
    <x v="192"/>
    <x v="1"/>
    <s v="Google Ads"/>
    <x v="1"/>
    <s v="SaaS"/>
    <x v="5"/>
    <n v="118415"/>
    <n v="6500"/>
    <n v="5.4899999999999997E-2"/>
    <n v="1.74"/>
    <n v="11310"/>
    <n v="458"/>
    <n v="24.69"/>
    <n v="110383.15"/>
    <n v="99073.15"/>
    <n v="8.7597833775419982"/>
    <n v="9.76"/>
    <s v="High"/>
    <s v="Valid"/>
  </r>
  <r>
    <x v="9"/>
    <x v="6"/>
    <s v="TikTok Ads"/>
    <x v="2"/>
    <s v="SaaS"/>
    <x v="3"/>
    <n v="113886"/>
    <n v="4965"/>
    <n v="4.36E-2"/>
    <n v="1.34"/>
    <n v="6653.1"/>
    <n v="141"/>
    <n v="47.19"/>
    <n v="24007.439999999999"/>
    <n v="17354.339999999997"/>
    <n v="2.6084592145015097"/>
    <n v="3.61"/>
    <s v="High"/>
    <s v="Valid"/>
  </r>
  <r>
    <x v="197"/>
    <x v="11"/>
    <s v="Meta Ads"/>
    <x v="3"/>
    <s v="Healthcare"/>
    <x v="2"/>
    <n v="113668"/>
    <n v="2864"/>
    <n v="2.52E-2"/>
    <n v="1.57"/>
    <n v="4496.4799999999996"/>
    <n v="81"/>
    <n v="55.51"/>
    <n v="6109.21"/>
    <n v="1612.7300000000005"/>
    <n v="0.35866500017791708"/>
    <n v="1.36"/>
    <s v="Medium"/>
    <s v="Valid"/>
  </r>
  <r>
    <x v="170"/>
    <x v="1"/>
    <s v="Meta Ads"/>
    <x v="2"/>
    <s v="Healthcare"/>
    <x v="6"/>
    <n v="76880"/>
    <n v="1798"/>
    <n v="2.3400000000000001E-2"/>
    <n v="1.18"/>
    <n v="2121.64"/>
    <n v="91"/>
    <n v="23.31"/>
    <n v="8926.11"/>
    <n v="6804.4700000000012"/>
    <n v="3.2071746384872086"/>
    <n v="4.21"/>
    <s v="High"/>
    <s v="Valid"/>
  </r>
  <r>
    <x v="64"/>
    <x v="7"/>
    <s v="Google Ads"/>
    <x v="0"/>
    <s v="EdTech"/>
    <x v="6"/>
    <n v="138438"/>
    <n v="4734"/>
    <n v="3.4200000000000001E-2"/>
    <n v="3.54"/>
    <n v="16758.36"/>
    <n v="191"/>
    <n v="87.74"/>
    <n v="38220.879999999997"/>
    <n v="21462.519999999997"/>
    <n v="1.2807052718762455"/>
    <n v="2.2799999999999998"/>
    <s v="Medium"/>
    <s v="Valid"/>
  </r>
  <r>
    <x v="251"/>
    <x v="6"/>
    <s v="Google Ads"/>
    <x v="0"/>
    <s v="E-commerce"/>
    <x v="3"/>
    <n v="34764"/>
    <n v="1251"/>
    <n v="3.5999999999999997E-2"/>
    <n v="0.83"/>
    <n v="1038.33"/>
    <n v="83"/>
    <n v="12.51"/>
    <n v="3361.16"/>
    <n v="2322.83"/>
    <n v="2.2370826230581802"/>
    <n v="3.24"/>
    <s v="High"/>
    <s v="Valid"/>
  </r>
  <r>
    <x v="104"/>
    <x v="11"/>
    <s v="Meta Ads"/>
    <x v="1"/>
    <s v="Fintech"/>
    <x v="4"/>
    <n v="61387"/>
    <n v="1608"/>
    <n v="2.6200000000000001E-2"/>
    <n v="2.09"/>
    <n v="3360.72"/>
    <n v="96"/>
    <n v="35.01"/>
    <n v="12312.27"/>
    <n v="8951.5500000000011"/>
    <n v="2.6635810183532107"/>
    <n v="3.66"/>
    <s v="High"/>
    <s v="Valid"/>
  </r>
  <r>
    <x v="17"/>
    <x v="6"/>
    <s v="TikTok Ads"/>
    <x v="2"/>
    <s v="SaaS"/>
    <x v="0"/>
    <n v="139607"/>
    <n v="10289"/>
    <n v="7.3700000000000002E-2"/>
    <n v="0.91"/>
    <n v="9362.99"/>
    <n v="580"/>
    <n v="16.14"/>
    <n v="94107.07"/>
    <n v="84744.08"/>
    <n v="9.0509634208730336"/>
    <n v="10.050000000000001"/>
    <s v="High"/>
    <s v="Valid"/>
  </r>
  <r>
    <x v="304"/>
    <x v="2"/>
    <s v="Meta Ads"/>
    <x v="2"/>
    <s v="EdTech"/>
    <x v="1"/>
    <n v="48271"/>
    <n v="1182"/>
    <n v="2.4500000000000001E-2"/>
    <n v="1.94"/>
    <n v="2293.08"/>
    <n v="30"/>
    <n v="76.44"/>
    <n v="2529.5"/>
    <n v="236.42000000000007"/>
    <n v="0.10310150539885224"/>
    <n v="1.1000000000000001"/>
    <s v="Medium"/>
    <s v="Valid"/>
  </r>
  <r>
    <x v="253"/>
    <x v="6"/>
    <s v="TikTok Ads"/>
    <x v="0"/>
    <s v="EdTech"/>
    <x v="6"/>
    <n v="181833"/>
    <n v="10018"/>
    <n v="5.5100000000000003E-2"/>
    <n v="0.48"/>
    <n v="4808.6400000000003"/>
    <n v="686"/>
    <n v="7.01"/>
    <n v="153650.81"/>
    <n v="148842.16999999998"/>
    <n v="30.953069890863109"/>
    <n v="31.95"/>
    <s v="High"/>
    <s v="Valid"/>
  </r>
  <r>
    <x v="92"/>
    <x v="8"/>
    <s v="Meta Ads"/>
    <x v="1"/>
    <s v="E-commerce"/>
    <x v="2"/>
    <n v="83678"/>
    <n v="2761"/>
    <n v="3.3000000000000002E-2"/>
    <n v="1.66"/>
    <n v="4583.26"/>
    <n v="35"/>
    <n v="130.94999999999999"/>
    <n v="4630.4799999999996"/>
    <n v="47.219999999999345"/>
    <n v="1.0302710297910078E-2"/>
    <n v="1.01"/>
    <s v="Medium"/>
    <s v="Valid"/>
  </r>
  <r>
    <x v="278"/>
    <x v="5"/>
    <s v="Google Ads"/>
    <x v="0"/>
    <s v="SaaS"/>
    <x v="6"/>
    <n v="32898"/>
    <n v="1743"/>
    <n v="5.2999999999999999E-2"/>
    <n v="1.17"/>
    <n v="2039.31"/>
    <n v="130"/>
    <n v="15.69"/>
    <n v="31968.71"/>
    <n v="29929.399999999998"/>
    <n v="14.676238531660218"/>
    <n v="15.68"/>
    <s v="High"/>
    <s v="Valid"/>
  </r>
  <r>
    <x v="288"/>
    <x v="7"/>
    <s v="Meta Ads"/>
    <x v="0"/>
    <s v="Healthcare"/>
    <x v="3"/>
    <n v="36153"/>
    <n v="882"/>
    <n v="2.4400000000000002E-2"/>
    <n v="1.68"/>
    <n v="1481.76"/>
    <n v="62"/>
    <n v="23.9"/>
    <n v="16744.05"/>
    <n v="15262.289999999999"/>
    <n v="10.300109329446064"/>
    <n v="11.3"/>
    <s v="High"/>
    <s v="Valid"/>
  </r>
  <r>
    <x v="305"/>
    <x v="1"/>
    <s v="Meta Ads"/>
    <x v="0"/>
    <s v="Healthcare"/>
    <x v="2"/>
    <n v="140372"/>
    <n v="4548"/>
    <n v="3.2399999999999998E-2"/>
    <n v="1.44"/>
    <n v="6549.12"/>
    <n v="125"/>
    <n v="52.39"/>
    <n v="23552.19"/>
    <n v="17003.07"/>
    <n v="2.5962373570800352"/>
    <n v="3.6"/>
    <s v="High"/>
    <s v="Valid"/>
  </r>
  <r>
    <x v="232"/>
    <x v="0"/>
    <s v="TikTok Ads"/>
    <x v="1"/>
    <s v="SaaS"/>
    <x v="0"/>
    <n v="196889"/>
    <n v="9568"/>
    <n v="4.8599999999999997E-2"/>
    <n v="0.93"/>
    <n v="8898.24"/>
    <n v="137"/>
    <n v="64.95"/>
    <n v="34964.660000000003"/>
    <n v="26066.420000000006"/>
    <n v="2.9293905311612192"/>
    <n v="3.93"/>
    <s v="High"/>
    <s v="Valid"/>
  </r>
  <r>
    <x v="306"/>
    <x v="2"/>
    <s v="TikTok Ads"/>
    <x v="3"/>
    <s v="EdTech"/>
    <x v="1"/>
    <n v="77467"/>
    <n v="3300"/>
    <n v="4.2599999999999999E-2"/>
    <n v="1.01"/>
    <n v="3333"/>
    <n v="180"/>
    <n v="18.52"/>
    <n v="42781.66"/>
    <n v="39448.660000000003"/>
    <n v="11.835781578157818"/>
    <n v="12.84"/>
    <s v="High"/>
    <s v="Valid"/>
  </r>
  <r>
    <x v="306"/>
    <x v="2"/>
    <s v="Google Ads"/>
    <x v="2"/>
    <s v="Fintech"/>
    <x v="0"/>
    <n v="29016"/>
    <n v="1088"/>
    <n v="3.7499999999999999E-2"/>
    <n v="2.06"/>
    <n v="2241.2800000000002"/>
    <n v="56"/>
    <n v="40.020000000000003"/>
    <n v="9936.27"/>
    <n v="7694.99"/>
    <n v="3.4333015062821239"/>
    <n v="4.43"/>
    <s v="High"/>
    <s v="Valid"/>
  </r>
  <r>
    <x v="307"/>
    <x v="10"/>
    <s v="Meta Ads"/>
    <x v="2"/>
    <s v="Healthcare"/>
    <x v="4"/>
    <n v="117200"/>
    <n v="1699"/>
    <n v="1.4500000000000001E-2"/>
    <n v="1.94"/>
    <n v="3296.06"/>
    <n v="113"/>
    <n v="29.17"/>
    <n v="30970.48"/>
    <n v="27674.42"/>
    <n v="8.3962124475889386"/>
    <n v="9.4"/>
    <s v="High"/>
    <s v="Valid"/>
  </r>
  <r>
    <x v="131"/>
    <x v="8"/>
    <s v="Google Ads"/>
    <x v="2"/>
    <s v="SaaS"/>
    <x v="3"/>
    <n v="134157"/>
    <n v="3407"/>
    <n v="2.5399999999999999E-2"/>
    <n v="2.41"/>
    <n v="8210.8700000000008"/>
    <n v="147"/>
    <n v="55.86"/>
    <n v="41434.67"/>
    <n v="33223.799999999996"/>
    <n v="4.0463190867715593"/>
    <n v="5.05"/>
    <s v="High"/>
    <s v="Valid"/>
  </r>
  <r>
    <x v="62"/>
    <x v="11"/>
    <s v="Google Ads"/>
    <x v="3"/>
    <s v="Fintech"/>
    <x v="5"/>
    <n v="161434"/>
    <n v="6328"/>
    <n v="3.9199999999999999E-2"/>
    <n v="0.77"/>
    <n v="4872.5600000000004"/>
    <n v="263"/>
    <n v="18.53"/>
    <n v="25426.86"/>
    <n v="20554.3"/>
    <n v="4.2183780189469182"/>
    <n v="5.22"/>
    <s v="High"/>
    <s v="Valid"/>
  </r>
  <r>
    <x v="72"/>
    <x v="10"/>
    <s v="TikTok Ads"/>
    <x v="2"/>
    <s v="SaaS"/>
    <x v="4"/>
    <n v="62888"/>
    <n v="3307"/>
    <n v="5.2600000000000001E-2"/>
    <n v="0.61"/>
    <n v="2017.27"/>
    <n v="55"/>
    <n v="36.68"/>
    <n v="12898.32"/>
    <n v="10881.05"/>
    <n v="5.3939482568025099"/>
    <n v="6.39"/>
    <s v="High"/>
    <s v="Valid"/>
  </r>
  <r>
    <x v="59"/>
    <x v="8"/>
    <s v="Google Ads"/>
    <x v="1"/>
    <s v="SaaS"/>
    <x v="4"/>
    <n v="108187"/>
    <n v="2423"/>
    <n v="2.24E-2"/>
    <n v="2.67"/>
    <n v="6469.41"/>
    <n v="179"/>
    <n v="36.14"/>
    <n v="29012.87"/>
    <n v="22543.46"/>
    <n v="3.4846237910412232"/>
    <n v="4.4800000000000004"/>
    <s v="High"/>
    <s v="Valid"/>
  </r>
  <r>
    <x v="182"/>
    <x v="4"/>
    <s v="Meta Ads"/>
    <x v="0"/>
    <s v="E-commerce"/>
    <x v="4"/>
    <n v="199363"/>
    <n v="3847"/>
    <n v="1.9300000000000001E-2"/>
    <n v="0.9"/>
    <n v="3462.3"/>
    <n v="73"/>
    <n v="47.43"/>
    <n v="11133.49"/>
    <n v="7671.19"/>
    <n v="2.2156341160500244"/>
    <n v="3.22"/>
    <s v="High"/>
    <s v="Valid"/>
  </r>
  <r>
    <x v="57"/>
    <x v="5"/>
    <s v="Meta Ads"/>
    <x v="1"/>
    <s v="SaaS"/>
    <x v="6"/>
    <n v="59160"/>
    <n v="958"/>
    <n v="1.6199999999999999E-2"/>
    <n v="1"/>
    <n v="958"/>
    <n v="35"/>
    <n v="27.37"/>
    <n v="7848.99"/>
    <n v="6890.99"/>
    <n v="7.1931002087682669"/>
    <n v="8.19"/>
    <s v="High"/>
    <s v="Valid"/>
  </r>
  <r>
    <x v="253"/>
    <x v="6"/>
    <s v="Google Ads"/>
    <x v="2"/>
    <s v="E-commerce"/>
    <x v="6"/>
    <n v="78551"/>
    <n v="2411"/>
    <n v="3.0700000000000002E-2"/>
    <n v="3.38"/>
    <n v="8149.18"/>
    <n v="92"/>
    <n v="88.58"/>
    <n v="8262.09"/>
    <n v="112.90999999999985"/>
    <n v="1.3855381768472392E-2"/>
    <n v="1.01"/>
    <s v="Medium"/>
    <s v="Valid"/>
  </r>
  <r>
    <x v="169"/>
    <x v="3"/>
    <s v="Meta Ads"/>
    <x v="3"/>
    <s v="SaaS"/>
    <x v="2"/>
    <n v="186711"/>
    <n v="7748"/>
    <n v="4.1500000000000002E-2"/>
    <n v="0.57999999999999996"/>
    <n v="4493.84"/>
    <n v="536"/>
    <n v="8.3800000000000008"/>
    <n v="89187.58"/>
    <n v="84693.74"/>
    <n v="18.846630053584462"/>
    <n v="19.850000000000001"/>
    <s v="High"/>
    <s v="Valid"/>
  </r>
  <r>
    <x v="149"/>
    <x v="3"/>
    <s v="Meta Ads"/>
    <x v="2"/>
    <s v="SaaS"/>
    <x v="1"/>
    <n v="5528"/>
    <n v="108"/>
    <n v="1.9599999999999999E-2"/>
    <n v="2.02"/>
    <n v="218.16"/>
    <n v="7"/>
    <n v="31.17"/>
    <n v="2000.84"/>
    <n v="1782.6799999999998"/>
    <n v="8.1714338100476702"/>
    <n v="9.17"/>
    <s v="High"/>
    <s v="Valid"/>
  </r>
  <r>
    <x v="96"/>
    <x v="9"/>
    <s v="Google Ads"/>
    <x v="2"/>
    <s v="SaaS"/>
    <x v="4"/>
    <n v="144535"/>
    <n v="7588"/>
    <n v="5.2499999999999998E-2"/>
    <n v="3.1"/>
    <n v="23522.799999999999"/>
    <n v="445"/>
    <n v="52.86"/>
    <n v="105358.98"/>
    <n v="81836.179999999993"/>
    <n v="3.4790152532861733"/>
    <n v="4.4800000000000004"/>
    <s v="High"/>
    <s v="Valid"/>
  </r>
  <r>
    <x v="233"/>
    <x v="4"/>
    <s v="Meta Ads"/>
    <x v="0"/>
    <s v="E-commerce"/>
    <x v="0"/>
    <n v="8188"/>
    <n v="272"/>
    <n v="3.3300000000000003E-2"/>
    <n v="1.1599999999999999"/>
    <n v="315.52"/>
    <n v="14"/>
    <n v="22.54"/>
    <n v="3745.84"/>
    <n v="3430.32"/>
    <n v="10.871957403651116"/>
    <n v="11.87"/>
    <s v="High"/>
    <s v="Valid"/>
  </r>
  <r>
    <x v="261"/>
    <x v="4"/>
    <s v="Google Ads"/>
    <x v="3"/>
    <s v="Fintech"/>
    <x v="4"/>
    <n v="71151"/>
    <n v="4368"/>
    <n v="6.1400000000000003E-2"/>
    <n v="3.23"/>
    <n v="14108.64"/>
    <n v="202"/>
    <n v="69.84"/>
    <n v="51341.85"/>
    <n v="37233.21"/>
    <n v="2.6390360800190522"/>
    <n v="3.64"/>
    <s v="High"/>
    <s v="Valid"/>
  </r>
  <r>
    <x v="36"/>
    <x v="11"/>
    <s v="Meta Ads"/>
    <x v="2"/>
    <s v="EdTech"/>
    <x v="3"/>
    <n v="171797"/>
    <n v="5153"/>
    <n v="0.03"/>
    <n v="0.54"/>
    <n v="2782.62"/>
    <n v="255"/>
    <n v="10.91"/>
    <n v="52673.17"/>
    <n v="49890.549999999996"/>
    <n v="17.929343568291753"/>
    <n v="18.93"/>
    <s v="High"/>
    <s v="Valid"/>
  </r>
  <r>
    <x v="106"/>
    <x v="2"/>
    <s v="TikTok Ads"/>
    <x v="0"/>
    <s v="EdTech"/>
    <x v="6"/>
    <n v="173050"/>
    <n v="8565"/>
    <n v="4.9500000000000002E-2"/>
    <n v="0.69"/>
    <n v="5909.85"/>
    <n v="414"/>
    <n v="14.28"/>
    <n v="118511.79"/>
    <n v="112601.93999999999"/>
    <n v="19.053265311302315"/>
    <n v="20.05"/>
    <s v="High"/>
    <s v="Valid"/>
  </r>
  <r>
    <x v="156"/>
    <x v="7"/>
    <s v="TikTok Ads"/>
    <x v="1"/>
    <s v="E-commerce"/>
    <x v="4"/>
    <n v="178269"/>
    <n v="8646"/>
    <n v="4.8500000000000001E-2"/>
    <n v="0.63"/>
    <n v="5446.98"/>
    <n v="93"/>
    <n v="58.57"/>
    <n v="10627.54"/>
    <n v="5180.5600000000013"/>
    <n v="0.95108849307322618"/>
    <n v="1.95"/>
    <s v="Medium"/>
    <s v="Valid"/>
  </r>
  <r>
    <x v="172"/>
    <x v="9"/>
    <s v="Google Ads"/>
    <x v="3"/>
    <s v="E-commerce"/>
    <x v="0"/>
    <n v="164028"/>
    <n v="5905"/>
    <n v="3.5999999999999997E-2"/>
    <n v="1"/>
    <n v="5905"/>
    <n v="377"/>
    <n v="15.66"/>
    <n v="25718.59"/>
    <n v="19813.59"/>
    <n v="3.3553920406435225"/>
    <n v="4.3600000000000003"/>
    <s v="High"/>
    <s v="Valid"/>
  </r>
  <r>
    <x v="225"/>
    <x v="2"/>
    <s v="TikTok Ads"/>
    <x v="1"/>
    <s v="Healthcare"/>
    <x v="6"/>
    <n v="184504"/>
    <n v="15479"/>
    <n v="8.3900000000000002E-2"/>
    <n v="0.8"/>
    <n v="12383.2"/>
    <n v="538"/>
    <n v="23.02"/>
    <n v="112251.74"/>
    <n v="99868.540000000008"/>
    <n v="8.0648410750048463"/>
    <n v="9.06"/>
    <s v="High"/>
    <s v="Valid"/>
  </r>
  <r>
    <x v="292"/>
    <x v="3"/>
    <s v="TikTok Ads"/>
    <x v="2"/>
    <s v="Healthcare"/>
    <x v="5"/>
    <n v="119515"/>
    <n v="6824"/>
    <n v="5.7099999999999998E-2"/>
    <n v="0.86"/>
    <n v="5868.64"/>
    <n v="89"/>
    <n v="65.94"/>
    <n v="25992.880000000001"/>
    <n v="20124.240000000002"/>
    <n v="3.4291147523105865"/>
    <n v="4.43"/>
    <s v="High"/>
    <s v="Valid"/>
  </r>
  <r>
    <x v="263"/>
    <x v="3"/>
    <s v="Meta Ads"/>
    <x v="0"/>
    <s v="EdTech"/>
    <x v="2"/>
    <n v="108591"/>
    <n v="2084"/>
    <n v="1.9199999999999998E-2"/>
    <n v="2.16"/>
    <n v="4501.4399999999996"/>
    <n v="31"/>
    <n v="145.21"/>
    <n v="6469.19"/>
    <n v="1967.75"/>
    <n v="0.43713789365180922"/>
    <n v="1.44"/>
    <s v="Medium"/>
    <s v="Valid"/>
  </r>
  <r>
    <x v="150"/>
    <x v="8"/>
    <s v="Meta Ads"/>
    <x v="2"/>
    <s v="EdTech"/>
    <x v="1"/>
    <n v="68472"/>
    <n v="2601"/>
    <n v="3.7999999999999999E-2"/>
    <n v="1.38"/>
    <n v="3589.38"/>
    <n v="63"/>
    <n v="56.97"/>
    <n v="17508.47"/>
    <n v="13919.09"/>
    <n v="3.8778535568816896"/>
    <n v="4.88"/>
    <s v="High"/>
    <s v="Valid"/>
  </r>
  <r>
    <x v="178"/>
    <x v="7"/>
    <s v="TikTok Ads"/>
    <x v="2"/>
    <s v="Fintech"/>
    <x v="2"/>
    <n v="170201"/>
    <n v="7931"/>
    <n v="4.6600000000000003E-2"/>
    <n v="1.05"/>
    <n v="8327.5499999999993"/>
    <n v="182"/>
    <n v="45.76"/>
    <n v="10360.549999999999"/>
    <n v="2033"/>
    <n v="0.24412942582152017"/>
    <n v="1.24"/>
    <s v="Medium"/>
    <s v="Valid"/>
  </r>
  <r>
    <x v="161"/>
    <x v="11"/>
    <s v="Google Ads"/>
    <x v="1"/>
    <s v="EdTech"/>
    <x v="6"/>
    <n v="92340"/>
    <n v="2502"/>
    <n v="2.7099999999999999E-2"/>
    <n v="1.96"/>
    <n v="4903.92"/>
    <n v="153"/>
    <n v="32.049999999999997"/>
    <n v="27593.24"/>
    <n v="22689.32"/>
    <n v="4.6267720517463582"/>
    <n v="5.63"/>
    <s v="High"/>
    <s v="Valid"/>
  </r>
  <r>
    <x v="88"/>
    <x v="5"/>
    <s v="TikTok Ads"/>
    <x v="0"/>
    <s v="SaaS"/>
    <x v="2"/>
    <n v="136940"/>
    <n v="4683"/>
    <n v="3.4200000000000001E-2"/>
    <n v="0.69"/>
    <n v="3231.27"/>
    <n v="137"/>
    <n v="23.59"/>
    <n v="12153.39"/>
    <n v="8922.119999999999"/>
    <n v="2.7611805884373632"/>
    <n v="3.76"/>
    <s v="High"/>
    <s v="Valid"/>
  </r>
  <r>
    <x v="112"/>
    <x v="9"/>
    <s v="Google Ads"/>
    <x v="0"/>
    <s v="EdTech"/>
    <x v="6"/>
    <n v="106311"/>
    <n v="5762"/>
    <n v="5.4199999999999998E-2"/>
    <n v="0.92"/>
    <n v="5301.04"/>
    <n v="434"/>
    <n v="12.21"/>
    <n v="55571.88"/>
    <n v="50270.84"/>
    <n v="9.4832032959570185"/>
    <n v="10.48"/>
    <s v="High"/>
    <s v="Valid"/>
  </r>
  <r>
    <x v="308"/>
    <x v="11"/>
    <s v="TikTok Ads"/>
    <x v="2"/>
    <s v="E-commerce"/>
    <x v="4"/>
    <n v="120016"/>
    <n v="3336"/>
    <n v="2.7799999999999998E-2"/>
    <n v="1.33"/>
    <n v="4436.88"/>
    <n v="43"/>
    <n v="103.18"/>
    <n v="5864.19"/>
    <n v="1427.3099999999995"/>
    <n v="0.32169227024395508"/>
    <n v="1.32"/>
    <s v="Medium"/>
    <s v="Valid"/>
  </r>
  <r>
    <x v="309"/>
    <x v="3"/>
    <s v="Meta Ads"/>
    <x v="3"/>
    <s v="SaaS"/>
    <x v="3"/>
    <n v="193946"/>
    <n v="7854"/>
    <n v="4.0500000000000001E-2"/>
    <n v="1.89"/>
    <n v="14844.06"/>
    <n v="461"/>
    <n v="32.200000000000003"/>
    <n v="86871.54"/>
    <n v="72027.48"/>
    <n v="4.8522762640409702"/>
    <n v="5.85"/>
    <s v="High"/>
    <s v="Valid"/>
  </r>
  <r>
    <x v="228"/>
    <x v="7"/>
    <s v="TikTok Ads"/>
    <x v="2"/>
    <s v="E-commerce"/>
    <x v="6"/>
    <n v="138780"/>
    <n v="4135"/>
    <n v="2.98E-2"/>
    <n v="0.85"/>
    <n v="3514.75"/>
    <n v="86"/>
    <n v="40.869999999999997"/>
    <n v="7373.66"/>
    <n v="3858.91"/>
    <n v="1.0979187708940892"/>
    <n v="2.1"/>
    <s v="Medium"/>
    <s v="Valid"/>
  </r>
  <r>
    <x v="167"/>
    <x v="10"/>
    <s v="Meta Ads"/>
    <x v="3"/>
    <s v="SaaS"/>
    <x v="1"/>
    <n v="51365"/>
    <n v="873"/>
    <n v="1.7000000000000001E-2"/>
    <n v="0.7"/>
    <n v="611.1"/>
    <n v="19"/>
    <n v="32.159999999999997"/>
    <n v="2655.69"/>
    <n v="2044.5900000000001"/>
    <n v="3.3457535591556211"/>
    <n v="4.3499999999999996"/>
    <s v="High"/>
    <s v="Valid"/>
  </r>
  <r>
    <x v="36"/>
    <x v="11"/>
    <s v="Google Ads"/>
    <x v="2"/>
    <s v="Healthcare"/>
    <x v="1"/>
    <n v="185903"/>
    <n v="4647"/>
    <n v="2.5000000000000001E-2"/>
    <n v="2.96"/>
    <n v="13755.12"/>
    <n v="342"/>
    <n v="40.22"/>
    <n v="58276.63"/>
    <n v="44521.509999999995"/>
    <n v="3.2367227621423873"/>
    <n v="4.24"/>
    <s v="High"/>
    <s v="Valid"/>
  </r>
  <r>
    <x v="124"/>
    <x v="11"/>
    <s v="TikTok Ads"/>
    <x v="3"/>
    <s v="SaaS"/>
    <x v="6"/>
    <n v="61232"/>
    <n v="2951"/>
    <n v="4.82E-2"/>
    <n v="0.75"/>
    <n v="2213.25"/>
    <n v="51"/>
    <n v="43.4"/>
    <n v="15061.62"/>
    <n v="12848.37"/>
    <n v="5.8052050152490686"/>
    <n v="6.81"/>
    <s v="High"/>
    <s v="Valid"/>
  </r>
  <r>
    <x v="151"/>
    <x v="3"/>
    <s v="TikTok Ads"/>
    <x v="3"/>
    <s v="SaaS"/>
    <x v="2"/>
    <n v="122286"/>
    <n v="7642"/>
    <n v="6.25E-2"/>
    <n v="1.47"/>
    <n v="11233.74"/>
    <n v="201"/>
    <n v="55.89"/>
    <n v="60002.91"/>
    <n v="48769.170000000006"/>
    <n v="4.3413119762429968"/>
    <n v="5.34"/>
    <s v="High"/>
    <s v="Valid"/>
  </r>
  <r>
    <x v="36"/>
    <x v="11"/>
    <s v="TikTok Ads"/>
    <x v="2"/>
    <s v="Healthcare"/>
    <x v="1"/>
    <n v="60114"/>
    <n v="4917"/>
    <n v="8.1799999999999998E-2"/>
    <n v="1.35"/>
    <n v="6637.95"/>
    <n v="279"/>
    <n v="23.79"/>
    <n v="15410.94"/>
    <n v="8772.9900000000016"/>
    <n v="1.3216414706347595"/>
    <n v="2.3199999999999998"/>
    <s v="Medium"/>
    <s v="Valid"/>
  </r>
  <r>
    <x v="310"/>
    <x v="2"/>
    <s v="Meta Ads"/>
    <x v="3"/>
    <s v="Healthcare"/>
    <x v="6"/>
    <n v="124004"/>
    <n v="2083"/>
    <n v="1.6799999999999999E-2"/>
    <n v="1.51"/>
    <n v="3145.33"/>
    <n v="49"/>
    <n v="64.19"/>
    <n v="9959.3700000000008"/>
    <n v="6814.0400000000009"/>
    <n v="2.1663990741829955"/>
    <n v="3.17"/>
    <s v="High"/>
    <s v="Valid"/>
  </r>
  <r>
    <x v="217"/>
    <x v="2"/>
    <s v="TikTok Ads"/>
    <x v="0"/>
    <s v="E-commerce"/>
    <x v="1"/>
    <n v="168322"/>
    <n v="4965"/>
    <n v="2.9499999999999998E-2"/>
    <n v="0.91"/>
    <n v="4518.1499999999996"/>
    <n v="228"/>
    <n v="19.82"/>
    <n v="49052.14"/>
    <n v="44533.99"/>
    <n v="9.8566869183183385"/>
    <n v="10.86"/>
    <s v="High"/>
    <s v="Valid"/>
  </r>
  <r>
    <x v="97"/>
    <x v="8"/>
    <s v="Meta Ads"/>
    <x v="3"/>
    <s v="Healthcare"/>
    <x v="3"/>
    <n v="113957"/>
    <n v="3008"/>
    <n v="2.64E-2"/>
    <n v="2.33"/>
    <n v="7008.64"/>
    <n v="127"/>
    <n v="55.19"/>
    <n v="17960.45"/>
    <n v="10951.810000000001"/>
    <n v="1.5626155716372936"/>
    <n v="2.56"/>
    <s v="Medium"/>
    <s v="Valid"/>
  </r>
  <r>
    <x v="310"/>
    <x v="2"/>
    <s v="Google Ads"/>
    <x v="0"/>
    <s v="SaaS"/>
    <x v="2"/>
    <n v="137290"/>
    <n v="5011"/>
    <n v="3.6499999999999998E-2"/>
    <n v="1.56"/>
    <n v="7817.16"/>
    <n v="323"/>
    <n v="24.2"/>
    <n v="28440.57"/>
    <n v="20623.41"/>
    <n v="2.6382228328446646"/>
    <n v="3.64"/>
    <s v="High"/>
    <s v="Valid"/>
  </r>
  <r>
    <x v="95"/>
    <x v="8"/>
    <s v="Meta Ads"/>
    <x v="1"/>
    <s v="Fintech"/>
    <x v="0"/>
    <n v="12253"/>
    <n v="468"/>
    <n v="3.8199999999999998E-2"/>
    <n v="0.77"/>
    <n v="360.36"/>
    <n v="9"/>
    <n v="40.04"/>
    <n v="1433.96"/>
    <n v="1073.5999999999999"/>
    <n v="2.9792429792429789"/>
    <n v="3.98"/>
    <s v="High"/>
    <s v="Valid"/>
  </r>
  <r>
    <x v="172"/>
    <x v="9"/>
    <s v="Google Ads"/>
    <x v="1"/>
    <s v="EdTech"/>
    <x v="6"/>
    <n v="109216"/>
    <n v="5777"/>
    <n v="5.2900000000000003E-2"/>
    <n v="3.06"/>
    <n v="17677.62"/>
    <n v="140"/>
    <n v="126.27"/>
    <n v="11237.04"/>
    <n v="-6440.5799999999981"/>
    <n v="-0.36433524422405272"/>
    <n v="0.64"/>
    <s v="Low"/>
    <s v="Valid"/>
  </r>
  <r>
    <x v="296"/>
    <x v="11"/>
    <s v="Google Ads"/>
    <x v="2"/>
    <s v="Fintech"/>
    <x v="4"/>
    <n v="166215"/>
    <n v="9158"/>
    <n v="5.5100000000000003E-2"/>
    <n v="0.72"/>
    <n v="6593.76"/>
    <n v="112"/>
    <n v="58.87"/>
    <n v="29121.09"/>
    <n v="22527.33"/>
    <n v="3.4164619276406785"/>
    <n v="4.42"/>
    <s v="High"/>
    <s v="Valid"/>
  </r>
  <r>
    <x v="45"/>
    <x v="6"/>
    <s v="Meta Ads"/>
    <x v="2"/>
    <s v="SaaS"/>
    <x v="5"/>
    <n v="140678"/>
    <n v="5655"/>
    <n v="4.02E-2"/>
    <n v="2.0699999999999998"/>
    <n v="11705.85"/>
    <n v="154"/>
    <n v="76.010000000000005"/>
    <n v="7932.09"/>
    <n v="-3773.76"/>
    <n v="-0.32238239854431761"/>
    <n v="0.68"/>
    <s v="Low"/>
    <s v="Valid"/>
  </r>
  <r>
    <x v="128"/>
    <x v="10"/>
    <s v="Google Ads"/>
    <x v="0"/>
    <s v="E-commerce"/>
    <x v="0"/>
    <n v="176066"/>
    <n v="5264"/>
    <n v="2.9899999999999999E-2"/>
    <n v="1.58"/>
    <n v="8317.1200000000008"/>
    <n v="119"/>
    <n v="69.89"/>
    <n v="28182.41"/>
    <n v="19865.29"/>
    <n v="2.3884818302489323"/>
    <n v="3.39"/>
    <s v="High"/>
    <s v="Valid"/>
  </r>
  <r>
    <x v="57"/>
    <x v="5"/>
    <s v="Google Ads"/>
    <x v="0"/>
    <s v="Healthcare"/>
    <x v="4"/>
    <n v="59418"/>
    <n v="1996"/>
    <n v="3.3599999999999998E-2"/>
    <n v="1.65"/>
    <n v="3293.4"/>
    <n v="80"/>
    <n v="41.17"/>
    <n v="3528.5"/>
    <n v="235.09999999999991"/>
    <n v="7.138519463168759E-2"/>
    <n v="1.07"/>
    <s v="Medium"/>
    <s v="Valid"/>
  </r>
  <r>
    <x v="232"/>
    <x v="0"/>
    <s v="Google Ads"/>
    <x v="0"/>
    <s v="EdTech"/>
    <x v="0"/>
    <n v="143183"/>
    <n v="5784"/>
    <n v="4.0399999999999998E-2"/>
    <n v="0.86"/>
    <n v="4974.24"/>
    <n v="432"/>
    <n v="11.51"/>
    <n v="88233.11"/>
    <n v="83258.87"/>
    <n v="16.738008218340891"/>
    <n v="17.739999999999998"/>
    <s v="High"/>
    <s v="Valid"/>
  </r>
  <r>
    <x v="128"/>
    <x v="10"/>
    <s v="Meta Ads"/>
    <x v="2"/>
    <s v="E-commerce"/>
    <x v="5"/>
    <n v="194059"/>
    <n v="3434"/>
    <n v="1.77E-2"/>
    <n v="1.36"/>
    <n v="4670.24"/>
    <n v="193"/>
    <n v="24.2"/>
    <n v="7460.79"/>
    <n v="2790.55"/>
    <n v="0.59751747233546892"/>
    <n v="1.6"/>
    <s v="Medium"/>
    <s v="Valid"/>
  </r>
  <r>
    <x v="203"/>
    <x v="4"/>
    <s v="Google Ads"/>
    <x v="2"/>
    <s v="SaaS"/>
    <x v="0"/>
    <n v="98899"/>
    <n v="2185"/>
    <n v="2.2100000000000002E-2"/>
    <n v="3.16"/>
    <n v="6904.6"/>
    <n v="171"/>
    <n v="40.380000000000003"/>
    <n v="45859.64"/>
    <n v="38955.040000000001"/>
    <n v="5.6418967065434638"/>
    <n v="6.64"/>
    <s v="High"/>
    <s v="Valid"/>
  </r>
  <r>
    <x v="209"/>
    <x v="2"/>
    <s v="Meta Ads"/>
    <x v="0"/>
    <s v="E-commerce"/>
    <x v="1"/>
    <n v="129494"/>
    <n v="1631"/>
    <n v="1.26E-2"/>
    <n v="2.14"/>
    <n v="3490.34"/>
    <n v="108"/>
    <n v="32.32"/>
    <n v="28288.04"/>
    <n v="24797.7"/>
    <n v="7.1046660210753103"/>
    <n v="8.1"/>
    <s v="High"/>
    <s v="Valid"/>
  </r>
  <r>
    <x v="296"/>
    <x v="11"/>
    <s v="TikTok Ads"/>
    <x v="2"/>
    <s v="SaaS"/>
    <x v="0"/>
    <n v="191443"/>
    <n v="6872"/>
    <n v="3.5900000000000001E-2"/>
    <n v="1.67"/>
    <n v="11476.24"/>
    <n v="422"/>
    <n v="27.19"/>
    <n v="108198.8"/>
    <n v="96722.559999999998"/>
    <n v="8.4280705178699638"/>
    <n v="9.43"/>
    <s v="High"/>
    <s v="Valid"/>
  </r>
  <r>
    <x v="19"/>
    <x v="9"/>
    <s v="TikTok Ads"/>
    <x v="0"/>
    <s v="SaaS"/>
    <x v="6"/>
    <n v="61950"/>
    <n v="4076"/>
    <n v="6.5799999999999997E-2"/>
    <n v="0.3"/>
    <n v="1222.8"/>
    <n v="97"/>
    <n v="12.61"/>
    <n v="26763.8"/>
    <n v="25541"/>
    <n v="20.887307818122341"/>
    <n v="21.89"/>
    <s v="High"/>
    <s v="Valid"/>
  </r>
  <r>
    <x v="142"/>
    <x v="6"/>
    <s v="Google Ads"/>
    <x v="2"/>
    <s v="SaaS"/>
    <x v="1"/>
    <n v="34605"/>
    <n v="809"/>
    <n v="2.3400000000000001E-2"/>
    <n v="1.76"/>
    <n v="1423.84"/>
    <n v="40"/>
    <n v="35.6"/>
    <n v="5146.88"/>
    <n v="3723.04"/>
    <n v="2.6147881784470166"/>
    <n v="3.61"/>
    <s v="High"/>
    <s v="Valid"/>
  </r>
  <r>
    <x v="311"/>
    <x v="0"/>
    <s v="TikTok Ads"/>
    <x v="2"/>
    <s v="Fintech"/>
    <x v="0"/>
    <n v="127790"/>
    <n v="7015"/>
    <n v="5.4899999999999997E-2"/>
    <n v="1.23"/>
    <n v="8628.4500000000007"/>
    <n v="422"/>
    <n v="20.45"/>
    <n v="90118.48"/>
    <n v="81490.03"/>
    <n v="9.4443416836164076"/>
    <n v="10.44"/>
    <s v="High"/>
    <s v="Valid"/>
  </r>
  <r>
    <x v="312"/>
    <x v="0"/>
    <s v="TikTok Ads"/>
    <x v="0"/>
    <s v="Healthcare"/>
    <x v="3"/>
    <n v="96310"/>
    <n v="6905"/>
    <n v="7.17E-2"/>
    <n v="1.28"/>
    <n v="8838.4"/>
    <n v="247"/>
    <n v="35.78"/>
    <n v="8632.99"/>
    <n v="-205.40999999999985"/>
    <n v="-2.3240631788559001E-2"/>
    <n v="0.98"/>
    <s v="Low"/>
    <s v="Valid"/>
  </r>
  <r>
    <x v="24"/>
    <x v="7"/>
    <s v="Google Ads"/>
    <x v="2"/>
    <s v="Fintech"/>
    <x v="5"/>
    <n v="197589"/>
    <n v="4781"/>
    <n v="2.4199999999999999E-2"/>
    <n v="1.6"/>
    <n v="7649.6"/>
    <n v="225"/>
    <n v="34"/>
    <n v="12329.91"/>
    <n v="4680.3099999999995"/>
    <n v="0.6118372202468102"/>
    <n v="1.61"/>
    <s v="Medium"/>
    <s v="Valid"/>
  </r>
  <r>
    <x v="103"/>
    <x v="2"/>
    <s v="Meta Ads"/>
    <x v="1"/>
    <s v="E-commerce"/>
    <x v="2"/>
    <n v="118566"/>
    <n v="3711"/>
    <n v="3.1300000000000001E-2"/>
    <n v="1.1299999999999999"/>
    <n v="4193.43"/>
    <n v="58"/>
    <n v="72.3"/>
    <n v="14643.53"/>
    <n v="10450.1"/>
    <n v="2.4920172746415226"/>
    <n v="3.49"/>
    <s v="High"/>
    <s v="Valid"/>
  </r>
  <r>
    <x v="136"/>
    <x v="7"/>
    <s v="Meta Ads"/>
    <x v="2"/>
    <s v="Healthcare"/>
    <x v="3"/>
    <n v="199451"/>
    <n v="3989"/>
    <n v="0.02"/>
    <n v="1.28"/>
    <n v="5105.92"/>
    <n v="110"/>
    <n v="46.42"/>
    <n v="8236.16"/>
    <n v="3130.24"/>
    <n v="0.6130609175231887"/>
    <n v="1.61"/>
    <s v="Medium"/>
    <s v="Valid"/>
  </r>
  <r>
    <x v="114"/>
    <x v="3"/>
    <s v="Google Ads"/>
    <x v="3"/>
    <s v="SaaS"/>
    <x v="0"/>
    <n v="88251"/>
    <n v="5965"/>
    <n v="6.7599999999999993E-2"/>
    <n v="0.82"/>
    <n v="4891.3"/>
    <n v="133"/>
    <n v="36.78"/>
    <n v="14897.06"/>
    <n v="10005.759999999998"/>
    <n v="2.0456238627767664"/>
    <n v="3.05"/>
    <s v="High"/>
    <s v="Valid"/>
  </r>
  <r>
    <x v="252"/>
    <x v="0"/>
    <s v="Google Ads"/>
    <x v="3"/>
    <s v="Fintech"/>
    <x v="4"/>
    <n v="55406"/>
    <n v="2648"/>
    <n v="4.7800000000000002E-2"/>
    <n v="1.9"/>
    <n v="5031.2"/>
    <n v="149"/>
    <n v="33.770000000000003"/>
    <n v="22127.3"/>
    <n v="17096.099999999999"/>
    <n v="3.3980163778025121"/>
    <n v="4.4000000000000004"/>
    <s v="High"/>
    <s v="Valid"/>
  </r>
  <r>
    <x v="313"/>
    <x v="2"/>
    <s v="TikTok Ads"/>
    <x v="3"/>
    <s v="Fintech"/>
    <x v="6"/>
    <n v="141447"/>
    <n v="9873"/>
    <n v="6.9800000000000001E-2"/>
    <n v="1.39"/>
    <n v="13723.47"/>
    <n v="588"/>
    <n v="23.34"/>
    <n v="86774.51"/>
    <n v="73051.039999999994"/>
    <n v="5.3230735375236726"/>
    <n v="6.32"/>
    <s v="High"/>
    <s v="Valid"/>
  </r>
  <r>
    <x v="314"/>
    <x v="2"/>
    <s v="Google Ads"/>
    <x v="1"/>
    <s v="EdTech"/>
    <x v="1"/>
    <n v="73591"/>
    <n v="2649"/>
    <n v="3.5999999999999997E-2"/>
    <n v="2.83"/>
    <n v="7496.67"/>
    <n v="161"/>
    <n v="46.56"/>
    <n v="45161.9"/>
    <n v="37665.230000000003"/>
    <n v="5.0242614387454703"/>
    <n v="6.02"/>
    <s v="High"/>
    <s v="Valid"/>
  </r>
  <r>
    <x v="209"/>
    <x v="2"/>
    <s v="Google Ads"/>
    <x v="1"/>
    <s v="Fintech"/>
    <x v="5"/>
    <n v="66477"/>
    <n v="2718"/>
    <n v="4.0899999999999999E-2"/>
    <n v="2.86"/>
    <n v="7773.48"/>
    <n v="160"/>
    <n v="48.58"/>
    <n v="16856.48"/>
    <n v="9083"/>
    <n v="1.1684599432943805"/>
    <n v="2.17"/>
    <s v="Medium"/>
    <s v="Valid"/>
  </r>
  <r>
    <x v="137"/>
    <x v="4"/>
    <s v="Meta Ads"/>
    <x v="1"/>
    <s v="E-commerce"/>
    <x v="0"/>
    <n v="196386"/>
    <n v="6794"/>
    <n v="3.4599999999999999E-2"/>
    <n v="0.81"/>
    <n v="5503.14"/>
    <n v="506"/>
    <n v="10.88"/>
    <n v="34412.06"/>
    <n v="28908.92"/>
    <n v="5.2531681912508121"/>
    <n v="6.25"/>
    <s v="High"/>
    <s v="Valid"/>
  </r>
  <r>
    <x v="113"/>
    <x v="3"/>
    <s v="Google Ads"/>
    <x v="3"/>
    <s v="Fintech"/>
    <x v="4"/>
    <n v="78927"/>
    <n v="3172"/>
    <n v="4.02E-2"/>
    <n v="3.2"/>
    <n v="10150.4"/>
    <n v="62"/>
    <n v="163.72"/>
    <n v="7568.63"/>
    <n v="-2581.7699999999995"/>
    <n v="-0.25435155264817144"/>
    <n v="0.75"/>
    <s v="Low"/>
    <s v="Valid"/>
  </r>
  <r>
    <x v="315"/>
    <x v="9"/>
    <s v="Google Ads"/>
    <x v="3"/>
    <s v="SaaS"/>
    <x v="4"/>
    <n v="184857"/>
    <n v="3419"/>
    <n v="1.8499999999999999E-2"/>
    <n v="2.57"/>
    <n v="8786.83"/>
    <n v="248"/>
    <n v="35.43"/>
    <n v="70137.509999999995"/>
    <n v="61350.679999999993"/>
    <n v="6.9821175554779131"/>
    <n v="7.98"/>
    <s v="High"/>
    <s v="Valid"/>
  </r>
  <r>
    <x v="245"/>
    <x v="4"/>
    <s v="TikTok Ads"/>
    <x v="3"/>
    <s v="EdTech"/>
    <x v="5"/>
    <n v="122174"/>
    <n v="6499"/>
    <n v="5.3199999999999997E-2"/>
    <n v="0.88"/>
    <n v="5719.12"/>
    <n v="413"/>
    <n v="13.85"/>
    <n v="58791.38"/>
    <n v="53072.259999999995"/>
    <n v="9.2797947936046103"/>
    <n v="10.28"/>
    <s v="High"/>
    <s v="Valid"/>
  </r>
  <r>
    <x v="179"/>
    <x v="10"/>
    <s v="Google Ads"/>
    <x v="0"/>
    <s v="SaaS"/>
    <x v="3"/>
    <n v="108719"/>
    <n v="4207"/>
    <n v="3.8699999999999998E-2"/>
    <n v="3.2"/>
    <n v="13462.4"/>
    <n v="121"/>
    <n v="111.26"/>
    <n v="21018.47"/>
    <n v="7556.0700000000015"/>
    <n v="0.56127213572617085"/>
    <n v="1.56"/>
    <s v="Medium"/>
    <s v="Valid"/>
  </r>
  <r>
    <x v="142"/>
    <x v="6"/>
    <s v="Meta Ads"/>
    <x v="2"/>
    <s v="Healthcare"/>
    <x v="6"/>
    <n v="186949"/>
    <n v="3140"/>
    <n v="1.6799999999999999E-2"/>
    <n v="0.6"/>
    <n v="1884"/>
    <n v="186"/>
    <n v="10.130000000000001"/>
    <n v="30294.1"/>
    <n v="28410.1"/>
    <n v="15.079670912951167"/>
    <n v="16.079999999999998"/>
    <s v="High"/>
    <s v="Valid"/>
  </r>
  <r>
    <x v="294"/>
    <x v="7"/>
    <s v="Google Ads"/>
    <x v="1"/>
    <s v="E-commerce"/>
    <x v="1"/>
    <n v="193869"/>
    <n v="13124"/>
    <n v="6.7699999999999996E-2"/>
    <n v="2.93"/>
    <n v="38453.32"/>
    <n v="264"/>
    <n v="145.66"/>
    <n v="67604.89"/>
    <n v="29151.57"/>
    <n v="0.75810281140874181"/>
    <n v="1.76"/>
    <s v="Medium"/>
    <s v="Valid"/>
  </r>
  <r>
    <x v="185"/>
    <x v="10"/>
    <s v="Google Ads"/>
    <x v="0"/>
    <s v="EdTech"/>
    <x v="6"/>
    <n v="158535"/>
    <n v="3836"/>
    <n v="2.4199999999999999E-2"/>
    <n v="2.16"/>
    <n v="8285.76"/>
    <n v="120"/>
    <n v="69.05"/>
    <n v="12930.51"/>
    <n v="4644.75"/>
    <n v="0.56057018306105899"/>
    <n v="1.56"/>
    <s v="Medium"/>
    <s v="Valid"/>
  </r>
  <r>
    <x v="20"/>
    <x v="9"/>
    <s v="TikTok Ads"/>
    <x v="0"/>
    <s v="EdTech"/>
    <x v="0"/>
    <n v="148949"/>
    <n v="12332"/>
    <n v="8.2799999999999999E-2"/>
    <n v="1.01"/>
    <n v="12455.32"/>
    <n v="546"/>
    <n v="22.81"/>
    <n v="95805.85"/>
    <n v="83350.53"/>
    <n v="6.6919621495071988"/>
    <n v="7.69"/>
    <s v="High"/>
    <s v="Valid"/>
  </r>
  <r>
    <x v="128"/>
    <x v="10"/>
    <s v="Google Ads"/>
    <x v="3"/>
    <s v="Fintech"/>
    <x v="2"/>
    <n v="184810"/>
    <n v="7447"/>
    <n v="4.0300000000000002E-2"/>
    <n v="3.12"/>
    <n v="23234.639999999999"/>
    <n v="334"/>
    <n v="69.56"/>
    <n v="51289.24"/>
    <n v="28054.6"/>
    <n v="1.2074471564870384"/>
    <n v="2.21"/>
    <s v="Medium"/>
    <s v="Valid"/>
  </r>
  <r>
    <x v="223"/>
    <x v="10"/>
    <s v="Meta Ads"/>
    <x v="1"/>
    <s v="E-commerce"/>
    <x v="2"/>
    <n v="85989"/>
    <n v="997"/>
    <n v="1.1599999999999999E-2"/>
    <n v="1.69"/>
    <n v="1684.93"/>
    <n v="37"/>
    <n v="45.54"/>
    <n v="4865.84"/>
    <n v="3180.91"/>
    <n v="1.8878588428005909"/>
    <n v="2.89"/>
    <s v="Medium"/>
    <s v="Valid"/>
  </r>
  <r>
    <x v="313"/>
    <x v="2"/>
    <s v="Meta Ads"/>
    <x v="2"/>
    <s v="Fintech"/>
    <x v="4"/>
    <n v="35755"/>
    <n v="654"/>
    <n v="1.83E-2"/>
    <n v="1.6"/>
    <n v="1046.4000000000001"/>
    <n v="40"/>
    <n v="26.16"/>
    <n v="11846.71"/>
    <n v="10800.31"/>
    <n v="10.321397171253821"/>
    <n v="11.32"/>
    <s v="High"/>
    <s v="Valid"/>
  </r>
  <r>
    <x v="146"/>
    <x v="3"/>
    <s v="Meta Ads"/>
    <x v="1"/>
    <s v="Fintech"/>
    <x v="1"/>
    <n v="184298"/>
    <n v="7758"/>
    <n v="4.2099999999999999E-2"/>
    <n v="1.55"/>
    <n v="12024.9"/>
    <n v="351"/>
    <n v="34.26"/>
    <n v="91198.92"/>
    <n v="79174.02"/>
    <n v="6.5841728413541905"/>
    <n v="7.58"/>
    <s v="High"/>
    <s v="Valid"/>
  </r>
  <r>
    <x v="180"/>
    <x v="11"/>
    <s v="Meta Ads"/>
    <x v="1"/>
    <s v="SaaS"/>
    <x v="5"/>
    <n v="22878"/>
    <n v="619"/>
    <n v="2.7099999999999999E-2"/>
    <n v="1.01"/>
    <n v="625.19000000000005"/>
    <n v="43"/>
    <n v="14.54"/>
    <n v="8615.57"/>
    <n v="7990.3799999999992"/>
    <n v="12.780722660311262"/>
    <n v="13.78"/>
    <s v="High"/>
    <s v="Valid"/>
  </r>
  <r>
    <x v="28"/>
    <x v="6"/>
    <s v="Meta Ads"/>
    <x v="0"/>
    <s v="Fintech"/>
    <x v="1"/>
    <n v="151539"/>
    <n v="3455"/>
    <n v="2.2800000000000001E-2"/>
    <n v="2.0499999999999998"/>
    <n v="7082.75"/>
    <n v="135"/>
    <n v="52.46"/>
    <n v="4666.78"/>
    <n v="-2415.9700000000003"/>
    <n v="-0.34110620874660269"/>
    <n v="0.66"/>
    <s v="Low"/>
    <s v="Valid"/>
  </r>
  <r>
    <x v="89"/>
    <x v="3"/>
    <s v="Google Ads"/>
    <x v="3"/>
    <s v="Healthcare"/>
    <x v="6"/>
    <n v="180365"/>
    <n v="6114"/>
    <n v="3.39E-2"/>
    <n v="3.46"/>
    <n v="21154.44"/>
    <n v="400"/>
    <n v="52.89"/>
    <n v="111623.05"/>
    <n v="90468.61"/>
    <n v="4.2765778720684642"/>
    <n v="5.28"/>
    <s v="High"/>
    <s v="Valid"/>
  </r>
  <r>
    <x v="257"/>
    <x v="4"/>
    <s v="Meta Ads"/>
    <x v="1"/>
    <s v="Fintech"/>
    <x v="6"/>
    <n v="30168"/>
    <n v="1080"/>
    <n v="3.5799999999999998E-2"/>
    <n v="0.46"/>
    <n v="496.8"/>
    <n v="34"/>
    <n v="14.61"/>
    <n v="5163.2700000000004"/>
    <n v="4666.47"/>
    <n v="9.3930555555555557"/>
    <n v="10.39"/>
    <s v="High"/>
    <s v="Valid"/>
  </r>
  <r>
    <x v="236"/>
    <x v="8"/>
    <s v="Google Ads"/>
    <x v="3"/>
    <s v="Fintech"/>
    <x v="0"/>
    <n v="26352"/>
    <n v="1697"/>
    <n v="6.4399999999999999E-2"/>
    <n v="1.71"/>
    <n v="2901.87"/>
    <n v="126"/>
    <n v="23.03"/>
    <n v="31980.19"/>
    <n v="29078.32"/>
    <n v="10.020545372466721"/>
    <n v="11.02"/>
    <s v="High"/>
    <s v="Valid"/>
  </r>
  <r>
    <x v="139"/>
    <x v="0"/>
    <s v="Google Ads"/>
    <x v="0"/>
    <s v="Healthcare"/>
    <x v="5"/>
    <n v="57979"/>
    <n v="2081"/>
    <n v="3.5900000000000001E-2"/>
    <n v="1.89"/>
    <n v="3933.09"/>
    <n v="148"/>
    <n v="26.57"/>
    <n v="18788.47"/>
    <n v="14855.380000000001"/>
    <n v="3.7770251888464288"/>
    <n v="4.78"/>
    <s v="High"/>
    <s v="Valid"/>
  </r>
  <r>
    <x v="120"/>
    <x v="3"/>
    <s v="Google Ads"/>
    <x v="1"/>
    <s v="Fintech"/>
    <x v="6"/>
    <n v="173769"/>
    <n v="6759"/>
    <n v="3.8899999999999997E-2"/>
    <n v="2.86"/>
    <n v="19330.740000000002"/>
    <n v="158"/>
    <n v="122.35"/>
    <n v="21350.44"/>
    <n v="2019.6999999999971"/>
    <n v="0.10448125627885932"/>
    <n v="1.1000000000000001"/>
    <s v="Medium"/>
    <s v="Valid"/>
  </r>
  <r>
    <x v="218"/>
    <x v="7"/>
    <s v="TikTok Ads"/>
    <x v="2"/>
    <s v="SaaS"/>
    <x v="3"/>
    <n v="131206"/>
    <n v="8279"/>
    <n v="6.3100000000000003E-2"/>
    <n v="1.53"/>
    <n v="12666.87"/>
    <n v="553"/>
    <n v="22.91"/>
    <n v="61485.88"/>
    <n v="48819.009999999995"/>
    <n v="3.8540705004472291"/>
    <n v="4.8499999999999996"/>
    <s v="High"/>
    <s v="Valid"/>
  </r>
  <r>
    <x v="92"/>
    <x v="8"/>
    <s v="Meta Ads"/>
    <x v="3"/>
    <s v="EdTech"/>
    <x v="1"/>
    <n v="64799"/>
    <n v="842"/>
    <n v="1.2999999999999999E-2"/>
    <n v="1.75"/>
    <n v="1473.5"/>
    <n v="52"/>
    <n v="28.34"/>
    <n v="15157.93"/>
    <n v="13684.43"/>
    <n v="9.2870240922972513"/>
    <n v="10.29"/>
    <s v="High"/>
    <s v="Valid"/>
  </r>
  <r>
    <x v="214"/>
    <x v="0"/>
    <s v="Meta Ads"/>
    <x v="2"/>
    <s v="E-commerce"/>
    <x v="1"/>
    <n v="167893"/>
    <n v="4432"/>
    <n v="2.64E-2"/>
    <n v="0.57999999999999996"/>
    <n v="2570.56"/>
    <n v="66"/>
    <n v="38.950000000000003"/>
    <n v="15989.78"/>
    <n v="13419.220000000001"/>
    <n v="5.2203488733972367"/>
    <n v="6.22"/>
    <s v="High"/>
    <s v="Valid"/>
  </r>
  <r>
    <x v="57"/>
    <x v="5"/>
    <s v="Google Ads"/>
    <x v="3"/>
    <s v="EdTech"/>
    <x v="6"/>
    <n v="72474"/>
    <n v="4022"/>
    <n v="5.5500000000000001E-2"/>
    <n v="3.11"/>
    <n v="12508.42"/>
    <n v="142"/>
    <n v="88.09"/>
    <n v="38937.53"/>
    <n v="26429.11"/>
    <n v="2.1129055468236597"/>
    <n v="3.11"/>
    <s v="High"/>
    <s v="Valid"/>
  </r>
  <r>
    <x v="146"/>
    <x v="3"/>
    <s v="Meta Ads"/>
    <x v="1"/>
    <s v="EdTech"/>
    <x v="4"/>
    <n v="138678"/>
    <n v="1802"/>
    <n v="1.2999999999999999E-2"/>
    <n v="1.9"/>
    <n v="3423.8"/>
    <n v="61"/>
    <n v="56.13"/>
    <n v="2147.0300000000002"/>
    <n v="-1276.77"/>
    <n v="-0.37291021671826624"/>
    <n v="0.63"/>
    <s v="Low"/>
    <s v="Valid"/>
  </r>
  <r>
    <x v="208"/>
    <x v="10"/>
    <s v="TikTok Ads"/>
    <x v="0"/>
    <s v="Healthcare"/>
    <x v="0"/>
    <n v="70195"/>
    <n v="4239"/>
    <n v="6.0400000000000002E-2"/>
    <n v="1.42"/>
    <n v="6019.38"/>
    <n v="234"/>
    <n v="25.72"/>
    <n v="38776.78"/>
    <n v="32757.399999999998"/>
    <n v="5.4419890420608095"/>
    <n v="6.44"/>
    <s v="High"/>
    <s v="Valid"/>
  </r>
  <r>
    <x v="137"/>
    <x v="4"/>
    <s v="Meta Ads"/>
    <x v="0"/>
    <s v="EdTech"/>
    <x v="2"/>
    <n v="73513"/>
    <n v="2073"/>
    <n v="2.8199999999999999E-2"/>
    <n v="2.2200000000000002"/>
    <n v="4602.0600000000004"/>
    <n v="31"/>
    <n v="148.44999999999999"/>
    <n v="3401.33"/>
    <n v="-1200.7300000000005"/>
    <n v="-0.26091141793023132"/>
    <n v="0.74"/>
    <s v="Low"/>
    <s v="Valid"/>
  </r>
  <r>
    <x v="119"/>
    <x v="1"/>
    <s v="Google Ads"/>
    <x v="0"/>
    <s v="SaaS"/>
    <x v="3"/>
    <n v="162786"/>
    <n v="7406"/>
    <n v="4.5499999999999999E-2"/>
    <n v="1.45"/>
    <n v="10738.7"/>
    <n v="513"/>
    <n v="20.93"/>
    <n v="67523.570000000007"/>
    <n v="56784.87000000001"/>
    <n v="5.2878719025580381"/>
    <n v="6.29"/>
    <s v="High"/>
    <s v="Valid"/>
  </r>
  <r>
    <x v="68"/>
    <x v="7"/>
    <s v="Google Ads"/>
    <x v="1"/>
    <s v="Healthcare"/>
    <x v="2"/>
    <n v="133909"/>
    <n v="5664"/>
    <n v="4.2299999999999997E-2"/>
    <n v="2.88"/>
    <n v="16312.32"/>
    <n v="117"/>
    <n v="139.41999999999999"/>
    <n v="11886.29"/>
    <n v="-4426.0299999999988"/>
    <n v="-0.27133050357030752"/>
    <n v="0.73"/>
    <s v="Low"/>
    <s v="Valid"/>
  </r>
  <r>
    <x v="98"/>
    <x v="0"/>
    <s v="Google Ads"/>
    <x v="0"/>
    <s v="E-commerce"/>
    <x v="6"/>
    <n v="92185"/>
    <n v="3779"/>
    <n v="4.1000000000000002E-2"/>
    <n v="1.62"/>
    <n v="6121.98"/>
    <n v="82"/>
    <n v="74.66"/>
    <n v="11861.33"/>
    <n v="5739.35"/>
    <n v="0.93749897908846502"/>
    <n v="1.94"/>
    <s v="Medium"/>
    <s v="Valid"/>
  </r>
  <r>
    <x v="316"/>
    <x v="1"/>
    <s v="Meta Ads"/>
    <x v="0"/>
    <s v="E-commerce"/>
    <x v="6"/>
    <n v="136637"/>
    <n v="4399"/>
    <n v="3.2199999999999999E-2"/>
    <n v="1.31"/>
    <n v="5762.69"/>
    <n v="254"/>
    <n v="22.69"/>
    <n v="21909.38"/>
    <n v="16146.690000000002"/>
    <n v="2.8019362485228259"/>
    <n v="3.8"/>
    <s v="High"/>
    <s v="Valid"/>
  </r>
  <r>
    <x v="100"/>
    <x v="1"/>
    <s v="Meta Ads"/>
    <x v="3"/>
    <s v="E-commerce"/>
    <x v="5"/>
    <n v="56986"/>
    <n v="1270"/>
    <n v="2.23E-2"/>
    <n v="0.93"/>
    <n v="1181.0999999999999"/>
    <n v="13"/>
    <n v="90.85"/>
    <n v="3679.26"/>
    <n v="2498.1600000000003"/>
    <n v="2.1151130302260608"/>
    <n v="3.12"/>
    <s v="High"/>
    <s v="Valid"/>
  </r>
  <r>
    <x v="50"/>
    <x v="2"/>
    <s v="Meta Ads"/>
    <x v="3"/>
    <s v="SaaS"/>
    <x v="1"/>
    <n v="148859"/>
    <n v="3840"/>
    <n v="2.58E-2"/>
    <n v="1.8"/>
    <n v="6912"/>
    <n v="250"/>
    <n v="27.65"/>
    <n v="22027.39"/>
    <n v="15115.39"/>
    <n v="2.1868330439814816"/>
    <n v="3.19"/>
    <s v="High"/>
    <s v="Valid"/>
  </r>
  <r>
    <x v="220"/>
    <x v="4"/>
    <s v="Google Ads"/>
    <x v="0"/>
    <s v="EdTech"/>
    <x v="2"/>
    <n v="151900"/>
    <n v="5270"/>
    <n v="3.4700000000000002E-2"/>
    <n v="1.1100000000000001"/>
    <n v="5849.7"/>
    <n v="291"/>
    <n v="20.100000000000001"/>
    <n v="47553.46"/>
    <n v="41703.760000000002"/>
    <n v="7.1292134639383224"/>
    <n v="8.1300000000000008"/>
    <s v="High"/>
    <s v="Valid"/>
  </r>
  <r>
    <x v="60"/>
    <x v="3"/>
    <s v="Meta Ads"/>
    <x v="2"/>
    <s v="EdTech"/>
    <x v="0"/>
    <n v="155555"/>
    <n v="4588"/>
    <n v="2.9499999999999998E-2"/>
    <n v="1.55"/>
    <n v="7111.4"/>
    <n v="332"/>
    <n v="21.42"/>
    <n v="12719.4"/>
    <n v="5608"/>
    <n v="0.78859296341086149"/>
    <n v="1.79"/>
    <s v="Medium"/>
    <s v="Valid"/>
  </r>
  <r>
    <x v="279"/>
    <x v="3"/>
    <s v="Meta Ads"/>
    <x v="3"/>
    <s v="SaaS"/>
    <x v="3"/>
    <n v="198979"/>
    <n v="2089"/>
    <n v="1.0500000000000001E-2"/>
    <n v="1.7"/>
    <n v="3551.3"/>
    <n v="66"/>
    <n v="53.81"/>
    <n v="7694.86"/>
    <n v="4143.5599999999995"/>
    <n v="1.1667727311125502"/>
    <n v="2.17"/>
    <s v="Medium"/>
    <s v="Valid"/>
  </r>
  <r>
    <x v="46"/>
    <x v="9"/>
    <s v="Meta Ads"/>
    <x v="0"/>
    <s v="E-commerce"/>
    <x v="5"/>
    <n v="186740"/>
    <n v="4182"/>
    <n v="2.24E-2"/>
    <n v="0.56000000000000005"/>
    <n v="2341.92"/>
    <n v="47"/>
    <n v="49.83"/>
    <n v="8643.08"/>
    <n v="6301.16"/>
    <n v="2.6905957504953197"/>
    <n v="3.69"/>
    <s v="High"/>
    <s v="Valid"/>
  </r>
  <r>
    <x v="18"/>
    <x v="10"/>
    <s v="Google Ads"/>
    <x v="2"/>
    <s v="Fintech"/>
    <x v="6"/>
    <n v="126246"/>
    <n v="4203"/>
    <n v="3.3300000000000003E-2"/>
    <n v="2.0499999999999998"/>
    <n v="8616.15"/>
    <n v="290"/>
    <n v="29.71"/>
    <n v="31939.46"/>
    <n v="23323.309999999998"/>
    <n v="2.7069294290373307"/>
    <n v="3.71"/>
    <s v="High"/>
    <s v="Valid"/>
  </r>
  <r>
    <x v="199"/>
    <x v="2"/>
    <s v="Google Ads"/>
    <x v="0"/>
    <s v="Fintech"/>
    <x v="3"/>
    <n v="30835"/>
    <n v="925"/>
    <n v="0.03"/>
    <n v="1.96"/>
    <n v="1813"/>
    <n v="14"/>
    <n v="129.5"/>
    <n v="3805.56"/>
    <n v="1992.56"/>
    <n v="1.0990402647545505"/>
    <n v="2.1"/>
    <s v="Medium"/>
    <s v="Valid"/>
  </r>
  <r>
    <x v="129"/>
    <x v="9"/>
    <s v="TikTok Ads"/>
    <x v="1"/>
    <s v="EdTech"/>
    <x v="4"/>
    <n v="112938"/>
    <n v="3263"/>
    <n v="2.8899999999999999E-2"/>
    <n v="0.39"/>
    <n v="1272.57"/>
    <n v="80"/>
    <n v="15.91"/>
    <n v="22895.07"/>
    <n v="21622.5"/>
    <n v="16.991206770550932"/>
    <n v="17.989999999999998"/>
    <s v="High"/>
    <s v="Valid"/>
  </r>
  <r>
    <x v="171"/>
    <x v="9"/>
    <s v="Google Ads"/>
    <x v="3"/>
    <s v="SaaS"/>
    <x v="4"/>
    <n v="143573"/>
    <n v="3474"/>
    <n v="2.4199999999999999E-2"/>
    <n v="1.63"/>
    <n v="5662.62"/>
    <n v="131"/>
    <n v="43.23"/>
    <n v="11434.82"/>
    <n v="5772.2"/>
    <n v="1.0193514662823921"/>
    <n v="2.02"/>
    <s v="Medium"/>
    <s v="Valid"/>
  </r>
  <r>
    <x v="72"/>
    <x v="10"/>
    <s v="TikTok Ads"/>
    <x v="3"/>
    <s v="E-commerce"/>
    <x v="4"/>
    <n v="113621"/>
    <n v="10112"/>
    <n v="8.8999999999999996E-2"/>
    <n v="0.99"/>
    <n v="10010.879999999999"/>
    <n v="472"/>
    <n v="21.21"/>
    <n v="84899.73"/>
    <n v="74888.849999999991"/>
    <n v="7.4807459484081313"/>
    <n v="8.48"/>
    <s v="High"/>
    <s v="Valid"/>
  </r>
  <r>
    <x v="184"/>
    <x v="4"/>
    <s v="Meta Ads"/>
    <x v="0"/>
    <s v="Healthcare"/>
    <x v="1"/>
    <n v="125155"/>
    <n v="5256"/>
    <n v="4.2000000000000003E-2"/>
    <n v="1.07"/>
    <n v="5623.92"/>
    <n v="247"/>
    <n v="22.77"/>
    <n v="26802.91"/>
    <n v="21178.989999999998"/>
    <n v="3.7658768261283941"/>
    <n v="4.7699999999999996"/>
    <s v="High"/>
    <s v="Valid"/>
  </r>
  <r>
    <x v="249"/>
    <x v="1"/>
    <s v="Meta Ads"/>
    <x v="2"/>
    <s v="Fintech"/>
    <x v="2"/>
    <n v="52940"/>
    <n v="1281"/>
    <n v="2.4199999999999999E-2"/>
    <n v="1.5"/>
    <n v="1921.5"/>
    <n v="37"/>
    <n v="51.93"/>
    <n v="8409.06"/>
    <n v="6487.5599999999995"/>
    <n v="3.3762997658079623"/>
    <n v="4.38"/>
    <s v="High"/>
    <s v="Valid"/>
  </r>
  <r>
    <x v="218"/>
    <x v="7"/>
    <s v="TikTok Ads"/>
    <x v="3"/>
    <s v="SaaS"/>
    <x v="2"/>
    <n v="106069"/>
    <n v="3139"/>
    <n v="2.9600000000000001E-2"/>
    <n v="0.5"/>
    <n v="1569.5"/>
    <n v="78"/>
    <n v="20.12"/>
    <n v="6648.74"/>
    <n v="5079.24"/>
    <n v="3.2362153552086652"/>
    <n v="4.24"/>
    <s v="High"/>
    <s v="Valid"/>
  </r>
  <r>
    <x v="229"/>
    <x v="11"/>
    <s v="Google Ads"/>
    <x v="1"/>
    <s v="EdTech"/>
    <x v="4"/>
    <n v="185523"/>
    <n v="6029"/>
    <n v="3.2500000000000001E-2"/>
    <n v="1.38"/>
    <n v="8320.02"/>
    <n v="252"/>
    <n v="33.020000000000003"/>
    <n v="12404.91"/>
    <n v="4084.8899999999994"/>
    <n v="0.4909711755500587"/>
    <n v="1.49"/>
    <s v="Medium"/>
    <s v="Valid"/>
  </r>
  <r>
    <x v="317"/>
    <x v="6"/>
    <s v="TikTok Ads"/>
    <x v="2"/>
    <s v="EdTech"/>
    <x v="5"/>
    <n v="184969"/>
    <n v="15407"/>
    <n v="8.3299999999999999E-2"/>
    <n v="1.34"/>
    <n v="20645.38"/>
    <n v="352"/>
    <n v="58.65"/>
    <n v="52669.94"/>
    <n v="32024.560000000001"/>
    <n v="1.5511731922589944"/>
    <n v="2.5499999999999998"/>
    <s v="Medium"/>
    <s v="Valid"/>
  </r>
  <r>
    <x v="112"/>
    <x v="9"/>
    <s v="Google Ads"/>
    <x v="1"/>
    <s v="Healthcare"/>
    <x v="4"/>
    <n v="118005"/>
    <n v="5003"/>
    <n v="4.24E-2"/>
    <n v="1.8"/>
    <n v="9005.4"/>
    <n v="63"/>
    <n v="142.94"/>
    <n v="6740.12"/>
    <n v="-2265.2799999999997"/>
    <n v="-0.25154684966797697"/>
    <n v="0.75"/>
    <s v="Low"/>
    <s v="Valid"/>
  </r>
  <r>
    <x v="82"/>
    <x v="7"/>
    <s v="Google Ads"/>
    <x v="1"/>
    <s v="SaaS"/>
    <x v="5"/>
    <n v="47176"/>
    <n v="1278"/>
    <n v="2.7099999999999999E-2"/>
    <n v="1.43"/>
    <n v="1827.54"/>
    <n v="62"/>
    <n v="29.48"/>
    <n v="2278.75"/>
    <n v="451.21000000000004"/>
    <n v="0.24689473281022578"/>
    <n v="1.25"/>
    <s v="Medium"/>
    <s v="Valid"/>
  </r>
  <r>
    <x v="315"/>
    <x v="9"/>
    <s v="Meta Ads"/>
    <x v="1"/>
    <s v="Fintech"/>
    <x v="1"/>
    <n v="8512"/>
    <n v="251"/>
    <n v="2.9600000000000001E-2"/>
    <n v="0.64"/>
    <n v="160.63999999999999"/>
    <n v="11"/>
    <n v="14.6"/>
    <n v="1671.09"/>
    <n v="1510.4499999999998"/>
    <n v="9.4027016932270922"/>
    <n v="10.4"/>
    <s v="High"/>
    <s v="Valid"/>
  </r>
  <r>
    <x v="152"/>
    <x v="1"/>
    <s v="Meta Ads"/>
    <x v="2"/>
    <s v="EdTech"/>
    <x v="6"/>
    <n v="83591"/>
    <n v="2499"/>
    <n v="2.9899999999999999E-2"/>
    <n v="1.68"/>
    <n v="4198.32"/>
    <n v="84"/>
    <n v="49.98"/>
    <n v="18620.43"/>
    <n v="14422.11"/>
    <n v="3.4352097982049967"/>
    <n v="4.4400000000000004"/>
    <s v="High"/>
    <s v="Valid"/>
  </r>
  <r>
    <x v="166"/>
    <x v="1"/>
    <s v="Google Ads"/>
    <x v="0"/>
    <s v="E-commerce"/>
    <x v="0"/>
    <n v="88323"/>
    <n v="3965"/>
    <n v="4.4900000000000002E-2"/>
    <n v="2.36"/>
    <n v="9357.4"/>
    <n v="95"/>
    <n v="98.5"/>
    <n v="8337.4"/>
    <n v="-1020"/>
    <n v="-0.10900463804048134"/>
    <n v="0.89"/>
    <s v="Low"/>
    <s v="Valid"/>
  </r>
  <r>
    <x v="258"/>
    <x v="6"/>
    <s v="Google Ads"/>
    <x v="1"/>
    <s v="Healthcare"/>
    <x v="3"/>
    <n v="24755"/>
    <n v="811"/>
    <n v="3.2800000000000003E-2"/>
    <n v="2.48"/>
    <n v="2011.28"/>
    <n v="8"/>
    <n v="251.41"/>
    <n v="1786.84"/>
    <n v="-224.44000000000005"/>
    <n v="-0.11159062885326759"/>
    <n v="0.89"/>
    <s v="Low"/>
    <s v="Valid"/>
  </r>
  <r>
    <x v="318"/>
    <x v="11"/>
    <s v="Google Ads"/>
    <x v="1"/>
    <s v="E-commerce"/>
    <x v="0"/>
    <n v="99410"/>
    <n v="4195"/>
    <n v="4.2200000000000001E-2"/>
    <n v="0.83"/>
    <n v="3481.85"/>
    <n v="196"/>
    <n v="17.760000000000002"/>
    <n v="56004.19"/>
    <n v="52522.340000000004"/>
    <n v="15.08460732082083"/>
    <n v="16.079999999999998"/>
    <s v="High"/>
    <s v="Valid"/>
  </r>
  <r>
    <x v="31"/>
    <x v="0"/>
    <s v="Meta Ads"/>
    <x v="1"/>
    <s v="SaaS"/>
    <x v="6"/>
    <n v="176250"/>
    <n v="6204"/>
    <n v="3.5200000000000002E-2"/>
    <n v="0.65"/>
    <n v="4032.6"/>
    <n v="312"/>
    <n v="12.92"/>
    <n v="84311.3"/>
    <n v="80278.7"/>
    <n v="19.90742944998264"/>
    <n v="20.91"/>
    <s v="High"/>
    <s v="Valid"/>
  </r>
  <r>
    <x v="144"/>
    <x v="0"/>
    <s v="Meta Ads"/>
    <x v="2"/>
    <s v="EdTech"/>
    <x v="1"/>
    <n v="184729"/>
    <n v="2586"/>
    <n v="1.4E-2"/>
    <n v="0.9"/>
    <n v="2327.4"/>
    <n v="201"/>
    <n v="11.58"/>
    <n v="16864.93"/>
    <n v="14537.53"/>
    <n v="6.246253329896021"/>
    <n v="7.25"/>
    <s v="High"/>
    <s v="Valid"/>
  </r>
  <r>
    <x v="214"/>
    <x v="0"/>
    <s v="Google Ads"/>
    <x v="0"/>
    <s v="Healthcare"/>
    <x v="1"/>
    <n v="175381"/>
    <n v="4226"/>
    <n v="2.41E-2"/>
    <n v="0.91"/>
    <n v="3845.66"/>
    <n v="204"/>
    <n v="18.850000000000001"/>
    <n v="11471.83"/>
    <n v="7626.17"/>
    <n v="1.9830588247530985"/>
    <n v="2.98"/>
    <s v="Medium"/>
    <s v="Valid"/>
  </r>
  <r>
    <x v="121"/>
    <x v="3"/>
    <s v="Google Ads"/>
    <x v="1"/>
    <s v="SaaS"/>
    <x v="1"/>
    <n v="174741"/>
    <n v="7129"/>
    <n v="4.0800000000000003E-2"/>
    <n v="2.17"/>
    <n v="15469.93"/>
    <n v="326"/>
    <n v="47.45"/>
    <n v="58786.78"/>
    <n v="43316.85"/>
    <n v="2.8000676150441532"/>
    <n v="3.8"/>
    <s v="High"/>
    <s v="Valid"/>
  </r>
  <r>
    <x v="148"/>
    <x v="0"/>
    <s v="Meta Ads"/>
    <x v="2"/>
    <s v="E-commerce"/>
    <x v="3"/>
    <n v="62033"/>
    <n v="2667"/>
    <n v="4.2999999999999997E-2"/>
    <n v="1.1000000000000001"/>
    <n v="2933.7"/>
    <n v="135"/>
    <n v="21.73"/>
    <n v="14288.2"/>
    <n v="11354.5"/>
    <n v="3.8703684766676894"/>
    <n v="4.87"/>
    <s v="High"/>
    <s v="Valid"/>
  </r>
  <r>
    <x v="141"/>
    <x v="5"/>
    <s v="TikTok Ads"/>
    <x v="0"/>
    <s v="Fintech"/>
    <x v="4"/>
    <n v="6067"/>
    <n v="201"/>
    <n v="3.32E-2"/>
    <n v="0.63"/>
    <n v="126.63"/>
    <n v="12"/>
    <n v="10.55"/>
    <n v="2449.2800000000002"/>
    <n v="2322.65"/>
    <n v="18.342020058437971"/>
    <n v="19.34"/>
    <s v="High"/>
    <s v="Valid"/>
  </r>
  <r>
    <x v="319"/>
    <x v="1"/>
    <s v="Google Ads"/>
    <x v="0"/>
    <s v="SaaS"/>
    <x v="0"/>
    <n v="187941"/>
    <n v="9303"/>
    <n v="4.9500000000000002E-2"/>
    <n v="2.33"/>
    <n v="21675.99"/>
    <n v="528"/>
    <n v="41.05"/>
    <n v="92564.99"/>
    <n v="70889"/>
    <n v="3.270392724853628"/>
    <n v="4.2699999999999996"/>
    <s v="High"/>
    <s v="Valid"/>
  </r>
  <r>
    <x v="114"/>
    <x v="3"/>
    <s v="TikTok Ads"/>
    <x v="2"/>
    <s v="EdTech"/>
    <x v="0"/>
    <n v="16094"/>
    <n v="535"/>
    <n v="3.3300000000000003E-2"/>
    <n v="1.81"/>
    <n v="968.35"/>
    <n v="8"/>
    <n v="121.04"/>
    <n v="469.8"/>
    <n v="-498.55"/>
    <n v="-0.51484483915939483"/>
    <n v="0.49"/>
    <s v="Low"/>
    <s v="Valid"/>
  </r>
  <r>
    <x v="73"/>
    <x v="7"/>
    <s v="Meta Ads"/>
    <x v="3"/>
    <s v="EdTech"/>
    <x v="5"/>
    <n v="8599"/>
    <n v="258"/>
    <n v="3.0099999999999998E-2"/>
    <n v="0.65"/>
    <n v="167.7"/>
    <n v="6"/>
    <n v="27.95"/>
    <n v="594.69000000000005"/>
    <n v="426.99000000000007"/>
    <n v="2.5461538461538469"/>
    <n v="3.55"/>
    <s v="High"/>
    <s v="Valid"/>
  </r>
  <r>
    <x v="79"/>
    <x v="0"/>
    <s v="Google Ads"/>
    <x v="1"/>
    <s v="Fintech"/>
    <x v="0"/>
    <n v="32476"/>
    <n v="1136"/>
    <n v="3.5000000000000003E-2"/>
    <n v="1.64"/>
    <n v="1863.04"/>
    <n v="86"/>
    <n v="21.66"/>
    <n v="21754.11"/>
    <n v="19891.07"/>
    <n v="10.676673608725524"/>
    <n v="11.68"/>
    <s v="High"/>
    <s v="Valid"/>
  </r>
  <r>
    <x v="311"/>
    <x v="0"/>
    <s v="Google Ads"/>
    <x v="3"/>
    <s v="Fintech"/>
    <x v="4"/>
    <n v="64739"/>
    <n v="1599"/>
    <n v="2.47E-2"/>
    <n v="3.26"/>
    <n v="5212.74"/>
    <n v="109"/>
    <n v="47.82"/>
    <n v="22723.24"/>
    <n v="17510.5"/>
    <n v="3.3591738701719249"/>
    <n v="4.3600000000000003"/>
    <s v="High"/>
    <s v="Valid"/>
  </r>
  <r>
    <x v="181"/>
    <x v="8"/>
    <s v="Google Ads"/>
    <x v="0"/>
    <s v="EdTech"/>
    <x v="1"/>
    <n v="51666"/>
    <n v="2965"/>
    <n v="5.74E-2"/>
    <n v="2.92"/>
    <n v="8657.7999999999993"/>
    <n v="80"/>
    <n v="108.22"/>
    <n v="16836.59"/>
    <n v="8178.7900000000009"/>
    <n v="0.94467301161958017"/>
    <n v="1.94"/>
    <s v="Medium"/>
    <s v="Valid"/>
  </r>
  <r>
    <x v="216"/>
    <x v="6"/>
    <s v="Meta Ads"/>
    <x v="2"/>
    <s v="SaaS"/>
    <x v="5"/>
    <n v="39723"/>
    <n v="1116"/>
    <n v="2.81E-2"/>
    <n v="0.95"/>
    <n v="1060.2"/>
    <n v="14"/>
    <n v="75.73"/>
    <n v="582.59"/>
    <n v="-477.61"/>
    <n v="-0.45049047349556687"/>
    <n v="0.55000000000000004"/>
    <s v="Low"/>
    <s v="Valid"/>
  </r>
  <r>
    <x v="275"/>
    <x v="9"/>
    <s v="TikTok Ads"/>
    <x v="0"/>
    <s v="Healthcare"/>
    <x v="4"/>
    <n v="163984"/>
    <n v="12971"/>
    <n v="7.9100000000000004E-2"/>
    <n v="1.68"/>
    <n v="21791.279999999999"/>
    <n v="962"/>
    <n v="22.65"/>
    <n v="170813.74"/>
    <n v="149022.46"/>
    <n v="6.8386281117951766"/>
    <n v="7.84"/>
    <s v="High"/>
    <s v="Valid"/>
  </r>
  <r>
    <x v="108"/>
    <x v="0"/>
    <s v="Meta Ads"/>
    <x v="1"/>
    <s v="Fintech"/>
    <x v="6"/>
    <n v="51698"/>
    <n v="1307"/>
    <n v="2.53E-2"/>
    <n v="1.96"/>
    <n v="2561.7199999999998"/>
    <n v="91"/>
    <n v="28.15"/>
    <n v="15551.2"/>
    <n v="12989.480000000001"/>
    <n v="5.0706088097059796"/>
    <n v="6.07"/>
    <s v="High"/>
    <s v="Valid"/>
  </r>
  <r>
    <x v="313"/>
    <x v="2"/>
    <s v="Google Ads"/>
    <x v="2"/>
    <s v="SaaS"/>
    <x v="0"/>
    <n v="50206"/>
    <n v="2399"/>
    <n v="4.7800000000000002E-2"/>
    <n v="2.02"/>
    <n v="4845.9799999999996"/>
    <n v="163"/>
    <n v="29.73"/>
    <n v="5571.38"/>
    <n v="725.40000000000055"/>
    <n v="0.14969108415635241"/>
    <n v="1.1499999999999999"/>
    <s v="Medium"/>
    <s v="Valid"/>
  </r>
  <r>
    <x v="60"/>
    <x v="3"/>
    <s v="Google Ads"/>
    <x v="1"/>
    <s v="Fintech"/>
    <x v="0"/>
    <n v="194099"/>
    <n v="4774"/>
    <n v="2.46E-2"/>
    <n v="2.4900000000000002"/>
    <n v="11887.26"/>
    <n v="134"/>
    <n v="88.71"/>
    <n v="8446.2099999999991"/>
    <n v="-3441.0500000000011"/>
    <n v="-0.2894737727617635"/>
    <n v="0.71"/>
    <s v="Low"/>
    <s v="Valid"/>
  </r>
  <r>
    <x v="320"/>
    <x v="9"/>
    <s v="TikTok Ads"/>
    <x v="1"/>
    <s v="E-commerce"/>
    <x v="2"/>
    <n v="11820"/>
    <n v="366"/>
    <n v="3.1E-2"/>
    <n v="1.72"/>
    <n v="629.52"/>
    <n v="12"/>
    <n v="52.46"/>
    <n v="2301.9899999999998"/>
    <n v="1672.4699999999998"/>
    <n v="2.656738467403736"/>
    <n v="3.66"/>
    <s v="High"/>
    <s v="Valid"/>
  </r>
  <r>
    <x v="171"/>
    <x v="9"/>
    <s v="TikTok Ads"/>
    <x v="0"/>
    <s v="SaaS"/>
    <x v="2"/>
    <n v="56782"/>
    <n v="3264"/>
    <n v="5.7500000000000002E-2"/>
    <n v="0.8"/>
    <n v="2611.1999999999998"/>
    <n v="154"/>
    <n v="16.96"/>
    <n v="15749.58"/>
    <n v="13138.380000000001"/>
    <n v="5.0315487132352947"/>
    <n v="6.03"/>
    <s v="High"/>
    <s v="Valid"/>
  </r>
  <r>
    <x v="14"/>
    <x v="4"/>
    <s v="TikTok Ads"/>
    <x v="1"/>
    <s v="SaaS"/>
    <x v="1"/>
    <n v="191894"/>
    <n v="7138"/>
    <n v="3.7199999999999997E-2"/>
    <n v="0.77"/>
    <n v="5496.26"/>
    <n v="380"/>
    <n v="14.46"/>
    <n v="85112.1"/>
    <n v="79615.840000000011"/>
    <n v="14.485457383748223"/>
    <n v="15.49"/>
    <s v="High"/>
    <s v="Valid"/>
  </r>
  <r>
    <x v="93"/>
    <x v="0"/>
    <s v="Google Ads"/>
    <x v="2"/>
    <s v="Fintech"/>
    <x v="1"/>
    <n v="55075"/>
    <n v="3056"/>
    <n v="5.5500000000000001E-2"/>
    <n v="2.36"/>
    <n v="7212.16"/>
    <n v="156"/>
    <n v="46.23"/>
    <n v="5145.3100000000004"/>
    <n v="-2066.8499999999995"/>
    <n v="-0.2865785007542816"/>
    <n v="0.71"/>
    <s v="Low"/>
    <s v="Valid"/>
  </r>
  <r>
    <x v="206"/>
    <x v="5"/>
    <s v="Google Ads"/>
    <x v="2"/>
    <s v="EdTech"/>
    <x v="5"/>
    <n v="81830"/>
    <n v="4091"/>
    <n v="0.05"/>
    <n v="1.45"/>
    <n v="5931.95"/>
    <n v="49"/>
    <n v="121.06"/>
    <n v="7206.83"/>
    <n v="1274.8800000000001"/>
    <n v="0.21491752290562127"/>
    <n v="1.21"/>
    <s v="Medium"/>
    <s v="Valid"/>
  </r>
  <r>
    <x v="321"/>
    <x v="9"/>
    <s v="Meta Ads"/>
    <x v="0"/>
    <s v="EdTech"/>
    <x v="2"/>
    <n v="87911"/>
    <n v="1116"/>
    <n v="1.2699999999999999E-2"/>
    <n v="0.48"/>
    <n v="535.67999999999995"/>
    <n v="61"/>
    <n v="8.7799999999999994"/>
    <n v="16688.84"/>
    <n v="16153.16"/>
    <n v="30.154495221027481"/>
    <n v="31.15"/>
    <s v="High"/>
    <s v="Valid"/>
  </r>
  <r>
    <x v="118"/>
    <x v="7"/>
    <s v="Meta Ads"/>
    <x v="0"/>
    <s v="SaaS"/>
    <x v="4"/>
    <n v="9521"/>
    <n v="237"/>
    <n v="2.4899999999999999E-2"/>
    <n v="1.77"/>
    <n v="419.49"/>
    <n v="17"/>
    <n v="24.68"/>
    <n v="1502.31"/>
    <n v="1082.82"/>
    <n v="2.5812772652506615"/>
    <n v="3.58"/>
    <s v="High"/>
    <s v="Valid"/>
  </r>
  <r>
    <x v="219"/>
    <x v="5"/>
    <s v="TikTok Ads"/>
    <x v="0"/>
    <s v="E-commerce"/>
    <x v="1"/>
    <n v="88115"/>
    <n v="5383"/>
    <n v="6.1100000000000002E-2"/>
    <n v="0.68"/>
    <n v="3660.44"/>
    <n v="121"/>
    <n v="30.25"/>
    <n v="28357.39"/>
    <n v="24696.95"/>
    <n v="6.7469894329643436"/>
    <n v="7.75"/>
    <s v="High"/>
    <s v="Valid"/>
  </r>
  <r>
    <x v="69"/>
    <x v="1"/>
    <s v="Google Ads"/>
    <x v="2"/>
    <s v="E-commerce"/>
    <x v="3"/>
    <n v="184030"/>
    <n v="5649"/>
    <n v="3.0700000000000002E-2"/>
    <n v="2.23"/>
    <n v="12597.27"/>
    <n v="90"/>
    <n v="139.97"/>
    <n v="23192.98"/>
    <n v="10595.71"/>
    <n v="0.84111160592731593"/>
    <n v="1.84"/>
    <s v="Medium"/>
    <s v="Valid"/>
  </r>
  <r>
    <x v="276"/>
    <x v="4"/>
    <s v="Meta Ads"/>
    <x v="1"/>
    <s v="EdTech"/>
    <x v="1"/>
    <n v="151729"/>
    <n v="4491"/>
    <n v="2.9600000000000001E-2"/>
    <n v="1.85"/>
    <n v="8308.35"/>
    <n v="228"/>
    <n v="36.44"/>
    <n v="48165.440000000002"/>
    <n v="39857.090000000004"/>
    <n v="4.7972329042469326"/>
    <n v="5.8"/>
    <s v="High"/>
    <s v="Valid"/>
  </r>
  <r>
    <x v="80"/>
    <x v="2"/>
    <s v="TikTok Ads"/>
    <x v="1"/>
    <s v="SaaS"/>
    <x v="5"/>
    <n v="68176"/>
    <n v="2679"/>
    <n v="3.9300000000000002E-2"/>
    <n v="1.24"/>
    <n v="3321.96"/>
    <n v="173"/>
    <n v="19.2"/>
    <n v="19288.91"/>
    <n v="15966.95"/>
    <n v="4.8064847258847188"/>
    <n v="5.81"/>
    <s v="High"/>
    <s v="Valid"/>
  </r>
  <r>
    <x v="120"/>
    <x v="3"/>
    <s v="Meta Ads"/>
    <x v="2"/>
    <s v="Healthcare"/>
    <x v="0"/>
    <n v="160136"/>
    <n v="6581"/>
    <n v="4.1099999999999998E-2"/>
    <n v="0.4"/>
    <n v="2632.4"/>
    <n v="393"/>
    <n v="6.7"/>
    <n v="81942.570000000007"/>
    <n v="79310.170000000013"/>
    <n v="30.128464519070054"/>
    <n v="31.13"/>
    <s v="High"/>
    <s v="Valid"/>
  </r>
  <r>
    <x v="10"/>
    <x v="5"/>
    <s v="Google Ads"/>
    <x v="1"/>
    <s v="Healthcare"/>
    <x v="4"/>
    <n v="164504"/>
    <n v="3322"/>
    <n v="2.0199999999999999E-2"/>
    <n v="2.0699999999999998"/>
    <n v="6876.54"/>
    <n v="96"/>
    <n v="71.63"/>
    <n v="10570.76"/>
    <n v="3694.2200000000003"/>
    <n v="0.53722075346031584"/>
    <n v="1.54"/>
    <s v="Medium"/>
    <s v="Valid"/>
  </r>
  <r>
    <x v="322"/>
    <x v="5"/>
    <s v="TikTok Ads"/>
    <x v="3"/>
    <s v="Healthcare"/>
    <x v="6"/>
    <n v="111399"/>
    <n v="4155"/>
    <n v="3.73E-2"/>
    <n v="1.22"/>
    <n v="5069.1000000000004"/>
    <n v="176"/>
    <n v="28.8"/>
    <n v="18559.099999999999"/>
    <n v="13489.999999999998"/>
    <n v="2.6612219131601265"/>
    <n v="3.66"/>
    <s v="High"/>
    <s v="Valid"/>
  </r>
  <r>
    <x v="323"/>
    <x v="10"/>
    <s v="Google Ads"/>
    <x v="0"/>
    <s v="E-commerce"/>
    <x v="3"/>
    <n v="135011"/>
    <n v="3496"/>
    <n v="2.5899999999999999E-2"/>
    <n v="1.89"/>
    <n v="6607.44"/>
    <n v="254"/>
    <n v="26.01"/>
    <n v="69461.440000000002"/>
    <n v="62854"/>
    <n v="9.5126100274841701"/>
    <n v="10.51"/>
    <s v="High"/>
    <s v="Valid"/>
  </r>
  <r>
    <x v="246"/>
    <x v="4"/>
    <s v="Google Ads"/>
    <x v="3"/>
    <s v="Healthcare"/>
    <x v="2"/>
    <n v="24359"/>
    <n v="1461"/>
    <n v="0.06"/>
    <n v="2.34"/>
    <n v="3418.74"/>
    <n v="35"/>
    <n v="97.68"/>
    <n v="4110.3900000000003"/>
    <n v="691.65000000000055"/>
    <n v="0.20231137787605977"/>
    <n v="1.2"/>
    <s v="Medium"/>
    <s v="Valid"/>
  </r>
  <r>
    <x v="26"/>
    <x v="8"/>
    <s v="Meta Ads"/>
    <x v="2"/>
    <s v="Healthcare"/>
    <x v="1"/>
    <n v="130611"/>
    <n v="2207"/>
    <n v="1.6899999999999998E-2"/>
    <n v="0.73"/>
    <n v="1611.11"/>
    <n v="44"/>
    <n v="36.619999999999997"/>
    <n v="9567.41"/>
    <n v="7956.3"/>
    <n v="4.9383965092389719"/>
    <n v="5.94"/>
    <s v="High"/>
    <s v="Valid"/>
  </r>
  <r>
    <x v="324"/>
    <x v="9"/>
    <s v="TikTok Ads"/>
    <x v="0"/>
    <s v="SaaS"/>
    <x v="1"/>
    <n v="156601"/>
    <n v="8628"/>
    <n v="5.5100000000000003E-2"/>
    <n v="0.31"/>
    <n v="2674.68"/>
    <n v="362"/>
    <n v="7.39"/>
    <n v="23745.71"/>
    <n v="21071.03"/>
    <n v="7.8779629712713293"/>
    <n v="8.8800000000000008"/>
    <s v="High"/>
    <s v="Valid"/>
  </r>
  <r>
    <x v="45"/>
    <x v="6"/>
    <s v="Meta Ads"/>
    <x v="0"/>
    <s v="SaaS"/>
    <x v="3"/>
    <n v="172967"/>
    <n v="5016"/>
    <n v="2.9000000000000001E-2"/>
    <n v="2.08"/>
    <n v="10433.280000000001"/>
    <n v="331"/>
    <n v="31.52"/>
    <n v="75767.62"/>
    <n v="65334.34"/>
    <n v="6.2621093270764314"/>
    <n v="7.26"/>
    <s v="High"/>
    <s v="Valid"/>
  </r>
  <r>
    <x v="133"/>
    <x v="5"/>
    <s v="Google Ads"/>
    <x v="2"/>
    <s v="SaaS"/>
    <x v="4"/>
    <n v="165104"/>
    <n v="7958"/>
    <n v="4.82E-2"/>
    <n v="3.09"/>
    <n v="24590.22"/>
    <n v="105"/>
    <n v="234.19"/>
    <n v="29946.1"/>
    <n v="5355.8799999999974"/>
    <n v="0.2178052900706052"/>
    <n v="1.22"/>
    <s v="Medium"/>
    <s v="Valid"/>
  </r>
  <r>
    <x v="148"/>
    <x v="0"/>
    <s v="Google Ads"/>
    <x v="1"/>
    <s v="Fintech"/>
    <x v="4"/>
    <n v="49109"/>
    <n v="1203"/>
    <n v="2.4500000000000001E-2"/>
    <n v="3.26"/>
    <n v="3921.78"/>
    <n v="25"/>
    <n v="156.87"/>
    <n v="4734.6099999999997"/>
    <n v="812.82999999999947"/>
    <n v="0.20726047866020006"/>
    <n v="1.21"/>
    <s v="Medium"/>
    <s v="Valid"/>
  </r>
  <r>
    <x v="16"/>
    <x v="9"/>
    <s v="Meta Ads"/>
    <x v="2"/>
    <s v="SaaS"/>
    <x v="1"/>
    <n v="46291"/>
    <n v="1976"/>
    <n v="4.2700000000000002E-2"/>
    <n v="0.73"/>
    <n v="1442.48"/>
    <n v="74"/>
    <n v="19.489999999999998"/>
    <n v="2307.39"/>
    <n v="864.90999999999985"/>
    <n v="0.59959930120348282"/>
    <n v="1.6"/>
    <s v="Medium"/>
    <s v="Valid"/>
  </r>
  <r>
    <x v="203"/>
    <x v="4"/>
    <s v="Google Ads"/>
    <x v="1"/>
    <s v="Fintech"/>
    <x v="3"/>
    <n v="33750"/>
    <n v="1410"/>
    <n v="4.1799999999999997E-2"/>
    <n v="1.91"/>
    <n v="2693.1"/>
    <n v="106"/>
    <n v="25.41"/>
    <n v="5682.79"/>
    <n v="2989.69"/>
    <n v="1.110129590434815"/>
    <n v="2.11"/>
    <s v="Medium"/>
    <s v="Valid"/>
  </r>
  <r>
    <x v="117"/>
    <x v="0"/>
    <s v="Meta Ads"/>
    <x v="0"/>
    <s v="Healthcare"/>
    <x v="2"/>
    <n v="177593"/>
    <n v="1811"/>
    <n v="1.0200000000000001E-2"/>
    <n v="0.79"/>
    <n v="1430.69"/>
    <n v="128"/>
    <n v="11.18"/>
    <n v="17092.48"/>
    <n v="15661.789999999999"/>
    <n v="10.947018571458527"/>
    <n v="11.95"/>
    <s v="High"/>
    <s v="Valid"/>
  </r>
  <r>
    <x v="248"/>
    <x v="11"/>
    <s v="Google Ads"/>
    <x v="3"/>
    <s v="SaaS"/>
    <x v="5"/>
    <n v="150465"/>
    <n v="5311"/>
    <n v="3.5299999999999998E-2"/>
    <n v="3.13"/>
    <n v="16623.43"/>
    <n v="295"/>
    <n v="56.35"/>
    <n v="57602.12"/>
    <n v="40978.69"/>
    <n v="2.4651164049777936"/>
    <n v="3.47"/>
    <s v="High"/>
    <s v="Valid"/>
  </r>
  <r>
    <x v="262"/>
    <x v="9"/>
    <s v="TikTok Ads"/>
    <x v="2"/>
    <s v="SaaS"/>
    <x v="4"/>
    <n v="25860"/>
    <n v="1569"/>
    <n v="6.0699999999999997E-2"/>
    <n v="1.08"/>
    <n v="1694.52"/>
    <n v="79"/>
    <n v="21.45"/>
    <n v="13162.62"/>
    <n v="11468.1"/>
    <n v="6.7677572409885984"/>
    <n v="7.77"/>
    <s v="High"/>
    <s v="Valid"/>
  </r>
  <r>
    <x v="190"/>
    <x v="4"/>
    <s v="Google Ads"/>
    <x v="3"/>
    <s v="SaaS"/>
    <x v="3"/>
    <n v="41375"/>
    <n v="2350"/>
    <n v="5.6800000000000003E-2"/>
    <n v="2.2000000000000002"/>
    <n v="5170"/>
    <n v="148"/>
    <n v="34.93"/>
    <n v="14702.27"/>
    <n v="9532.27"/>
    <n v="1.8437659574468086"/>
    <n v="2.84"/>
    <s v="Medium"/>
    <s v="Valid"/>
  </r>
  <r>
    <x v="206"/>
    <x v="5"/>
    <s v="Meta Ads"/>
    <x v="3"/>
    <s v="SaaS"/>
    <x v="0"/>
    <n v="26159"/>
    <n v="782"/>
    <n v="2.9899999999999999E-2"/>
    <n v="1.51"/>
    <n v="1180.82"/>
    <n v="52"/>
    <n v="22.71"/>
    <n v="8689.2900000000009"/>
    <n v="7508.4700000000012"/>
    <n v="6.3586914178282905"/>
    <n v="7.36"/>
    <s v="High"/>
    <s v="Valid"/>
  </r>
  <r>
    <x v="314"/>
    <x v="2"/>
    <s v="Meta Ads"/>
    <x v="3"/>
    <s v="EdTech"/>
    <x v="5"/>
    <n v="184541"/>
    <n v="3063"/>
    <n v="1.66E-2"/>
    <n v="1.72"/>
    <n v="5268.36"/>
    <n v="215"/>
    <n v="24.5"/>
    <n v="16566.88"/>
    <n v="11298.52"/>
    <n v="2.1445990782710371"/>
    <n v="3.14"/>
    <s v="High"/>
    <s v="Valid"/>
  </r>
  <r>
    <x v="184"/>
    <x v="4"/>
    <s v="Meta Ads"/>
    <x v="1"/>
    <s v="E-commerce"/>
    <x v="0"/>
    <n v="196373"/>
    <n v="5184"/>
    <n v="2.64E-2"/>
    <n v="0.86"/>
    <n v="4458.24"/>
    <n v="173"/>
    <n v="25.77"/>
    <n v="36583.06"/>
    <n v="32124.82"/>
    <n v="7.2057179514786105"/>
    <n v="8.2100000000000009"/>
    <s v="High"/>
    <s v="Valid"/>
  </r>
  <r>
    <x v="108"/>
    <x v="0"/>
    <s v="Google Ads"/>
    <x v="1"/>
    <s v="Healthcare"/>
    <x v="6"/>
    <n v="131031"/>
    <n v="6092"/>
    <n v="4.65E-2"/>
    <n v="2.94"/>
    <n v="17910.48"/>
    <n v="482"/>
    <n v="37.159999999999997"/>
    <n v="116431.98"/>
    <n v="98521.5"/>
    <n v="5.5007738486070723"/>
    <n v="6.5"/>
    <s v="High"/>
    <s v="Valid"/>
  </r>
  <r>
    <x v="252"/>
    <x v="0"/>
    <s v="Meta Ads"/>
    <x v="0"/>
    <s v="EdTech"/>
    <x v="3"/>
    <n v="113269"/>
    <n v="3182"/>
    <n v="2.81E-2"/>
    <n v="1.53"/>
    <n v="4868.46"/>
    <n v="185"/>
    <n v="26.32"/>
    <n v="53909.5"/>
    <n v="49041.04"/>
    <n v="10.073214116989767"/>
    <n v="11.07"/>
    <s v="High"/>
    <s v="Valid"/>
  </r>
  <r>
    <x v="204"/>
    <x v="6"/>
    <s v="TikTok Ads"/>
    <x v="1"/>
    <s v="SaaS"/>
    <x v="2"/>
    <n v="92346"/>
    <n v="6815"/>
    <n v="7.3800000000000004E-2"/>
    <n v="0.82"/>
    <n v="5588.3"/>
    <n v="469"/>
    <n v="11.92"/>
    <n v="125930.93"/>
    <n v="120342.62999999999"/>
    <n v="21.534747597659393"/>
    <n v="22.53"/>
    <s v="High"/>
    <s v="Valid"/>
  </r>
  <r>
    <x v="325"/>
    <x v="3"/>
    <s v="Google Ads"/>
    <x v="0"/>
    <s v="Fintech"/>
    <x v="6"/>
    <n v="143241"/>
    <n v="7133"/>
    <n v="4.9799999999999997E-2"/>
    <n v="2.06"/>
    <n v="14693.98"/>
    <n v="272"/>
    <n v="54.02"/>
    <n v="60208.51"/>
    <n v="45514.53"/>
    <n v="3.0974950285763287"/>
    <n v="4.0999999999999996"/>
    <s v="High"/>
    <s v="Valid"/>
  </r>
  <r>
    <x v="307"/>
    <x v="10"/>
    <s v="Meta Ads"/>
    <x v="1"/>
    <s v="SaaS"/>
    <x v="1"/>
    <n v="194137"/>
    <n v="2640"/>
    <n v="1.3599999999999999E-2"/>
    <n v="2.41"/>
    <n v="6362.4"/>
    <n v="49"/>
    <n v="129.84"/>
    <n v="6668.85"/>
    <n v="306.45000000000073"/>
    <n v="4.8165786495662131E-2"/>
    <n v="1.05"/>
    <s v="Medium"/>
    <s v="Valid"/>
  </r>
  <r>
    <x v="301"/>
    <x v="0"/>
    <s v="TikTok Ads"/>
    <x v="2"/>
    <s v="EdTech"/>
    <x v="1"/>
    <n v="79967"/>
    <n v="2327"/>
    <n v="2.9100000000000001E-2"/>
    <n v="1.05"/>
    <n v="2443.35"/>
    <n v="43"/>
    <n v="56.82"/>
    <n v="11334.87"/>
    <n v="8891.52"/>
    <n v="3.6390693105776908"/>
    <n v="4.6399999999999997"/>
    <s v="High"/>
    <s v="Valid"/>
  </r>
  <r>
    <x v="184"/>
    <x v="4"/>
    <s v="Meta Ads"/>
    <x v="1"/>
    <s v="E-commerce"/>
    <x v="0"/>
    <n v="60919"/>
    <n v="1851"/>
    <n v="3.04E-2"/>
    <n v="1.79"/>
    <n v="3313.29"/>
    <n v="131"/>
    <n v="25.29"/>
    <n v="19210.72"/>
    <n v="15897.43"/>
    <n v="4.7980798541630829"/>
    <n v="5.8"/>
    <s v="High"/>
    <s v="Valid"/>
  </r>
  <r>
    <x v="73"/>
    <x v="7"/>
    <s v="TikTok Ads"/>
    <x v="0"/>
    <s v="SaaS"/>
    <x v="4"/>
    <n v="40886"/>
    <n v="1782"/>
    <n v="4.36E-2"/>
    <n v="0.55000000000000004"/>
    <n v="980.1"/>
    <n v="132"/>
    <n v="7.42"/>
    <n v="28189.38"/>
    <n v="27209.280000000002"/>
    <n v="27.761738598102237"/>
    <n v="28.76"/>
    <s v="High"/>
    <s v="Valid"/>
  </r>
  <r>
    <x v="230"/>
    <x v="11"/>
    <s v="TikTok Ads"/>
    <x v="2"/>
    <s v="SaaS"/>
    <x v="5"/>
    <n v="37646"/>
    <n v="1874"/>
    <n v="4.9799999999999997E-2"/>
    <n v="1.1000000000000001"/>
    <n v="2061.4"/>
    <n v="144"/>
    <n v="14.32"/>
    <n v="16795.87"/>
    <n v="14734.47"/>
    <n v="7.1477976132725329"/>
    <n v="8.15"/>
    <s v="High"/>
    <s v="Valid"/>
  </r>
  <r>
    <x v="308"/>
    <x v="11"/>
    <s v="Meta Ads"/>
    <x v="0"/>
    <s v="EdTech"/>
    <x v="3"/>
    <n v="117529"/>
    <n v="4266"/>
    <n v="3.6299999999999999E-2"/>
    <n v="1.03"/>
    <n v="4393.9799999999996"/>
    <n v="308"/>
    <n v="14.27"/>
    <n v="62119.33"/>
    <n v="57725.350000000006"/>
    <n v="13.137372040837695"/>
    <n v="14.14"/>
    <s v="High"/>
    <s v="Valid"/>
  </r>
  <r>
    <x v="61"/>
    <x v="8"/>
    <s v="TikTok Ads"/>
    <x v="1"/>
    <s v="Fintech"/>
    <x v="5"/>
    <n v="150250"/>
    <n v="7196"/>
    <n v="4.7899999999999998E-2"/>
    <n v="0.67"/>
    <n v="4821.32"/>
    <n v="534"/>
    <n v="9.0299999999999994"/>
    <n v="36153.629999999997"/>
    <n v="31332.309999999998"/>
    <n v="6.4986995262708138"/>
    <n v="7.5"/>
    <s v="High"/>
    <s v="Valid"/>
  </r>
  <r>
    <x v="213"/>
    <x v="8"/>
    <s v="Meta Ads"/>
    <x v="1"/>
    <s v="E-commerce"/>
    <x v="3"/>
    <n v="196929"/>
    <n v="2382"/>
    <n v="1.21E-2"/>
    <n v="1.3"/>
    <n v="3096.6"/>
    <n v="143"/>
    <n v="21.65"/>
    <n v="38447.589999999997"/>
    <n v="35350.99"/>
    <n v="11.416066007879609"/>
    <n v="12.42"/>
    <s v="High"/>
    <s v="Valid"/>
  </r>
  <r>
    <x v="186"/>
    <x v="3"/>
    <s v="Google Ads"/>
    <x v="0"/>
    <s v="Healthcare"/>
    <x v="3"/>
    <n v="91491"/>
    <n v="4053"/>
    <n v="4.4299999999999999E-2"/>
    <n v="1.74"/>
    <n v="7052.22"/>
    <n v="140"/>
    <n v="50.37"/>
    <n v="19432.37"/>
    <n v="12380.149999999998"/>
    <n v="1.755496850637104"/>
    <n v="2.76"/>
    <s v="Medium"/>
    <s v="Valid"/>
  </r>
  <r>
    <x v="46"/>
    <x v="9"/>
    <s v="Google Ads"/>
    <x v="1"/>
    <s v="E-commerce"/>
    <x v="1"/>
    <n v="154741"/>
    <n v="6019"/>
    <n v="3.8899999999999997E-2"/>
    <n v="1.04"/>
    <n v="6259.76"/>
    <n v="220"/>
    <n v="28.45"/>
    <n v="38586.699999999997"/>
    <n v="32326.939999999995"/>
    <n v="5.1642459135813503"/>
    <n v="6.16"/>
    <s v="High"/>
    <s v="Valid"/>
  </r>
  <r>
    <x v="145"/>
    <x v="3"/>
    <s v="TikTok Ads"/>
    <x v="3"/>
    <s v="E-commerce"/>
    <x v="5"/>
    <n v="72963"/>
    <n v="5618"/>
    <n v="7.6999999999999999E-2"/>
    <n v="0.48"/>
    <n v="2696.64"/>
    <n v="412"/>
    <n v="6.55"/>
    <n v="16464.009999999998"/>
    <n v="13767.369999999999"/>
    <n v="5.105379286816186"/>
    <n v="6.11"/>
    <s v="High"/>
    <s v="Valid"/>
  </r>
  <r>
    <x v="118"/>
    <x v="7"/>
    <s v="Google Ads"/>
    <x v="1"/>
    <s v="Fintech"/>
    <x v="2"/>
    <n v="194281"/>
    <n v="5906"/>
    <n v="3.04E-2"/>
    <n v="2.5"/>
    <n v="14765"/>
    <n v="371"/>
    <n v="39.799999999999997"/>
    <n v="20958.57"/>
    <n v="6193.57"/>
    <n v="0.41947646461225868"/>
    <n v="1.42"/>
    <s v="Medium"/>
    <s v="Valid"/>
  </r>
  <r>
    <x v="64"/>
    <x v="7"/>
    <s v="Meta Ads"/>
    <x v="3"/>
    <s v="E-commerce"/>
    <x v="0"/>
    <n v="92844"/>
    <n v="3277"/>
    <n v="3.5299999999999998E-2"/>
    <n v="1.81"/>
    <n v="5931.37"/>
    <n v="63"/>
    <n v="94.15"/>
    <n v="10318.61"/>
    <n v="4387.2400000000007"/>
    <n v="0.73966722696442821"/>
    <n v="1.74"/>
    <s v="Medium"/>
    <s v="Valid"/>
  </r>
  <r>
    <x v="150"/>
    <x v="8"/>
    <s v="Google Ads"/>
    <x v="1"/>
    <s v="SaaS"/>
    <x v="0"/>
    <n v="132441"/>
    <n v="2436"/>
    <n v="1.84E-2"/>
    <n v="2.09"/>
    <n v="5091.24"/>
    <n v="135"/>
    <n v="37.71"/>
    <n v="8958.33"/>
    <n v="3867.09"/>
    <n v="0.75955759304216663"/>
    <n v="1.76"/>
    <s v="Medium"/>
    <s v="Valid"/>
  </r>
  <r>
    <x v="60"/>
    <x v="3"/>
    <s v="Meta Ads"/>
    <x v="0"/>
    <s v="EdTech"/>
    <x v="3"/>
    <n v="110977"/>
    <n v="2829"/>
    <n v="2.5499999999999998E-2"/>
    <n v="0.66"/>
    <n v="1867.14"/>
    <n v="48"/>
    <n v="38.9"/>
    <n v="10643.48"/>
    <n v="8776.34"/>
    <n v="4.7004188223700414"/>
    <n v="5.7"/>
    <s v="High"/>
    <s v="Valid"/>
  </r>
  <r>
    <x v="39"/>
    <x v="7"/>
    <s v="Google Ads"/>
    <x v="0"/>
    <s v="Healthcare"/>
    <x v="0"/>
    <n v="50076"/>
    <n v="2964"/>
    <n v="5.9200000000000003E-2"/>
    <n v="3.4"/>
    <n v="10077.6"/>
    <n v="94"/>
    <n v="107.21"/>
    <n v="28058.66"/>
    <n v="17981.059999999998"/>
    <n v="1.7842601413034846"/>
    <n v="2.78"/>
    <s v="Medium"/>
    <s v="Valid"/>
  </r>
  <r>
    <x v="326"/>
    <x v="3"/>
    <s v="Google Ads"/>
    <x v="0"/>
    <s v="SaaS"/>
    <x v="6"/>
    <n v="180590"/>
    <n v="4857"/>
    <n v="2.69E-2"/>
    <n v="1.51"/>
    <n v="7334.07"/>
    <n v="333"/>
    <n v="22.02"/>
    <n v="91782.77"/>
    <n v="84448.700000000012"/>
    <n v="11.514575126771359"/>
    <n v="12.51"/>
    <s v="High"/>
    <s v="Valid"/>
  </r>
  <r>
    <x v="237"/>
    <x v="1"/>
    <s v="Meta Ads"/>
    <x v="0"/>
    <s v="Fintech"/>
    <x v="0"/>
    <n v="153530"/>
    <n v="3899"/>
    <n v="2.5399999999999999E-2"/>
    <n v="2.31"/>
    <n v="9006.69"/>
    <n v="302"/>
    <n v="29.82"/>
    <n v="21392.38"/>
    <n v="12385.69"/>
    <n v="1.3751655713697262"/>
    <n v="2.38"/>
    <s v="Medium"/>
    <s v="Valid"/>
  </r>
  <r>
    <x v="33"/>
    <x v="0"/>
    <s v="Google Ads"/>
    <x v="1"/>
    <s v="SaaS"/>
    <x v="5"/>
    <n v="135223"/>
    <n v="3285"/>
    <n v="2.4299999999999999E-2"/>
    <n v="3.02"/>
    <n v="9920.7000000000007"/>
    <n v="201"/>
    <n v="49.36"/>
    <n v="46154.22"/>
    <n v="36233.520000000004"/>
    <n v="3.6523148568145394"/>
    <n v="4.6500000000000004"/>
    <s v="High"/>
    <s v="Valid"/>
  </r>
  <r>
    <x v="19"/>
    <x v="9"/>
    <s v="Meta Ads"/>
    <x v="3"/>
    <s v="EdTech"/>
    <x v="2"/>
    <n v="108152"/>
    <n v="4250"/>
    <n v="3.9300000000000002E-2"/>
    <n v="0.72"/>
    <n v="3060"/>
    <n v="160"/>
    <n v="19.12"/>
    <n v="12452.25"/>
    <n v="9392.25"/>
    <n v="3.0693627450980392"/>
    <n v="4.07"/>
    <s v="High"/>
    <s v="Valid"/>
  </r>
  <r>
    <x v="296"/>
    <x v="11"/>
    <s v="Google Ads"/>
    <x v="1"/>
    <s v="Healthcare"/>
    <x v="3"/>
    <n v="76442"/>
    <n v="2392"/>
    <n v="3.1300000000000001E-2"/>
    <n v="1.64"/>
    <n v="3922.88"/>
    <n v="160"/>
    <n v="24.52"/>
    <n v="14390.19"/>
    <n v="10467.310000000001"/>
    <n v="2.6682717799167959"/>
    <n v="3.67"/>
    <s v="High"/>
    <s v="Valid"/>
  </r>
  <r>
    <x v="30"/>
    <x v="6"/>
    <s v="Google Ads"/>
    <x v="1"/>
    <s v="EdTech"/>
    <x v="3"/>
    <n v="57335"/>
    <n v="1869"/>
    <n v="3.2599999999999997E-2"/>
    <n v="2.75"/>
    <n v="5139.75"/>
    <n v="133"/>
    <n v="38.64"/>
    <n v="11136.73"/>
    <n v="5996.98"/>
    <n v="1.166784376672017"/>
    <n v="2.17"/>
    <s v="Medium"/>
    <s v="Valid"/>
  </r>
  <r>
    <x v="116"/>
    <x v="6"/>
    <s v="TikTok Ads"/>
    <x v="3"/>
    <s v="SaaS"/>
    <x v="1"/>
    <n v="82661"/>
    <n v="4769"/>
    <n v="5.7700000000000001E-2"/>
    <n v="1.33"/>
    <n v="6342.77"/>
    <n v="271"/>
    <n v="23.41"/>
    <n v="79985.87"/>
    <n v="73643.099999999991"/>
    <n v="11.610558163073859"/>
    <n v="12.61"/>
    <s v="High"/>
    <s v="Valid"/>
  </r>
  <r>
    <x v="302"/>
    <x v="5"/>
    <s v="Google Ads"/>
    <x v="2"/>
    <s v="Fintech"/>
    <x v="5"/>
    <n v="72902"/>
    <n v="4942"/>
    <n v="6.7799999999999999E-2"/>
    <n v="3.3"/>
    <n v="16308.6"/>
    <n v="323"/>
    <n v="50.49"/>
    <n v="33499.379999999997"/>
    <n v="17190.78"/>
    <n v="1.0540929325631874"/>
    <n v="2.0499999999999998"/>
    <s v="Medium"/>
    <s v="Valid"/>
  </r>
  <r>
    <x v="225"/>
    <x v="2"/>
    <s v="Meta Ads"/>
    <x v="0"/>
    <s v="E-commerce"/>
    <x v="1"/>
    <n v="63528"/>
    <n v="711"/>
    <n v="1.12E-2"/>
    <n v="1.49"/>
    <n v="1059.3900000000001"/>
    <n v="23"/>
    <n v="46.06"/>
    <n v="4567.68"/>
    <n v="3508.29"/>
    <n v="3.3116132868915127"/>
    <n v="4.3099999999999996"/>
    <s v="High"/>
    <s v="Valid"/>
  </r>
  <r>
    <x v="327"/>
    <x v="9"/>
    <s v="TikTok Ads"/>
    <x v="2"/>
    <s v="Fintech"/>
    <x v="2"/>
    <n v="169238"/>
    <n v="6583"/>
    <n v="3.8899999999999997E-2"/>
    <n v="0.53"/>
    <n v="3488.99"/>
    <n v="507"/>
    <n v="6.88"/>
    <n v="146453.92000000001"/>
    <n v="142964.93000000002"/>
    <n v="40.976021714020398"/>
    <n v="41.98"/>
    <s v="High"/>
    <s v="Valid"/>
  </r>
  <r>
    <x v="132"/>
    <x v="9"/>
    <s v="Meta Ads"/>
    <x v="3"/>
    <s v="SaaS"/>
    <x v="4"/>
    <n v="14815"/>
    <n v="189"/>
    <n v="1.2800000000000001E-2"/>
    <n v="0.55000000000000004"/>
    <n v="103.95"/>
    <n v="3"/>
    <n v="34.65"/>
    <n v="142.69"/>
    <n v="38.739999999999995"/>
    <n v="0.37267917267917261"/>
    <n v="1.37"/>
    <s v="Medium"/>
    <s v="Valid"/>
  </r>
  <r>
    <x v="276"/>
    <x v="4"/>
    <s v="TikTok Ads"/>
    <x v="0"/>
    <s v="Healthcare"/>
    <x v="3"/>
    <n v="47278"/>
    <n v="2803"/>
    <n v="5.9299999999999999E-2"/>
    <n v="1.69"/>
    <n v="4737.07"/>
    <n v="201"/>
    <n v="23.57"/>
    <n v="39448.18"/>
    <n v="34711.11"/>
    <n v="7.3275484635017012"/>
    <n v="8.33"/>
    <s v="High"/>
    <s v="Valid"/>
  </r>
  <r>
    <x v="103"/>
    <x v="2"/>
    <s v="Google Ads"/>
    <x v="1"/>
    <s v="Fintech"/>
    <x v="0"/>
    <n v="15046"/>
    <n v="400"/>
    <n v="2.6599999999999999E-2"/>
    <n v="1.18"/>
    <n v="472"/>
    <n v="4"/>
    <n v="118"/>
    <n v="142.71"/>
    <n v="-329.28999999999996"/>
    <n v="-0.69764830508474573"/>
    <n v="0.3"/>
    <s v="Low"/>
    <s v="Valid"/>
  </r>
  <r>
    <x v="246"/>
    <x v="4"/>
    <s v="Meta Ads"/>
    <x v="2"/>
    <s v="SaaS"/>
    <x v="4"/>
    <n v="58968"/>
    <n v="1715"/>
    <n v="2.9100000000000001E-2"/>
    <n v="1.49"/>
    <n v="2555.35"/>
    <n v="127"/>
    <n v="20.12"/>
    <n v="13332.87"/>
    <n v="10777.52"/>
    <n v="4.2176296789089562"/>
    <n v="5.22"/>
    <s v="High"/>
    <s v="Valid"/>
  </r>
  <r>
    <x v="328"/>
    <x v="2"/>
    <s v="Google Ads"/>
    <x v="0"/>
    <s v="Healthcare"/>
    <x v="5"/>
    <n v="13083"/>
    <n v="707"/>
    <n v="5.4100000000000002E-2"/>
    <n v="2.38"/>
    <n v="1682.66"/>
    <n v="41"/>
    <n v="41.04"/>
    <n v="10442.74"/>
    <n v="8760.08"/>
    <n v="5.2060903569348529"/>
    <n v="6.21"/>
    <s v="High"/>
    <s v="Valid"/>
  </r>
  <r>
    <x v="321"/>
    <x v="9"/>
    <s v="TikTok Ads"/>
    <x v="0"/>
    <s v="SaaS"/>
    <x v="3"/>
    <n v="109222"/>
    <n v="7306"/>
    <n v="6.6900000000000001E-2"/>
    <n v="1.0900000000000001"/>
    <n v="7963.54"/>
    <n v="124"/>
    <n v="64.22"/>
    <n v="12349.14"/>
    <n v="4385.5999999999995"/>
    <n v="0.55070986018780588"/>
    <n v="1.55"/>
    <s v="Medium"/>
    <s v="Valid"/>
  </r>
  <r>
    <x v="76"/>
    <x v="5"/>
    <s v="TikTok Ads"/>
    <x v="0"/>
    <s v="SaaS"/>
    <x v="1"/>
    <n v="45382"/>
    <n v="2246"/>
    <n v="4.9500000000000002E-2"/>
    <n v="1.59"/>
    <n v="3571.14"/>
    <n v="46"/>
    <n v="77.63"/>
    <n v="2662.9"/>
    <n v="-908.23999999999978"/>
    <n v="-0.25432774968217425"/>
    <n v="0.75"/>
    <s v="Low"/>
    <s v="Valid"/>
  </r>
  <r>
    <x v="118"/>
    <x v="7"/>
    <s v="Meta Ads"/>
    <x v="3"/>
    <s v="Healthcare"/>
    <x v="0"/>
    <n v="196432"/>
    <n v="6501"/>
    <n v="3.3099999999999997E-2"/>
    <n v="0.4"/>
    <n v="2600.4"/>
    <n v="462"/>
    <n v="5.63"/>
    <n v="52195.74"/>
    <n v="49595.34"/>
    <n v="19.072196585140745"/>
    <n v="20.07"/>
    <s v="High"/>
    <s v="Valid"/>
  </r>
  <r>
    <x v="269"/>
    <x v="9"/>
    <s v="TikTok Ads"/>
    <x v="0"/>
    <s v="EdTech"/>
    <x v="5"/>
    <n v="71470"/>
    <n v="2065"/>
    <n v="2.8899999999999999E-2"/>
    <n v="1.18"/>
    <n v="2436.6999999999998"/>
    <n v="37"/>
    <n v="65.86"/>
    <n v="10377.15"/>
    <n v="7940.45"/>
    <n v="3.2586900316001151"/>
    <n v="4.26"/>
    <s v="High"/>
    <s v="Valid"/>
  </r>
  <r>
    <x v="293"/>
    <x v="0"/>
    <s v="TikTok Ads"/>
    <x v="3"/>
    <s v="SaaS"/>
    <x v="2"/>
    <n v="103026"/>
    <n v="9066"/>
    <n v="8.7999999999999995E-2"/>
    <n v="1.43"/>
    <n v="12964.38"/>
    <n v="278"/>
    <n v="46.63"/>
    <n v="46631"/>
    <n v="33666.620000000003"/>
    <n v="2.5968553837514796"/>
    <n v="3.6"/>
    <s v="High"/>
    <s v="Valid"/>
  </r>
  <r>
    <x v="329"/>
    <x v="10"/>
    <s v="Meta Ads"/>
    <x v="3"/>
    <s v="Fintech"/>
    <x v="5"/>
    <n v="140793"/>
    <n v="2886"/>
    <n v="2.0500000000000001E-2"/>
    <n v="1.52"/>
    <n v="4386.72"/>
    <n v="141"/>
    <n v="31.11"/>
    <n v="12104.44"/>
    <n v="7717.72"/>
    <n v="1.7593372724951672"/>
    <n v="2.76"/>
    <s v="Medium"/>
    <s v="Valid"/>
  </r>
  <r>
    <x v="155"/>
    <x v="10"/>
    <s v="Meta Ads"/>
    <x v="0"/>
    <s v="Fintech"/>
    <x v="4"/>
    <n v="8970"/>
    <n v="306"/>
    <n v="3.4200000000000001E-2"/>
    <n v="0.6"/>
    <n v="183.6"/>
    <n v="22"/>
    <n v="8.35"/>
    <n v="4976.05"/>
    <n v="4792.45"/>
    <n v="26.102668845315904"/>
    <n v="27.1"/>
    <s v="High"/>
    <s v="Valid"/>
  </r>
  <r>
    <x v="327"/>
    <x v="9"/>
    <s v="Meta Ads"/>
    <x v="3"/>
    <s v="Fintech"/>
    <x v="3"/>
    <n v="177825"/>
    <n v="4285"/>
    <n v="2.41E-2"/>
    <n v="0.78"/>
    <n v="3342.3"/>
    <n v="163"/>
    <n v="20.5"/>
    <n v="29602.7"/>
    <n v="26260.400000000001"/>
    <n v="7.8569847111270681"/>
    <n v="8.86"/>
    <s v="High"/>
    <s v="Valid"/>
  </r>
  <r>
    <x v="96"/>
    <x v="9"/>
    <s v="Meta Ads"/>
    <x v="3"/>
    <s v="SaaS"/>
    <x v="0"/>
    <n v="122512"/>
    <n v="4532"/>
    <n v="3.6999999999999998E-2"/>
    <n v="1.84"/>
    <n v="8338.8799999999992"/>
    <n v="61"/>
    <n v="136.69999999999999"/>
    <n v="5305.8"/>
    <n v="-3033.079999999999"/>
    <n v="-0.3637275029740204"/>
    <n v="0.64"/>
    <s v="Low"/>
    <s v="Valid"/>
  </r>
  <r>
    <x v="77"/>
    <x v="1"/>
    <s v="Google Ads"/>
    <x v="0"/>
    <s v="EdTech"/>
    <x v="4"/>
    <n v="107548"/>
    <n v="4258"/>
    <n v="3.9600000000000003E-2"/>
    <n v="3.2"/>
    <n v="13625.6"/>
    <n v="145"/>
    <n v="93.97"/>
    <n v="17656.919999999998"/>
    <n v="4031.3199999999979"/>
    <n v="0.29586366838891481"/>
    <n v="1.3"/>
    <s v="Medium"/>
    <s v="Valid"/>
  </r>
  <r>
    <x v="208"/>
    <x v="10"/>
    <s v="TikTok Ads"/>
    <x v="3"/>
    <s v="Healthcare"/>
    <x v="1"/>
    <n v="89224"/>
    <n v="5255"/>
    <n v="5.8900000000000001E-2"/>
    <n v="1.99"/>
    <n v="10457.450000000001"/>
    <n v="336"/>
    <n v="31.12"/>
    <n v="94667.83"/>
    <n v="84210.38"/>
    <n v="8.0526686716168854"/>
    <n v="9.0500000000000007"/>
    <s v="High"/>
    <s v="Valid"/>
  </r>
  <r>
    <x v="145"/>
    <x v="3"/>
    <s v="Meta Ads"/>
    <x v="3"/>
    <s v="E-commerce"/>
    <x v="1"/>
    <n v="100561"/>
    <n v="3781"/>
    <n v="3.7600000000000001E-2"/>
    <n v="1.39"/>
    <n v="5255.59"/>
    <n v="124"/>
    <n v="42.38"/>
    <n v="34626.86"/>
    <n v="29371.27"/>
    <n v="5.5885771150337069"/>
    <n v="6.59"/>
    <s v="High"/>
    <s v="Valid"/>
  </r>
  <r>
    <x v="213"/>
    <x v="8"/>
    <s v="Google Ads"/>
    <x v="0"/>
    <s v="Fintech"/>
    <x v="0"/>
    <n v="50111"/>
    <n v="2320"/>
    <n v="4.6300000000000001E-2"/>
    <n v="2.73"/>
    <n v="6333.6"/>
    <n v="153"/>
    <n v="41.4"/>
    <n v="30016.66"/>
    <n v="23683.059999999998"/>
    <n v="3.7392730832385999"/>
    <n v="4.74"/>
    <s v="High"/>
    <s v="Valid"/>
  </r>
  <r>
    <x v="127"/>
    <x v="11"/>
    <s v="Google Ads"/>
    <x v="3"/>
    <s v="SaaS"/>
    <x v="3"/>
    <n v="65985"/>
    <n v="1445"/>
    <n v="2.1899999999999999E-2"/>
    <n v="0.82"/>
    <n v="1184.9000000000001"/>
    <n v="63"/>
    <n v="18.809999999999999"/>
    <n v="4237.8500000000004"/>
    <n v="3052.9500000000003"/>
    <n v="2.5765465440121531"/>
    <n v="3.58"/>
    <s v="High"/>
    <s v="Valid"/>
  </r>
  <r>
    <x v="85"/>
    <x v="10"/>
    <s v="Meta Ads"/>
    <x v="1"/>
    <s v="E-commerce"/>
    <x v="3"/>
    <n v="93257"/>
    <n v="1930"/>
    <n v="2.07E-2"/>
    <n v="1.32"/>
    <n v="2547.6"/>
    <n v="102"/>
    <n v="24.98"/>
    <n v="26767.95"/>
    <n v="24220.350000000002"/>
    <n v="9.5071243523316067"/>
    <n v="10.51"/>
    <s v="High"/>
    <s v="Valid"/>
  </r>
  <r>
    <x v="112"/>
    <x v="9"/>
    <s v="TikTok Ads"/>
    <x v="0"/>
    <s v="SaaS"/>
    <x v="5"/>
    <n v="102847"/>
    <n v="6458"/>
    <n v="6.2799999999999995E-2"/>
    <n v="1.17"/>
    <n v="7555.86"/>
    <n v="314"/>
    <n v="24.06"/>
    <n v="81199.399999999994"/>
    <n v="73643.539999999994"/>
    <n v="9.7465463891602013"/>
    <n v="10.75"/>
    <s v="High"/>
    <s v="Valid"/>
  </r>
  <r>
    <x v="106"/>
    <x v="2"/>
    <s v="Meta Ads"/>
    <x v="0"/>
    <s v="SaaS"/>
    <x v="0"/>
    <n v="161738"/>
    <n v="5046"/>
    <n v="3.1199999999999999E-2"/>
    <n v="1.66"/>
    <n v="8376.36"/>
    <n v="258"/>
    <n v="32.47"/>
    <n v="29417.67"/>
    <n v="21041.309999999998"/>
    <n v="2.5119873071357959"/>
    <n v="3.51"/>
    <s v="High"/>
    <s v="Valid"/>
  </r>
  <r>
    <x v="239"/>
    <x v="8"/>
    <s v="Meta Ads"/>
    <x v="2"/>
    <s v="Healthcare"/>
    <x v="6"/>
    <n v="46516"/>
    <n v="772"/>
    <n v="1.66E-2"/>
    <n v="0.59"/>
    <n v="455.48"/>
    <n v="39"/>
    <n v="11.68"/>
    <n v="4874.74"/>
    <n v="4419.26"/>
    <n v="9.7024238166330026"/>
    <n v="10.7"/>
    <s v="High"/>
    <s v="Valid"/>
  </r>
  <r>
    <x v="143"/>
    <x v="6"/>
    <s v="Google Ads"/>
    <x v="1"/>
    <s v="SaaS"/>
    <x v="4"/>
    <n v="7802"/>
    <n v="340"/>
    <n v="4.3700000000000003E-2"/>
    <n v="2.37"/>
    <n v="805.8"/>
    <n v="14"/>
    <n v="57.56"/>
    <n v="799.08"/>
    <n v="-6.7199999999999136"/>
    <n v="-8.3395383469842561E-3"/>
    <n v="0.99"/>
    <s v="Low"/>
    <s v="Valid"/>
  </r>
  <r>
    <x v="309"/>
    <x v="3"/>
    <s v="Google Ads"/>
    <x v="0"/>
    <s v="EdTech"/>
    <x v="2"/>
    <n v="15960"/>
    <n v="750"/>
    <n v="4.7E-2"/>
    <n v="1.72"/>
    <n v="1290"/>
    <n v="40"/>
    <n v="32.25"/>
    <n v="6919.55"/>
    <n v="5629.55"/>
    <n v="4.3639922480620159"/>
    <n v="5.36"/>
    <s v="High"/>
    <s v="Valid"/>
  </r>
  <r>
    <x v="214"/>
    <x v="0"/>
    <s v="TikTok Ads"/>
    <x v="2"/>
    <s v="SaaS"/>
    <x v="6"/>
    <n v="55701"/>
    <n v="4138"/>
    <n v="7.4300000000000005E-2"/>
    <n v="0.34"/>
    <n v="1406.92"/>
    <n v="229"/>
    <n v="6.14"/>
    <n v="20016.59"/>
    <n v="18609.669999999998"/>
    <n v="13.227241065590082"/>
    <n v="14.23"/>
    <s v="High"/>
    <s v="Valid"/>
  </r>
  <r>
    <x v="52"/>
    <x v="1"/>
    <s v="Google Ads"/>
    <x v="3"/>
    <s v="E-commerce"/>
    <x v="5"/>
    <n v="64757"/>
    <n v="3976"/>
    <n v="6.1400000000000003E-2"/>
    <n v="1.43"/>
    <n v="5685.68"/>
    <n v="58"/>
    <n v="98.03"/>
    <n v="4380.33"/>
    <n v="-1305.3500000000004"/>
    <n v="-0.2295855552897807"/>
    <n v="0.77"/>
    <s v="Low"/>
    <s v="Valid"/>
  </r>
  <r>
    <x v="76"/>
    <x v="5"/>
    <s v="TikTok Ads"/>
    <x v="0"/>
    <s v="SaaS"/>
    <x v="1"/>
    <n v="199291"/>
    <n v="16660"/>
    <n v="8.3599999999999994E-2"/>
    <n v="1.1599999999999999"/>
    <n v="19325.599999999999"/>
    <n v="1016"/>
    <n v="19.02"/>
    <n v="207611.26"/>
    <n v="188285.66"/>
    <n v="9.7428105725048653"/>
    <n v="10.74"/>
    <s v="High"/>
    <s v="Valid"/>
  </r>
  <r>
    <x v="74"/>
    <x v="7"/>
    <s v="TikTok Ads"/>
    <x v="2"/>
    <s v="EdTech"/>
    <x v="1"/>
    <n v="116800"/>
    <n v="8351"/>
    <n v="7.1499999999999994E-2"/>
    <n v="0.7"/>
    <n v="5845.7"/>
    <n v="493"/>
    <n v="11.86"/>
    <n v="80828.759999999995"/>
    <n v="74983.06"/>
    <n v="12.827045520639102"/>
    <n v="13.83"/>
    <s v="High"/>
    <s v="Valid"/>
  </r>
  <r>
    <x v="326"/>
    <x v="3"/>
    <s v="Meta Ads"/>
    <x v="2"/>
    <s v="Healthcare"/>
    <x v="4"/>
    <n v="88470"/>
    <n v="2459"/>
    <n v="2.7799999999999998E-2"/>
    <n v="0.99"/>
    <n v="2434.41"/>
    <n v="165"/>
    <n v="14.75"/>
    <n v="44145"/>
    <n v="41710.589999999997"/>
    <n v="17.133757255351398"/>
    <n v="18.13"/>
    <s v="High"/>
    <s v="Valid"/>
  </r>
  <r>
    <x v="40"/>
    <x v="11"/>
    <s v="TikTok Ads"/>
    <x v="3"/>
    <s v="Healthcare"/>
    <x v="6"/>
    <n v="186782"/>
    <n v="14270"/>
    <n v="7.6399999999999996E-2"/>
    <n v="1.08"/>
    <n v="15411.6"/>
    <n v="931"/>
    <n v="16.55"/>
    <n v="224929.42"/>
    <n v="209517.82"/>
    <n v="13.594812998001505"/>
    <n v="14.59"/>
    <s v="High"/>
    <s v="Valid"/>
  </r>
  <r>
    <x v="262"/>
    <x v="9"/>
    <s v="Google Ads"/>
    <x v="3"/>
    <s v="Healthcare"/>
    <x v="0"/>
    <n v="121832"/>
    <n v="6786"/>
    <n v="5.57E-2"/>
    <n v="1.18"/>
    <n v="8007.48"/>
    <n v="139"/>
    <n v="57.61"/>
    <n v="28929.72"/>
    <n v="20922.240000000002"/>
    <n v="2.6128369974074244"/>
    <n v="3.61"/>
    <s v="High"/>
    <s v="Valid"/>
  </r>
  <r>
    <x v="11"/>
    <x v="7"/>
    <s v="Google Ads"/>
    <x v="1"/>
    <s v="E-commerce"/>
    <x v="2"/>
    <n v="88514"/>
    <n v="1610"/>
    <n v="1.8200000000000001E-2"/>
    <n v="0.86"/>
    <n v="1384.6"/>
    <n v="77"/>
    <n v="17.98"/>
    <n v="22165.040000000001"/>
    <n v="20780.440000000002"/>
    <n v="15.008262314025714"/>
    <n v="16.010000000000002"/>
    <s v="High"/>
    <s v="Valid"/>
  </r>
  <r>
    <x v="35"/>
    <x v="3"/>
    <s v="Meta Ads"/>
    <x v="3"/>
    <s v="Fintech"/>
    <x v="5"/>
    <n v="125424"/>
    <n v="3787"/>
    <n v="3.0200000000000001E-2"/>
    <n v="0.48"/>
    <n v="1817.76"/>
    <n v="253"/>
    <n v="7.18"/>
    <n v="36320.54"/>
    <n v="34502.78"/>
    <n v="18.980932576357713"/>
    <n v="19.98"/>
    <s v="High"/>
    <s v="Valid"/>
  </r>
  <r>
    <x v="132"/>
    <x v="9"/>
    <s v="TikTok Ads"/>
    <x v="1"/>
    <s v="Healthcare"/>
    <x v="0"/>
    <n v="23883"/>
    <n v="1332"/>
    <n v="5.5800000000000002E-2"/>
    <n v="1.56"/>
    <n v="2077.92"/>
    <n v="66"/>
    <n v="31.48"/>
    <n v="10903.46"/>
    <n v="8825.5399999999991"/>
    <n v="4.2472953722953717"/>
    <n v="5.25"/>
    <s v="High"/>
    <s v="Valid"/>
  </r>
  <r>
    <x v="330"/>
    <x v="8"/>
    <s v="Meta Ads"/>
    <x v="2"/>
    <s v="E-commerce"/>
    <x v="3"/>
    <n v="49864"/>
    <n v="2074"/>
    <n v="4.1599999999999998E-2"/>
    <n v="1.75"/>
    <n v="3629.5"/>
    <n v="73"/>
    <n v="49.72"/>
    <n v="14018.44"/>
    <n v="10388.94"/>
    <n v="2.862361206777793"/>
    <n v="3.86"/>
    <s v="High"/>
    <s v="Valid"/>
  </r>
  <r>
    <x v="167"/>
    <x v="10"/>
    <s v="Google Ads"/>
    <x v="1"/>
    <s v="SaaS"/>
    <x v="0"/>
    <n v="190890"/>
    <n v="7616"/>
    <n v="3.9899999999999998E-2"/>
    <n v="1.1599999999999999"/>
    <n v="8834.56"/>
    <n v="141"/>
    <n v="62.66"/>
    <n v="25751.07"/>
    <n v="16916.510000000002"/>
    <n v="1.9148106979860913"/>
    <n v="2.91"/>
    <s v="Medium"/>
    <s v="Valid"/>
  </r>
  <r>
    <x v="143"/>
    <x v="6"/>
    <s v="Google Ads"/>
    <x v="3"/>
    <s v="EdTech"/>
    <x v="1"/>
    <n v="146295"/>
    <n v="3394"/>
    <n v="2.3199999999999998E-2"/>
    <n v="3.41"/>
    <n v="11573.54"/>
    <n v="195"/>
    <n v="59.35"/>
    <n v="49666.69"/>
    <n v="38093.15"/>
    <n v="3.2914000383633701"/>
    <n v="4.29"/>
    <s v="High"/>
    <s v="Valid"/>
  </r>
  <r>
    <x v="68"/>
    <x v="7"/>
    <s v="Meta Ads"/>
    <x v="0"/>
    <s v="SaaS"/>
    <x v="5"/>
    <n v="29343"/>
    <n v="346"/>
    <n v="1.18E-2"/>
    <n v="2.0099999999999998"/>
    <n v="695.46"/>
    <n v="7"/>
    <n v="99.35"/>
    <n v="672.01"/>
    <n v="-23.450000000000045"/>
    <n v="-3.3718689788054014E-2"/>
    <n v="0.97"/>
    <s v="Low"/>
    <s v="Valid"/>
  </r>
  <r>
    <x v="136"/>
    <x v="7"/>
    <s v="TikTok Ads"/>
    <x v="3"/>
    <s v="EdTech"/>
    <x v="6"/>
    <n v="154712"/>
    <n v="10288"/>
    <n v="6.6500000000000004E-2"/>
    <n v="1.08"/>
    <n v="11111.04"/>
    <n v="439"/>
    <n v="25.31"/>
    <n v="80440.02"/>
    <n v="69328.98000000001"/>
    <n v="6.239648133748056"/>
    <n v="7.24"/>
    <s v="High"/>
    <s v="Valid"/>
  </r>
  <r>
    <x v="224"/>
    <x v="5"/>
    <s v="TikTok Ads"/>
    <x v="1"/>
    <s v="EdTech"/>
    <x v="3"/>
    <n v="60438"/>
    <n v="5554"/>
    <n v="9.1899999999999996E-2"/>
    <n v="1.44"/>
    <n v="7997.76"/>
    <n v="286"/>
    <n v="27.96"/>
    <n v="35506.6"/>
    <n v="27508.839999999997"/>
    <n v="3.4395680790621368"/>
    <n v="4.4400000000000004"/>
    <s v="High"/>
    <s v="Valid"/>
  </r>
  <r>
    <x v="331"/>
    <x v="1"/>
    <s v="Google Ads"/>
    <x v="2"/>
    <s v="EdTech"/>
    <x v="6"/>
    <n v="18149"/>
    <n v="918"/>
    <n v="5.0599999999999999E-2"/>
    <n v="1.62"/>
    <n v="1487.16"/>
    <n v="14"/>
    <n v="106.23"/>
    <n v="3557.93"/>
    <n v="2070.7699999999995"/>
    <n v="1.3924325560128026"/>
    <n v="2.39"/>
    <s v="Medium"/>
    <s v="Valid"/>
  </r>
  <r>
    <x v="200"/>
    <x v="3"/>
    <s v="TikTok Ads"/>
    <x v="2"/>
    <s v="SaaS"/>
    <x v="3"/>
    <n v="39626"/>
    <n v="1172"/>
    <n v="2.9600000000000001E-2"/>
    <n v="0.57999999999999996"/>
    <n v="679.76"/>
    <n v="22"/>
    <n v="30.9"/>
    <n v="1100.5899999999999"/>
    <n v="420.82999999999993"/>
    <n v="0.61908614805225359"/>
    <n v="1.62"/>
    <s v="Medium"/>
    <s v="Valid"/>
  </r>
  <r>
    <x v="322"/>
    <x v="5"/>
    <s v="TikTok Ads"/>
    <x v="2"/>
    <s v="E-commerce"/>
    <x v="0"/>
    <n v="103730"/>
    <n v="4335"/>
    <n v="4.1799999999999997E-2"/>
    <n v="1.48"/>
    <n v="6415.8"/>
    <n v="104"/>
    <n v="61.69"/>
    <n v="27379.91"/>
    <n v="20964.11"/>
    <n v="3.2675753608279559"/>
    <n v="4.2699999999999996"/>
    <s v="High"/>
    <s v="Valid"/>
  </r>
  <r>
    <x v="332"/>
    <x v="1"/>
    <s v="Google Ads"/>
    <x v="3"/>
    <s v="Healthcare"/>
    <x v="2"/>
    <n v="35346"/>
    <n v="1279"/>
    <n v="3.6200000000000003E-2"/>
    <n v="2.54"/>
    <n v="3248.66"/>
    <n v="48"/>
    <n v="67.680000000000007"/>
    <n v="1649.56"/>
    <n v="-1599.1"/>
    <n v="-0.49223372098034268"/>
    <n v="0.51"/>
    <s v="Low"/>
    <s v="Valid"/>
  </r>
  <r>
    <x v="303"/>
    <x v="0"/>
    <s v="Meta Ads"/>
    <x v="1"/>
    <s v="Healthcare"/>
    <x v="6"/>
    <n v="57776"/>
    <n v="1490"/>
    <n v="2.58E-2"/>
    <n v="1.18"/>
    <n v="1758.2"/>
    <n v="107"/>
    <n v="16.43"/>
    <n v="22435.51"/>
    <n v="20677.309999999998"/>
    <n v="11.760499374360139"/>
    <n v="12.76"/>
    <s v="High"/>
    <s v="Valid"/>
  </r>
  <r>
    <x v="136"/>
    <x v="7"/>
    <s v="Meta Ads"/>
    <x v="2"/>
    <s v="SaaS"/>
    <x v="0"/>
    <n v="178916"/>
    <n v="4723"/>
    <n v="2.64E-2"/>
    <n v="1.54"/>
    <n v="7273.42"/>
    <n v="147"/>
    <n v="49.48"/>
    <n v="29612.74"/>
    <n v="22339.32"/>
    <n v="3.0713639525835164"/>
    <n v="4.07"/>
    <s v="High"/>
    <s v="Valid"/>
  </r>
  <r>
    <x v="91"/>
    <x v="9"/>
    <s v="Meta Ads"/>
    <x v="0"/>
    <s v="Fintech"/>
    <x v="4"/>
    <n v="34778"/>
    <n v="705"/>
    <n v="2.0299999999999999E-2"/>
    <n v="1.56"/>
    <n v="1099.8"/>
    <n v="35"/>
    <n v="31.42"/>
    <n v="2280.29"/>
    <n v="1180.49"/>
    <n v="1.0733678850700128"/>
    <n v="2.0699999999999998"/>
    <s v="Medium"/>
    <s v="Valid"/>
  </r>
  <r>
    <x v="48"/>
    <x v="1"/>
    <s v="TikTok Ads"/>
    <x v="0"/>
    <s v="Fintech"/>
    <x v="6"/>
    <n v="179120"/>
    <n v="8794"/>
    <n v="4.9099999999999998E-2"/>
    <n v="0.96"/>
    <n v="8442.24"/>
    <n v="646"/>
    <n v="13.07"/>
    <n v="31918.959999999999"/>
    <n v="23476.720000000001"/>
    <n v="2.7808638465620499"/>
    <n v="3.78"/>
    <s v="High"/>
    <s v="Valid"/>
  </r>
  <r>
    <x v="237"/>
    <x v="1"/>
    <s v="Meta Ads"/>
    <x v="3"/>
    <s v="Fintech"/>
    <x v="0"/>
    <n v="91706"/>
    <n v="1650"/>
    <n v="1.7999999999999999E-2"/>
    <n v="1.68"/>
    <n v="2772"/>
    <n v="80"/>
    <n v="34.65"/>
    <n v="8391.32"/>
    <n v="5619.32"/>
    <n v="2.0271717171717172"/>
    <n v="3.03"/>
    <s v="High"/>
    <s v="Valid"/>
  </r>
  <r>
    <x v="135"/>
    <x v="7"/>
    <s v="Meta Ads"/>
    <x v="3"/>
    <s v="EdTech"/>
    <x v="3"/>
    <n v="7056"/>
    <n v="227"/>
    <n v="3.2199999999999999E-2"/>
    <n v="0.82"/>
    <n v="186.14"/>
    <n v="6"/>
    <n v="31.02"/>
    <n v="1653.16"/>
    <n v="1467.02"/>
    <n v="7.8812721607392291"/>
    <n v="8.8800000000000008"/>
    <s v="High"/>
    <s v="Valid"/>
  </r>
  <r>
    <x v="0"/>
    <x v="0"/>
    <s v="Meta Ads"/>
    <x v="3"/>
    <s v="E-commerce"/>
    <x v="3"/>
    <n v="161646"/>
    <n v="5253"/>
    <n v="3.2500000000000001E-2"/>
    <n v="1"/>
    <n v="5253"/>
    <n v="228"/>
    <n v="23.04"/>
    <n v="43732.39"/>
    <n v="38479.39"/>
    <n v="7.3252217780316009"/>
    <n v="8.33"/>
    <s v="High"/>
    <s v="Valid"/>
  </r>
  <r>
    <x v="7"/>
    <x v="5"/>
    <s v="Google Ads"/>
    <x v="1"/>
    <s v="SaaS"/>
    <x v="4"/>
    <n v="177115"/>
    <n v="8005"/>
    <n v="4.5199999999999997E-2"/>
    <n v="2.9"/>
    <n v="23214.5"/>
    <n v="460"/>
    <n v="50.47"/>
    <n v="108688.43"/>
    <n v="85473.93"/>
    <n v="3.6819199207391931"/>
    <n v="4.68"/>
    <s v="High"/>
    <s v="Valid"/>
  </r>
  <r>
    <x v="169"/>
    <x v="3"/>
    <s v="TikTok Ads"/>
    <x v="0"/>
    <s v="Healthcare"/>
    <x v="6"/>
    <n v="141087"/>
    <n v="10609"/>
    <n v="7.5200000000000003E-2"/>
    <n v="0.44"/>
    <n v="4667.96"/>
    <n v="737"/>
    <n v="6.33"/>
    <n v="190244.62"/>
    <n v="185576.66"/>
    <n v="39.75540921516037"/>
    <n v="40.76"/>
    <s v="High"/>
    <s v="Valid"/>
  </r>
  <r>
    <x v="216"/>
    <x v="6"/>
    <s v="TikTok Ads"/>
    <x v="1"/>
    <s v="SaaS"/>
    <x v="6"/>
    <n v="184745"/>
    <n v="12451"/>
    <n v="6.7400000000000002E-2"/>
    <n v="1.67"/>
    <n v="20793.169999999998"/>
    <n v="404"/>
    <n v="51.47"/>
    <n v="23357.33"/>
    <n v="2564.1600000000035"/>
    <n v="0.12331741624773922"/>
    <n v="1.1200000000000001"/>
    <s v="Medium"/>
    <s v="Valid"/>
  </r>
  <r>
    <x v="99"/>
    <x v="7"/>
    <s v="Google Ads"/>
    <x v="2"/>
    <s v="E-commerce"/>
    <x v="0"/>
    <n v="104969"/>
    <n v="5773"/>
    <n v="5.5E-2"/>
    <n v="1.42"/>
    <n v="8197.66"/>
    <n v="142"/>
    <n v="57.73"/>
    <n v="24245.52"/>
    <n v="16047.86"/>
    <n v="1.9576147339606669"/>
    <n v="2.96"/>
    <s v="Medium"/>
    <s v="Valid"/>
  </r>
  <r>
    <x v="173"/>
    <x v="1"/>
    <s v="TikTok Ads"/>
    <x v="2"/>
    <s v="Fintech"/>
    <x v="5"/>
    <n v="80885"/>
    <n v="3995"/>
    <n v="4.9399999999999999E-2"/>
    <n v="0.44"/>
    <n v="1757.8"/>
    <n v="79"/>
    <n v="22.25"/>
    <n v="10692.34"/>
    <n v="8934.5400000000009"/>
    <n v="5.0827966776652644"/>
    <n v="6.08"/>
    <s v="High"/>
    <s v="Valid"/>
  </r>
  <r>
    <x v="78"/>
    <x v="5"/>
    <s v="Google Ads"/>
    <x v="1"/>
    <s v="E-commerce"/>
    <x v="4"/>
    <n v="33807"/>
    <n v="807"/>
    <n v="2.3900000000000001E-2"/>
    <n v="2.0299999999999998"/>
    <n v="1638.21"/>
    <n v="25"/>
    <n v="65.53"/>
    <n v="5072.7700000000004"/>
    <n v="3434.5600000000004"/>
    <n v="2.0965321906226921"/>
    <n v="3.1"/>
    <s v="High"/>
    <s v="Valid"/>
  </r>
  <r>
    <x v="37"/>
    <x v="11"/>
    <s v="Meta Ads"/>
    <x v="0"/>
    <s v="SaaS"/>
    <x v="5"/>
    <n v="198074"/>
    <n v="5783"/>
    <n v="2.92E-2"/>
    <n v="0.61"/>
    <n v="3527.63"/>
    <n v="263"/>
    <n v="13.41"/>
    <n v="60037.86"/>
    <n v="56510.23"/>
    <n v="16.019318919501195"/>
    <n v="17.02"/>
    <s v="High"/>
    <s v="Valid"/>
  </r>
  <r>
    <x v="333"/>
    <x v="6"/>
    <s v="Google Ads"/>
    <x v="0"/>
    <s v="EdTech"/>
    <x v="1"/>
    <n v="115282"/>
    <n v="4876"/>
    <n v="4.2299999999999997E-2"/>
    <n v="3.76"/>
    <n v="18333.759999999998"/>
    <n v="77"/>
    <n v="238.1"/>
    <n v="2427.15"/>
    <n v="-15906.609999999999"/>
    <n v="-0.86761308100466028"/>
    <n v="0.13"/>
    <s v="Low"/>
    <s v="Valid"/>
  </r>
  <r>
    <x v="29"/>
    <x v="2"/>
    <s v="Google Ads"/>
    <x v="3"/>
    <s v="Healthcare"/>
    <x v="2"/>
    <n v="45880"/>
    <n v="2817"/>
    <n v="6.1400000000000003E-2"/>
    <n v="1.1399999999999999"/>
    <n v="3211.38"/>
    <n v="62"/>
    <n v="51.8"/>
    <n v="2770.83"/>
    <n v="-440.55000000000018"/>
    <n v="-0.13718401434897151"/>
    <n v="0.86"/>
    <s v="Low"/>
    <s v="Valid"/>
  </r>
  <r>
    <x v="95"/>
    <x v="8"/>
    <s v="Meta Ads"/>
    <x v="0"/>
    <s v="Healthcare"/>
    <x v="3"/>
    <n v="20993"/>
    <n v="583"/>
    <n v="2.7799999999999998E-2"/>
    <n v="1.28"/>
    <n v="746.24"/>
    <n v="45"/>
    <n v="16.579999999999998"/>
    <n v="4493.83"/>
    <n v="3747.59"/>
    <n v="5.0219634433962268"/>
    <n v="6.02"/>
    <s v="High"/>
    <s v="Valid"/>
  </r>
  <r>
    <x v="334"/>
    <x v="11"/>
    <s v="Google Ads"/>
    <x v="1"/>
    <s v="SaaS"/>
    <x v="4"/>
    <n v="183448"/>
    <n v="8053"/>
    <n v="4.3900000000000002E-2"/>
    <n v="2.08"/>
    <n v="16750.240000000002"/>
    <n v="351"/>
    <n v="47.72"/>
    <n v="74979.38"/>
    <n v="58229.14"/>
    <n v="3.4763167572524329"/>
    <n v="4.4800000000000004"/>
    <s v="High"/>
    <s v="Valid"/>
  </r>
  <r>
    <x v="0"/>
    <x v="0"/>
    <s v="TikTok Ads"/>
    <x v="2"/>
    <s v="EdTech"/>
    <x v="0"/>
    <n v="119944"/>
    <n v="9331"/>
    <n v="7.7799999999999994E-2"/>
    <n v="0.61"/>
    <n v="5691.91"/>
    <n v="717"/>
    <n v="7.94"/>
    <n v="101587.49"/>
    <n v="95895.58"/>
    <n v="16.847697872945989"/>
    <n v="17.850000000000001"/>
    <s v="High"/>
    <s v="Valid"/>
  </r>
  <r>
    <x v="232"/>
    <x v="0"/>
    <s v="TikTok Ads"/>
    <x v="0"/>
    <s v="Healthcare"/>
    <x v="4"/>
    <n v="69198"/>
    <n v="3529"/>
    <n v="5.0999999999999997E-2"/>
    <n v="0.55000000000000004"/>
    <n v="1940.95"/>
    <n v="256"/>
    <n v="7.58"/>
    <n v="15199.33"/>
    <n v="13258.38"/>
    <n v="6.8308714804605986"/>
    <n v="7.83"/>
    <s v="High"/>
    <s v="Valid"/>
  </r>
  <r>
    <x v="262"/>
    <x v="9"/>
    <s v="Meta Ads"/>
    <x v="0"/>
    <s v="Healthcare"/>
    <x v="1"/>
    <n v="46936"/>
    <n v="2234"/>
    <n v="4.7600000000000003E-2"/>
    <n v="0.79"/>
    <n v="1764.86"/>
    <n v="55"/>
    <n v="32.090000000000003"/>
    <n v="5977.87"/>
    <n v="4213.01"/>
    <n v="2.3871638543567197"/>
    <n v="3.39"/>
    <s v="High"/>
    <s v="Valid"/>
  </r>
  <r>
    <x v="18"/>
    <x v="10"/>
    <s v="TikTok Ads"/>
    <x v="1"/>
    <s v="EdTech"/>
    <x v="5"/>
    <n v="21689"/>
    <n v="895"/>
    <n v="4.1300000000000003E-2"/>
    <n v="0.95"/>
    <n v="850.25"/>
    <n v="22"/>
    <n v="38.65"/>
    <n v="4747.38"/>
    <n v="3897.13"/>
    <n v="4.583510732137607"/>
    <n v="5.58"/>
    <s v="High"/>
    <s v="Valid"/>
  </r>
  <r>
    <x v="147"/>
    <x v="11"/>
    <s v="TikTok Ads"/>
    <x v="0"/>
    <s v="EdTech"/>
    <x v="5"/>
    <n v="24504"/>
    <n v="899"/>
    <n v="3.6700000000000003E-2"/>
    <n v="1.42"/>
    <n v="1276.58"/>
    <n v="41"/>
    <n v="31.14"/>
    <n v="3721.4"/>
    <n v="2444.8200000000002"/>
    <n v="1.9151326199689798"/>
    <n v="2.92"/>
    <s v="Medium"/>
    <s v="Valid"/>
  </r>
  <r>
    <x v="196"/>
    <x v="5"/>
    <s v="Meta Ads"/>
    <x v="2"/>
    <s v="E-commerce"/>
    <x v="4"/>
    <n v="119053"/>
    <n v="4000"/>
    <n v="3.3599999999999998E-2"/>
    <n v="1.01"/>
    <n v="4040"/>
    <n v="152"/>
    <n v="26.58"/>
    <n v="25959.16"/>
    <n v="21919.16"/>
    <n v="5.4255346534653466"/>
    <n v="6.43"/>
    <s v="High"/>
    <s v="Valid"/>
  </r>
  <r>
    <x v="0"/>
    <x v="0"/>
    <s v="TikTok Ads"/>
    <x v="0"/>
    <s v="Healthcare"/>
    <x v="4"/>
    <n v="160522"/>
    <n v="5425"/>
    <n v="3.3799999999999997E-2"/>
    <n v="1.1100000000000001"/>
    <n v="6021.75"/>
    <n v="398"/>
    <n v="15.13"/>
    <n v="79057.929999999993"/>
    <n v="73036.179999999993"/>
    <n v="12.128730020342923"/>
    <n v="13.13"/>
    <s v="High"/>
    <s v="Valid"/>
  </r>
  <r>
    <x v="246"/>
    <x v="4"/>
    <s v="Google Ads"/>
    <x v="2"/>
    <s v="EdTech"/>
    <x v="1"/>
    <n v="158627"/>
    <n v="7725"/>
    <n v="4.87E-2"/>
    <n v="2.88"/>
    <n v="22248"/>
    <n v="299"/>
    <n v="74.41"/>
    <n v="66700.13"/>
    <n v="44452.130000000005"/>
    <n v="1.9980281373606619"/>
    <n v="3"/>
    <s v="High"/>
    <s v="Valid"/>
  </r>
  <r>
    <x v="249"/>
    <x v="1"/>
    <s v="Meta Ads"/>
    <x v="1"/>
    <s v="SaaS"/>
    <x v="3"/>
    <n v="157955"/>
    <n v="2780"/>
    <n v="1.7600000000000001E-2"/>
    <n v="0.62"/>
    <n v="1723.6"/>
    <n v="202"/>
    <n v="8.5299999999999994"/>
    <n v="49191.360000000001"/>
    <n v="47467.76"/>
    <n v="27.539893246692969"/>
    <n v="28.54"/>
    <s v="High"/>
    <s v="Valid"/>
  </r>
  <r>
    <x v="241"/>
    <x v="11"/>
    <s v="Meta Ads"/>
    <x v="2"/>
    <s v="EdTech"/>
    <x v="2"/>
    <n v="196112"/>
    <n v="2647"/>
    <n v="1.35E-2"/>
    <n v="1.51"/>
    <n v="3996.97"/>
    <n v="187"/>
    <n v="21.37"/>
    <n v="16387.669999999998"/>
    <n v="12390.699999999999"/>
    <n v="3.1000232676252262"/>
    <n v="4.0999999999999996"/>
    <s v="High"/>
    <s v="Valid"/>
  </r>
  <r>
    <x v="199"/>
    <x v="2"/>
    <s v="Meta Ads"/>
    <x v="3"/>
    <s v="EdTech"/>
    <x v="3"/>
    <n v="67167"/>
    <n v="1907"/>
    <n v="2.8400000000000002E-2"/>
    <n v="1.43"/>
    <n v="2727.01"/>
    <n v="114"/>
    <n v="23.92"/>
    <n v="20596.75"/>
    <n v="17869.739999999998"/>
    <n v="6.5528692597386868"/>
    <n v="7.55"/>
    <s v="High"/>
    <s v="Valid"/>
  </r>
  <r>
    <x v="235"/>
    <x v="4"/>
    <s v="Google Ads"/>
    <x v="3"/>
    <s v="Healthcare"/>
    <x v="5"/>
    <n v="90550"/>
    <n v="3966"/>
    <n v="4.3799999999999999E-2"/>
    <n v="2.76"/>
    <n v="10946.16"/>
    <n v="207"/>
    <n v="52.88"/>
    <n v="7960.57"/>
    <n v="-2985.59"/>
    <n v="-0.27275227111608091"/>
    <n v="0.73"/>
    <s v="Low"/>
    <s v="Valid"/>
  </r>
  <r>
    <x v="154"/>
    <x v="7"/>
    <s v="Google Ads"/>
    <x v="2"/>
    <s v="EdTech"/>
    <x v="2"/>
    <n v="91150"/>
    <n v="4119"/>
    <n v="4.5199999999999997E-2"/>
    <n v="3.83"/>
    <n v="15775.77"/>
    <n v="98"/>
    <n v="160.97999999999999"/>
    <n v="4547.95"/>
    <n v="-11227.82"/>
    <n v="-0.71171296234668735"/>
    <n v="0.28999999999999998"/>
    <s v="Low"/>
    <s v="Valid"/>
  </r>
  <r>
    <x v="322"/>
    <x v="5"/>
    <s v="Google Ads"/>
    <x v="3"/>
    <s v="Fintech"/>
    <x v="5"/>
    <n v="157832"/>
    <n v="4072"/>
    <n v="2.58E-2"/>
    <n v="2.38"/>
    <n v="9691.36"/>
    <n v="124"/>
    <n v="78.16"/>
    <n v="34560.39"/>
    <n v="24869.03"/>
    <n v="2.5661032094566703"/>
    <n v="3.57"/>
    <s v="High"/>
    <s v="Valid"/>
  </r>
  <r>
    <x v="73"/>
    <x v="7"/>
    <s v="Google Ads"/>
    <x v="1"/>
    <s v="Fintech"/>
    <x v="5"/>
    <n v="28958"/>
    <n v="1355"/>
    <n v="4.6800000000000001E-2"/>
    <n v="2.87"/>
    <n v="3888.85"/>
    <n v="49"/>
    <n v="79.36"/>
    <n v="13909.3"/>
    <n v="10020.449999999999"/>
    <n v="2.5767129099862425"/>
    <n v="3.58"/>
    <s v="High"/>
    <s v="Valid"/>
  </r>
  <r>
    <x v="102"/>
    <x v="6"/>
    <s v="Meta Ads"/>
    <x v="2"/>
    <s v="EdTech"/>
    <x v="0"/>
    <n v="8487"/>
    <n v="271"/>
    <n v="3.2000000000000001E-2"/>
    <n v="0.91"/>
    <n v="246.61"/>
    <n v="14"/>
    <n v="17.62"/>
    <n v="4179.96"/>
    <n v="3933.35"/>
    <n v="15.949677628644418"/>
    <n v="16.95"/>
    <s v="High"/>
    <s v="Valid"/>
  </r>
  <r>
    <x v="144"/>
    <x v="0"/>
    <s v="Meta Ads"/>
    <x v="2"/>
    <s v="Healthcare"/>
    <x v="4"/>
    <n v="91284"/>
    <n v="2126"/>
    <n v="2.3300000000000001E-2"/>
    <n v="0.92"/>
    <n v="1955.92"/>
    <n v="132"/>
    <n v="14.82"/>
    <n v="23916.94"/>
    <n v="21961.019999999997"/>
    <n v="11.227974559286677"/>
    <n v="12.23"/>
    <s v="High"/>
    <s v="Valid"/>
  </r>
  <r>
    <x v="127"/>
    <x v="11"/>
    <s v="Meta Ads"/>
    <x v="1"/>
    <s v="Fintech"/>
    <x v="3"/>
    <n v="84737"/>
    <n v="1415"/>
    <n v="1.67E-2"/>
    <n v="0.61"/>
    <n v="863.15"/>
    <n v="67"/>
    <n v="12.88"/>
    <n v="10044.57"/>
    <n v="9181.42"/>
    <n v="10.637108266234144"/>
    <n v="11.64"/>
    <s v="High"/>
    <s v="Valid"/>
  </r>
  <r>
    <x v="27"/>
    <x v="6"/>
    <s v="Meta Ads"/>
    <x v="0"/>
    <s v="EdTech"/>
    <x v="6"/>
    <n v="31547"/>
    <n v="772"/>
    <n v="2.4500000000000001E-2"/>
    <n v="1.99"/>
    <n v="1536.28"/>
    <n v="15"/>
    <n v="102.42"/>
    <n v="4188.5"/>
    <n v="2652.2200000000003"/>
    <n v="1.7263910224698624"/>
    <n v="2.73"/>
    <s v="Medium"/>
    <s v="Valid"/>
  </r>
  <r>
    <x v="320"/>
    <x v="9"/>
    <s v="Meta Ads"/>
    <x v="1"/>
    <s v="SaaS"/>
    <x v="4"/>
    <n v="162038"/>
    <n v="2722"/>
    <n v="1.6799999999999999E-2"/>
    <n v="0.77"/>
    <n v="2095.94"/>
    <n v="71"/>
    <n v="29.52"/>
    <n v="16951.259999999998"/>
    <n v="14855.319999999998"/>
    <n v="7.0876647232268084"/>
    <n v="8.09"/>
    <s v="High"/>
    <s v="Valid"/>
  </r>
  <r>
    <x v="137"/>
    <x v="4"/>
    <s v="Google Ads"/>
    <x v="1"/>
    <s v="EdTech"/>
    <x v="0"/>
    <n v="145119"/>
    <n v="9998"/>
    <n v="6.8900000000000003E-2"/>
    <n v="1.46"/>
    <n v="14597.08"/>
    <n v="233"/>
    <n v="62.65"/>
    <n v="60859.85"/>
    <n v="46262.77"/>
    <n v="3.1693167400603408"/>
    <n v="4.17"/>
    <s v="High"/>
    <s v="Valid"/>
  </r>
  <r>
    <x v="259"/>
    <x v="8"/>
    <s v="TikTok Ads"/>
    <x v="3"/>
    <s v="Healthcare"/>
    <x v="4"/>
    <n v="92601"/>
    <n v="4065"/>
    <n v="4.3900000000000002E-2"/>
    <n v="0.52"/>
    <n v="2113.8000000000002"/>
    <n v="324"/>
    <n v="6.52"/>
    <n v="24076.73"/>
    <n v="21962.93"/>
    <n v="10.390259248746332"/>
    <n v="11.39"/>
    <s v="High"/>
    <s v="Valid"/>
  </r>
  <r>
    <x v="19"/>
    <x v="9"/>
    <s v="Google Ads"/>
    <x v="2"/>
    <s v="Healthcare"/>
    <x v="4"/>
    <n v="148041"/>
    <n v="8053"/>
    <n v="5.4399999999999997E-2"/>
    <n v="3.47"/>
    <n v="27943.91"/>
    <n v="98"/>
    <n v="285.14"/>
    <n v="4146.07"/>
    <n v="-23797.84"/>
    <n v="-0.85162885222576223"/>
    <n v="0.15"/>
    <s v="Low"/>
    <s v="Valid"/>
  </r>
  <r>
    <x v="136"/>
    <x v="7"/>
    <s v="Google Ads"/>
    <x v="3"/>
    <s v="E-commerce"/>
    <x v="1"/>
    <n v="25195"/>
    <n v="738"/>
    <n v="2.93E-2"/>
    <n v="2.61"/>
    <n v="1926.18"/>
    <n v="12"/>
    <n v="160.52000000000001"/>
    <n v="432.4"/>
    <n v="-1493.7800000000002"/>
    <n v="-0.77551423023808785"/>
    <n v="0.22"/>
    <s v="Low"/>
    <s v="Valid"/>
  </r>
  <r>
    <x v="0"/>
    <x v="0"/>
    <s v="Google Ads"/>
    <x v="3"/>
    <s v="EdTech"/>
    <x v="6"/>
    <n v="186465"/>
    <n v="8689"/>
    <n v="4.6600000000000003E-2"/>
    <n v="2.42"/>
    <n v="21027.38"/>
    <n v="367"/>
    <n v="57.3"/>
    <n v="57833.06"/>
    <n v="36805.679999999993"/>
    <n v="1.7503692804334154"/>
    <n v="2.75"/>
    <s v="Medium"/>
    <s v="Valid"/>
  </r>
  <r>
    <x v="82"/>
    <x v="7"/>
    <s v="Google Ads"/>
    <x v="2"/>
    <s v="Fintech"/>
    <x v="6"/>
    <n v="136960"/>
    <n v="5382"/>
    <n v="3.9300000000000002E-2"/>
    <n v="1.42"/>
    <n v="7642.44"/>
    <n v="230"/>
    <n v="33.229999999999997"/>
    <n v="39826.629999999997"/>
    <n v="32184.19"/>
    <n v="4.2112453614290724"/>
    <n v="5.21"/>
    <s v="High"/>
    <s v="Valid"/>
  </r>
  <r>
    <x v="254"/>
    <x v="5"/>
    <s v="Google Ads"/>
    <x v="1"/>
    <s v="EdTech"/>
    <x v="2"/>
    <n v="193405"/>
    <n v="7852"/>
    <n v="4.0599999999999997E-2"/>
    <n v="0.96"/>
    <n v="7537.92"/>
    <n v="459"/>
    <n v="16.420000000000002"/>
    <n v="79715.61"/>
    <n v="72177.69"/>
    <n v="9.5752793874172184"/>
    <n v="10.58"/>
    <s v="High"/>
    <s v="Valid"/>
  </r>
  <r>
    <x v="48"/>
    <x v="1"/>
    <s v="Meta Ads"/>
    <x v="1"/>
    <s v="Healthcare"/>
    <x v="2"/>
    <n v="118591"/>
    <n v="4043"/>
    <n v="3.4099999999999998E-2"/>
    <n v="1.1499999999999999"/>
    <n v="4649.45"/>
    <n v="303"/>
    <n v="15.34"/>
    <n v="36581.129999999997"/>
    <n v="31931.679999999997"/>
    <n v="6.8678402821839137"/>
    <n v="7.87"/>
    <s v="High"/>
    <s v="Valid"/>
  </r>
  <r>
    <x v="110"/>
    <x v="2"/>
    <s v="Google Ads"/>
    <x v="0"/>
    <s v="Fintech"/>
    <x v="3"/>
    <n v="163349"/>
    <n v="7906"/>
    <n v="4.8399999999999999E-2"/>
    <n v="2.68"/>
    <n v="21188.080000000002"/>
    <n v="360"/>
    <n v="58.86"/>
    <n v="44353.83"/>
    <n v="23165.75"/>
    <n v="1.0933388018168706"/>
    <n v="2.09"/>
    <s v="Medium"/>
    <s v="Valid"/>
  </r>
  <r>
    <x v="184"/>
    <x v="4"/>
    <s v="Google Ads"/>
    <x v="1"/>
    <s v="Healthcare"/>
    <x v="2"/>
    <n v="166957"/>
    <n v="5476"/>
    <n v="3.2800000000000003E-2"/>
    <n v="1.22"/>
    <n v="6680.72"/>
    <n v="137"/>
    <n v="48.76"/>
    <n v="35345.21"/>
    <n v="28664.489999999998"/>
    <n v="4.2906288543749769"/>
    <n v="5.29"/>
    <s v="High"/>
    <s v="Valid"/>
  </r>
  <r>
    <x v="192"/>
    <x v="1"/>
    <s v="Meta Ads"/>
    <x v="3"/>
    <s v="SaaS"/>
    <x v="1"/>
    <n v="169818"/>
    <n v="4992"/>
    <n v="2.9399999999999999E-2"/>
    <n v="1.9"/>
    <n v="9484.7999999999993"/>
    <n v="146"/>
    <n v="64.959999999999994"/>
    <n v="26864.23"/>
    <n v="17379.43"/>
    <n v="1.8323454369095817"/>
    <n v="2.83"/>
    <s v="Medium"/>
    <s v="Valid"/>
  </r>
  <r>
    <x v="231"/>
    <x v="6"/>
    <s v="Google Ads"/>
    <x v="3"/>
    <s v="EdTech"/>
    <x v="5"/>
    <n v="158441"/>
    <n v="3976"/>
    <n v="2.5100000000000001E-2"/>
    <n v="2.72"/>
    <n v="10814.72"/>
    <n v="300"/>
    <n v="36.049999999999997"/>
    <n v="51868.85"/>
    <n v="41054.129999999997"/>
    <n v="3.7961343428216359"/>
    <n v="4.8"/>
    <s v="High"/>
    <s v="Valid"/>
  </r>
  <r>
    <x v="16"/>
    <x v="9"/>
    <s v="Google Ads"/>
    <x v="3"/>
    <s v="E-commerce"/>
    <x v="1"/>
    <n v="10380"/>
    <n v="503"/>
    <n v="4.8500000000000001E-2"/>
    <n v="2"/>
    <n v="1006"/>
    <n v="15"/>
    <n v="67.069999999999993"/>
    <n v="1306.45"/>
    <n v="300.45000000000005"/>
    <n v="0.29865805168986087"/>
    <n v="1.3"/>
    <s v="Medium"/>
    <s v="Valid"/>
  </r>
  <r>
    <x v="178"/>
    <x v="7"/>
    <s v="Google Ads"/>
    <x v="2"/>
    <s v="SaaS"/>
    <x v="6"/>
    <n v="27791"/>
    <n v="930"/>
    <n v="3.3500000000000002E-2"/>
    <n v="1.49"/>
    <n v="1385.7"/>
    <n v="73"/>
    <n v="18.98"/>
    <n v="10712.26"/>
    <n v="9326.56"/>
    <n v="6.7305766038825139"/>
    <n v="7.73"/>
    <s v="High"/>
    <s v="Valid"/>
  </r>
  <r>
    <x v="211"/>
    <x v="11"/>
    <s v="Meta Ads"/>
    <x v="2"/>
    <s v="E-commerce"/>
    <x v="6"/>
    <n v="124870"/>
    <n v="2622"/>
    <n v="2.1000000000000001E-2"/>
    <n v="1.68"/>
    <n v="4404.96"/>
    <n v="140"/>
    <n v="31.46"/>
    <n v="13095.31"/>
    <n v="8690.3499999999985"/>
    <n v="1.9728555991427841"/>
    <n v="2.97"/>
    <s v="Medium"/>
    <s v="Valid"/>
  </r>
  <r>
    <x v="245"/>
    <x v="4"/>
    <s v="Meta Ads"/>
    <x v="3"/>
    <s v="Healthcare"/>
    <x v="6"/>
    <n v="137053"/>
    <n v="5550"/>
    <n v="4.0500000000000001E-2"/>
    <n v="1.52"/>
    <n v="8436"/>
    <n v="381"/>
    <n v="22.14"/>
    <n v="43644.89"/>
    <n v="35208.89"/>
    <n v="4.1736474632527267"/>
    <n v="5.17"/>
    <s v="High"/>
    <s v="Valid"/>
  </r>
  <r>
    <x v="254"/>
    <x v="5"/>
    <s v="Meta Ads"/>
    <x v="0"/>
    <s v="E-commerce"/>
    <x v="0"/>
    <n v="43062"/>
    <n v="1322"/>
    <n v="3.0700000000000002E-2"/>
    <n v="0.7"/>
    <n v="925.4"/>
    <n v="23"/>
    <n v="40.229999999999997"/>
    <n v="2104.08"/>
    <n v="1178.6799999999998"/>
    <n v="1.2736978603846985"/>
    <n v="2.27"/>
    <s v="Medium"/>
    <s v="Valid"/>
  </r>
  <r>
    <x v="288"/>
    <x v="7"/>
    <s v="Google Ads"/>
    <x v="1"/>
    <s v="SaaS"/>
    <x v="2"/>
    <n v="177472"/>
    <n v="9210"/>
    <n v="5.1900000000000002E-2"/>
    <n v="2.0299999999999998"/>
    <n v="18696.3"/>
    <n v="410"/>
    <n v="45.6"/>
    <n v="45066.38"/>
    <n v="26370.079999999998"/>
    <n v="1.4104437776458443"/>
    <n v="2.41"/>
    <s v="Medium"/>
    <s v="Valid"/>
  </r>
  <r>
    <x v="12"/>
    <x v="8"/>
    <s v="Google Ads"/>
    <x v="3"/>
    <s v="Healthcare"/>
    <x v="6"/>
    <n v="25967"/>
    <n v="656"/>
    <n v="2.53E-2"/>
    <n v="2.69"/>
    <n v="1764.64"/>
    <n v="24"/>
    <n v="73.53"/>
    <n v="1078.6199999999999"/>
    <n v="-686.02000000000021"/>
    <n v="-0.38875918034273288"/>
    <n v="0.61"/>
    <s v="Low"/>
    <s v="Valid"/>
  </r>
  <r>
    <x v="136"/>
    <x v="7"/>
    <s v="TikTok Ads"/>
    <x v="2"/>
    <s v="SaaS"/>
    <x v="4"/>
    <n v="139162"/>
    <n v="7152"/>
    <n v="5.1400000000000001E-2"/>
    <n v="1.39"/>
    <n v="9941.2800000000007"/>
    <n v="137"/>
    <n v="72.56"/>
    <n v="29124.09"/>
    <n v="19182.809999999998"/>
    <n v="1.9296116797836895"/>
    <n v="2.93"/>
    <s v="Medium"/>
    <s v="Valid"/>
  </r>
  <r>
    <x v="129"/>
    <x v="9"/>
    <s v="Google Ads"/>
    <x v="3"/>
    <s v="Fintech"/>
    <x v="1"/>
    <n v="45364"/>
    <n v="1628"/>
    <n v="3.5900000000000001E-2"/>
    <n v="1.23"/>
    <n v="2002.44"/>
    <n v="113"/>
    <n v="17.72"/>
    <n v="10930.4"/>
    <n v="8927.9599999999991"/>
    <n v="4.4585405804917997"/>
    <n v="5.46"/>
    <s v="High"/>
    <s v="Valid"/>
  </r>
  <r>
    <x v="252"/>
    <x v="0"/>
    <s v="Google Ads"/>
    <x v="3"/>
    <s v="E-commerce"/>
    <x v="1"/>
    <n v="62320"/>
    <n v="3857"/>
    <n v="6.1899999999999997E-2"/>
    <n v="1.01"/>
    <n v="3895.57"/>
    <n v="158"/>
    <n v="24.66"/>
    <n v="17905.2"/>
    <n v="14009.630000000001"/>
    <n v="3.5962978460148323"/>
    <n v="4.5999999999999996"/>
    <s v="High"/>
    <s v="Valid"/>
  </r>
  <r>
    <x v="168"/>
    <x v="6"/>
    <s v="Meta Ads"/>
    <x v="2"/>
    <s v="SaaS"/>
    <x v="4"/>
    <n v="141436"/>
    <n v="3026"/>
    <n v="2.1399999999999999E-2"/>
    <n v="1.84"/>
    <n v="5567.84"/>
    <n v="108"/>
    <n v="51.55"/>
    <n v="24540.41"/>
    <n v="18972.57"/>
    <n v="3.4075278743642059"/>
    <n v="4.41"/>
    <s v="High"/>
    <s v="Valid"/>
  </r>
  <r>
    <x v="263"/>
    <x v="3"/>
    <s v="Meta Ads"/>
    <x v="1"/>
    <s v="EdTech"/>
    <x v="3"/>
    <n v="152318"/>
    <n v="4554"/>
    <n v="2.9899999999999999E-2"/>
    <n v="1.08"/>
    <n v="4918.32"/>
    <n v="296"/>
    <n v="16.62"/>
    <n v="64805.54"/>
    <n v="59887.22"/>
    <n v="12.176356967419771"/>
    <n v="13.18"/>
    <s v="High"/>
    <s v="Valid"/>
  </r>
  <r>
    <x v="218"/>
    <x v="7"/>
    <s v="Google Ads"/>
    <x v="0"/>
    <s v="SaaS"/>
    <x v="2"/>
    <n v="27778"/>
    <n v="1902"/>
    <n v="6.8500000000000005E-2"/>
    <n v="1.55"/>
    <n v="2948.1"/>
    <n v="125"/>
    <n v="23.58"/>
    <n v="15444.21"/>
    <n v="12496.109999999999"/>
    <n v="4.2386995013737661"/>
    <n v="5.24"/>
    <s v="High"/>
    <s v="Valid"/>
  </r>
  <r>
    <x v="182"/>
    <x v="4"/>
    <s v="TikTok Ads"/>
    <x v="1"/>
    <s v="E-commerce"/>
    <x v="1"/>
    <n v="82400"/>
    <n v="3708"/>
    <n v="4.4999999999999998E-2"/>
    <n v="0.8"/>
    <n v="2966.4"/>
    <n v="139"/>
    <n v="21.34"/>
    <n v="31548.51"/>
    <n v="28582.109999999997"/>
    <n v="9.6352851941747559"/>
    <n v="10.64"/>
    <s v="High"/>
    <s v="Valid"/>
  </r>
  <r>
    <x v="45"/>
    <x v="6"/>
    <s v="Google Ads"/>
    <x v="0"/>
    <s v="Healthcare"/>
    <x v="1"/>
    <n v="195606"/>
    <n v="10817"/>
    <n v="5.5300000000000002E-2"/>
    <n v="3.53"/>
    <n v="38184.01"/>
    <n v="122"/>
    <n v="312.98"/>
    <n v="7355.91"/>
    <n v="-30828.100000000002"/>
    <n v="-0.80735627295299783"/>
    <n v="0.19"/>
    <s v="Low"/>
    <s v="Valid"/>
  </r>
  <r>
    <x v="299"/>
    <x v="6"/>
    <s v="TikTok Ads"/>
    <x v="2"/>
    <s v="Fintech"/>
    <x v="4"/>
    <n v="18181"/>
    <n v="1179"/>
    <n v="6.4899999999999999E-2"/>
    <n v="0.64"/>
    <n v="754.56"/>
    <n v="24"/>
    <n v="31.44"/>
    <n v="4581.7"/>
    <n v="3827.14"/>
    <n v="5.0720154792196777"/>
    <n v="6.07"/>
    <s v="High"/>
    <s v="Valid"/>
  </r>
  <r>
    <x v="244"/>
    <x v="5"/>
    <s v="Google Ads"/>
    <x v="1"/>
    <s v="SaaS"/>
    <x v="2"/>
    <n v="86560"/>
    <n v="5323"/>
    <n v="6.1499999999999999E-2"/>
    <n v="0.91"/>
    <n v="4843.93"/>
    <n v="94"/>
    <n v="51.53"/>
    <n v="8283.6200000000008"/>
    <n v="3439.6900000000005"/>
    <n v="0.7101031600374077"/>
    <n v="1.71"/>
    <s v="Medium"/>
    <s v="Valid"/>
  </r>
  <r>
    <x v="334"/>
    <x v="11"/>
    <s v="Google Ads"/>
    <x v="1"/>
    <s v="Fintech"/>
    <x v="2"/>
    <n v="89845"/>
    <n v="2605"/>
    <n v="2.9000000000000001E-2"/>
    <n v="1.74"/>
    <n v="4532.7"/>
    <n v="155"/>
    <n v="29.24"/>
    <n v="14107.55"/>
    <n v="9574.8499999999985"/>
    <n v="2.1123943786264254"/>
    <n v="3.11"/>
    <s v="High"/>
    <s v="Valid"/>
  </r>
  <r>
    <x v="22"/>
    <x v="1"/>
    <s v="Meta Ads"/>
    <x v="2"/>
    <s v="Fintech"/>
    <x v="3"/>
    <n v="194121"/>
    <n v="6270"/>
    <n v="3.2300000000000002E-2"/>
    <n v="0.69"/>
    <n v="4326.3"/>
    <n v="133"/>
    <n v="32.53"/>
    <n v="11409.44"/>
    <n v="7083.14"/>
    <n v="1.6372281164043179"/>
    <n v="2.64"/>
    <s v="Medium"/>
    <s v="Valid"/>
  </r>
  <r>
    <x v="114"/>
    <x v="3"/>
    <s v="Meta Ads"/>
    <x v="1"/>
    <s v="SaaS"/>
    <x v="4"/>
    <n v="81313"/>
    <n v="1089"/>
    <n v="1.34E-2"/>
    <n v="1.43"/>
    <n v="1557.27"/>
    <n v="77"/>
    <n v="20.22"/>
    <n v="3549.91"/>
    <n v="1992.6399999999999"/>
    <n v="1.2795725853577093"/>
    <n v="2.2799999999999998"/>
    <s v="Medium"/>
    <s v="Valid"/>
  </r>
  <r>
    <x v="285"/>
    <x v="4"/>
    <s v="Google Ads"/>
    <x v="3"/>
    <s v="Healthcare"/>
    <x v="2"/>
    <n v="95153"/>
    <n v="5404"/>
    <n v="5.6800000000000003E-2"/>
    <n v="1.7"/>
    <n v="9186.7999999999993"/>
    <n v="74"/>
    <n v="124.15"/>
    <n v="20688.95"/>
    <n v="11502.150000000001"/>
    <n v="1.2520300866460576"/>
    <n v="2.25"/>
    <s v="Medium"/>
    <s v="Valid"/>
  </r>
  <r>
    <x v="103"/>
    <x v="2"/>
    <s v="Meta Ads"/>
    <x v="3"/>
    <s v="Fintech"/>
    <x v="3"/>
    <n v="104926"/>
    <n v="3273"/>
    <n v="3.1199999999999999E-2"/>
    <n v="1.48"/>
    <n v="4844.04"/>
    <n v="65"/>
    <n v="74.52"/>
    <n v="12449.27"/>
    <n v="7605.2300000000005"/>
    <n v="1.570018001502878"/>
    <n v="2.57"/>
    <s v="Medium"/>
    <s v="Valid"/>
  </r>
  <r>
    <x v="132"/>
    <x v="9"/>
    <s v="Meta Ads"/>
    <x v="2"/>
    <s v="SaaS"/>
    <x v="3"/>
    <n v="16093"/>
    <n v="466"/>
    <n v="2.9000000000000001E-2"/>
    <n v="0.83"/>
    <n v="386.78"/>
    <n v="28"/>
    <n v="13.81"/>
    <n v="5468.73"/>
    <n v="5081.95"/>
    <n v="13.139123015667822"/>
    <n v="14.14"/>
    <s v="High"/>
    <s v="Valid"/>
  </r>
  <r>
    <x v="204"/>
    <x v="6"/>
    <s v="Google Ads"/>
    <x v="2"/>
    <s v="EdTech"/>
    <x v="4"/>
    <n v="155338"/>
    <n v="10718"/>
    <n v="6.9000000000000006E-2"/>
    <n v="1.86"/>
    <n v="19935.48"/>
    <n v="411"/>
    <n v="48.5"/>
    <n v="112821.78"/>
    <n v="92886.3"/>
    <n v="4.6593460503584563"/>
    <n v="5.66"/>
    <s v="High"/>
    <s v="Valid"/>
  </r>
  <r>
    <x v="9"/>
    <x v="6"/>
    <s v="Google Ads"/>
    <x v="1"/>
    <s v="EdTech"/>
    <x v="4"/>
    <n v="179877"/>
    <n v="4317"/>
    <n v="2.4E-2"/>
    <n v="2.54"/>
    <n v="10965.18"/>
    <n v="215"/>
    <n v="51"/>
    <n v="13004.03"/>
    <n v="2038.8500000000004"/>
    <n v="0.18593858012362774"/>
    <n v="1.19"/>
    <s v="Medium"/>
    <s v="Valid"/>
  </r>
  <r>
    <x v="70"/>
    <x v="4"/>
    <s v="TikTok Ads"/>
    <x v="1"/>
    <s v="E-commerce"/>
    <x v="6"/>
    <n v="185510"/>
    <n v="9739"/>
    <n v="5.2499999999999998E-2"/>
    <n v="2.0499999999999998"/>
    <n v="19964.95"/>
    <n v="461"/>
    <n v="43.31"/>
    <n v="116711.4"/>
    <n v="96746.45"/>
    <n v="4.8458147904202109"/>
    <n v="5.85"/>
    <s v="High"/>
    <s v="Valid"/>
  </r>
  <r>
    <x v="15"/>
    <x v="4"/>
    <s v="TikTok Ads"/>
    <x v="0"/>
    <s v="EdTech"/>
    <x v="3"/>
    <n v="135992"/>
    <n v="8023"/>
    <n v="5.8999999999999997E-2"/>
    <n v="0.4"/>
    <n v="3209.2"/>
    <n v="640"/>
    <n v="5.01"/>
    <n v="50560.98"/>
    <n v="47351.780000000006"/>
    <n v="14.755010594540698"/>
    <n v="15.76"/>
    <s v="High"/>
    <s v="Valid"/>
  </r>
  <r>
    <x v="214"/>
    <x v="0"/>
    <s v="Google Ads"/>
    <x v="0"/>
    <s v="EdTech"/>
    <x v="3"/>
    <n v="192593"/>
    <n v="4949"/>
    <n v="2.5700000000000001E-2"/>
    <n v="1.83"/>
    <n v="9056.67"/>
    <n v="172"/>
    <n v="52.66"/>
    <n v="20836.16"/>
    <n v="11779.49"/>
    <n v="1.3006425098849799"/>
    <n v="2.2999999999999998"/>
    <s v="Medium"/>
    <s v="Valid"/>
  </r>
  <r>
    <x v="19"/>
    <x v="9"/>
    <s v="Meta Ads"/>
    <x v="0"/>
    <s v="EdTech"/>
    <x v="0"/>
    <n v="18487"/>
    <n v="693"/>
    <n v="3.7499999999999999E-2"/>
    <n v="0.49"/>
    <n v="339.57"/>
    <n v="36"/>
    <n v="9.43"/>
    <n v="7765.15"/>
    <n v="7425.58"/>
    <n v="21.867597255352358"/>
    <n v="22.87"/>
    <s v="High"/>
    <s v="Valid"/>
  </r>
  <r>
    <x v="291"/>
    <x v="6"/>
    <s v="Meta Ads"/>
    <x v="1"/>
    <s v="EdTech"/>
    <x v="1"/>
    <n v="88452"/>
    <n v="3361"/>
    <n v="3.7999999999999999E-2"/>
    <n v="1.63"/>
    <n v="5478.43"/>
    <n v="180"/>
    <n v="30.44"/>
    <n v="8119.45"/>
    <n v="2641.0199999999995"/>
    <n v="0.48207606923881463"/>
    <n v="1.48"/>
    <s v="Medium"/>
    <s v="Valid"/>
  </r>
  <r>
    <x v="335"/>
    <x v="3"/>
    <s v="TikTok Ads"/>
    <x v="3"/>
    <s v="Fintech"/>
    <x v="2"/>
    <n v="178714"/>
    <n v="7559"/>
    <n v="4.2299999999999997E-2"/>
    <n v="1.1399999999999999"/>
    <n v="8617.26"/>
    <n v="312"/>
    <n v="27.62"/>
    <n v="39985.980000000003"/>
    <n v="31368.720000000001"/>
    <n v="3.64021974502336"/>
    <n v="4.6399999999999997"/>
    <s v="High"/>
    <s v="Valid"/>
  </r>
  <r>
    <x v="191"/>
    <x v="10"/>
    <s v="TikTok Ads"/>
    <x v="3"/>
    <s v="SaaS"/>
    <x v="1"/>
    <n v="113190"/>
    <n v="3984"/>
    <n v="3.5200000000000002E-2"/>
    <n v="1.41"/>
    <n v="5617.44"/>
    <n v="172"/>
    <n v="32.659999999999997"/>
    <n v="10269.39"/>
    <n v="4651.95"/>
    <n v="0.82812633512774503"/>
    <n v="1.83"/>
    <s v="Medium"/>
    <s v="Valid"/>
  </r>
  <r>
    <x v="133"/>
    <x v="5"/>
    <s v="Meta Ads"/>
    <x v="1"/>
    <s v="E-commerce"/>
    <x v="6"/>
    <n v="126103"/>
    <n v="4300"/>
    <n v="3.4099999999999998E-2"/>
    <n v="1.0900000000000001"/>
    <n v="4687"/>
    <n v="313"/>
    <n v="14.97"/>
    <n v="18027.88"/>
    <n v="13340.880000000001"/>
    <n v="2.8463580115212292"/>
    <n v="3.85"/>
    <s v="High"/>
    <s v="Valid"/>
  </r>
  <r>
    <x v="172"/>
    <x v="9"/>
    <s v="Google Ads"/>
    <x v="0"/>
    <s v="Healthcare"/>
    <x v="5"/>
    <n v="101355"/>
    <n v="4459"/>
    <n v="4.3999999999999997E-2"/>
    <n v="2.5499999999999998"/>
    <n v="11370.45"/>
    <n v="122"/>
    <n v="93.2"/>
    <n v="10455.25"/>
    <n v="-915.20000000000073"/>
    <n v="-8.0489338592579951E-2"/>
    <n v="0.92"/>
    <s v="Low"/>
    <s v="Valid"/>
  </r>
  <r>
    <x v="313"/>
    <x v="2"/>
    <s v="Google Ads"/>
    <x v="3"/>
    <s v="EdTech"/>
    <x v="4"/>
    <n v="197974"/>
    <n v="4375"/>
    <n v="2.2100000000000002E-2"/>
    <n v="2.4300000000000002"/>
    <n v="10631.25"/>
    <n v="347"/>
    <n v="30.64"/>
    <n v="73971.789999999994"/>
    <n v="63340.539999999994"/>
    <n v="5.9579579071134621"/>
    <n v="6.96"/>
    <s v="High"/>
    <s v="Valid"/>
  </r>
  <r>
    <x v="58"/>
    <x v="5"/>
    <s v="Meta Ads"/>
    <x v="2"/>
    <s v="Fintech"/>
    <x v="1"/>
    <n v="49261"/>
    <n v="724"/>
    <n v="1.47E-2"/>
    <n v="0.62"/>
    <n v="448.88"/>
    <n v="31"/>
    <n v="14.48"/>
    <n v="1397.37"/>
    <n v="948.4899999999999"/>
    <n v="2.1130146141507749"/>
    <n v="3.11"/>
    <s v="High"/>
    <s v="Valid"/>
  </r>
  <r>
    <x v="311"/>
    <x v="0"/>
    <s v="TikTok Ads"/>
    <x v="2"/>
    <s v="SaaS"/>
    <x v="5"/>
    <n v="174668"/>
    <n v="10916"/>
    <n v="6.25E-2"/>
    <n v="0.63"/>
    <n v="6877.08"/>
    <n v="310"/>
    <n v="22.18"/>
    <n v="37599.64"/>
    <n v="30722.559999999998"/>
    <n v="4.467384413152093"/>
    <n v="5.47"/>
    <s v="High"/>
    <s v="Valid"/>
  </r>
  <r>
    <x v="335"/>
    <x v="3"/>
    <s v="Google Ads"/>
    <x v="2"/>
    <s v="Fintech"/>
    <x v="2"/>
    <n v="163178"/>
    <n v="5172"/>
    <n v="3.1699999999999999E-2"/>
    <n v="2.21"/>
    <n v="11430.12"/>
    <n v="325"/>
    <n v="35.17"/>
    <n v="14305.21"/>
    <n v="2875.0899999999983"/>
    <n v="0.25153629183245652"/>
    <n v="1.25"/>
    <s v="Medium"/>
    <s v="Valid"/>
  </r>
  <r>
    <x v="333"/>
    <x v="6"/>
    <s v="TikTok Ads"/>
    <x v="0"/>
    <s v="EdTech"/>
    <x v="2"/>
    <n v="105726"/>
    <n v="8542"/>
    <n v="8.0799999999999997E-2"/>
    <n v="1.4"/>
    <n v="11958.8"/>
    <n v="662"/>
    <n v="18.059999999999999"/>
    <n v="104498.78"/>
    <n v="92539.98"/>
    <n v="7.7382329330702078"/>
    <n v="8.74"/>
    <s v="High"/>
    <s v="Valid"/>
  </r>
  <r>
    <x v="336"/>
    <x v="2"/>
    <s v="TikTok Ads"/>
    <x v="3"/>
    <s v="Healthcare"/>
    <x v="0"/>
    <n v="74285"/>
    <n v="2094"/>
    <n v="2.8199999999999999E-2"/>
    <n v="0.63"/>
    <n v="1319.22"/>
    <n v="92"/>
    <n v="14.34"/>
    <n v="18972.8"/>
    <n v="17653.579999999998"/>
    <n v="13.381831688421945"/>
    <n v="14.38"/>
    <s v="High"/>
    <s v="Valid"/>
  </r>
  <r>
    <x v="207"/>
    <x v="0"/>
    <s v="Google Ads"/>
    <x v="3"/>
    <s v="EdTech"/>
    <x v="2"/>
    <n v="168471"/>
    <n v="6014"/>
    <n v="3.5700000000000003E-2"/>
    <n v="0.97"/>
    <n v="5833.58"/>
    <n v="117"/>
    <n v="49.86"/>
    <n v="25231.33"/>
    <n v="19397.75"/>
    <n v="3.3251879634804014"/>
    <n v="4.33"/>
    <s v="High"/>
    <s v="Valid"/>
  </r>
  <r>
    <x v="270"/>
    <x v="3"/>
    <s v="TikTok Ads"/>
    <x v="0"/>
    <s v="E-commerce"/>
    <x v="1"/>
    <n v="128295"/>
    <n v="4695"/>
    <n v="3.6600000000000001E-2"/>
    <n v="0.84"/>
    <n v="3943.8"/>
    <n v="276"/>
    <n v="14.29"/>
    <n v="42279.01"/>
    <n v="38335.21"/>
    <n v="9.7203737512044217"/>
    <n v="10.72"/>
    <s v="High"/>
    <s v="Valid"/>
  </r>
  <r>
    <x v="27"/>
    <x v="6"/>
    <s v="Meta Ads"/>
    <x v="0"/>
    <s v="Healthcare"/>
    <x v="6"/>
    <n v="109777"/>
    <n v="2722"/>
    <n v="2.4799999999999999E-2"/>
    <n v="1.44"/>
    <n v="3919.68"/>
    <n v="170"/>
    <n v="23.06"/>
    <n v="47040.47"/>
    <n v="43120.79"/>
    <n v="11.001099579557515"/>
    <n v="12"/>
    <s v="High"/>
    <s v="Valid"/>
  </r>
  <r>
    <x v="300"/>
    <x v="7"/>
    <s v="TikTok Ads"/>
    <x v="1"/>
    <s v="Healthcare"/>
    <x v="0"/>
    <n v="153537"/>
    <n v="7277"/>
    <n v="4.7399999999999998E-2"/>
    <n v="1"/>
    <n v="7277"/>
    <n v="175"/>
    <n v="41.58"/>
    <n v="48117.42"/>
    <n v="40840.42"/>
    <n v="5.6122605469286793"/>
    <n v="6.61"/>
    <s v="High"/>
    <s v="Valid"/>
  </r>
  <r>
    <x v="245"/>
    <x v="4"/>
    <s v="Google Ads"/>
    <x v="2"/>
    <s v="Fintech"/>
    <x v="3"/>
    <n v="20915"/>
    <n v="913"/>
    <n v="4.3700000000000003E-2"/>
    <n v="1.03"/>
    <n v="940.39"/>
    <n v="37"/>
    <n v="25.42"/>
    <n v="3637.08"/>
    <n v="2696.69"/>
    <n v="2.8676293878071863"/>
    <n v="3.87"/>
    <s v="High"/>
    <s v="Valid"/>
  </r>
  <r>
    <x v="179"/>
    <x v="10"/>
    <s v="Meta Ads"/>
    <x v="0"/>
    <s v="EdTech"/>
    <x v="1"/>
    <n v="29992"/>
    <n v="605"/>
    <n v="2.0199999999999999E-2"/>
    <n v="0.61"/>
    <n v="369.05"/>
    <n v="35"/>
    <n v="10.54"/>
    <n v="5311.42"/>
    <n v="4942.37"/>
    <n v="13.392141986180734"/>
    <n v="14.39"/>
    <s v="High"/>
    <s v="Valid"/>
  </r>
  <r>
    <x v="159"/>
    <x v="11"/>
    <s v="Meta Ads"/>
    <x v="0"/>
    <s v="Fintech"/>
    <x v="1"/>
    <n v="187461"/>
    <n v="2511"/>
    <n v="1.34E-2"/>
    <n v="1.7"/>
    <n v="4268.7"/>
    <n v="189"/>
    <n v="22.59"/>
    <n v="16540.060000000001"/>
    <n v="12271.36"/>
    <n v="2.8747300114789049"/>
    <n v="3.87"/>
    <s v="High"/>
    <s v="Valid"/>
  </r>
  <r>
    <x v="44"/>
    <x v="8"/>
    <s v="Google Ads"/>
    <x v="3"/>
    <s v="E-commerce"/>
    <x v="6"/>
    <n v="107885"/>
    <n v="3344"/>
    <n v="3.1E-2"/>
    <n v="2.09"/>
    <n v="6988.96"/>
    <n v="262"/>
    <n v="26.68"/>
    <n v="51456.480000000003"/>
    <n v="44467.520000000004"/>
    <n v="6.3625374876948797"/>
    <n v="7.36"/>
    <s v="High"/>
    <s v="Valid"/>
  </r>
  <r>
    <x v="26"/>
    <x v="8"/>
    <s v="Google Ads"/>
    <x v="1"/>
    <s v="E-commerce"/>
    <x v="3"/>
    <n v="162242"/>
    <n v="5110"/>
    <n v="3.15E-2"/>
    <n v="2.67"/>
    <n v="13643.7"/>
    <n v="118"/>
    <n v="115.62"/>
    <n v="30643.55"/>
    <n v="16999.849999999999"/>
    <n v="1.2459853265609766"/>
    <n v="2.25"/>
    <s v="Medium"/>
    <s v="Valid"/>
  </r>
  <r>
    <x v="181"/>
    <x v="8"/>
    <s v="Meta Ads"/>
    <x v="1"/>
    <s v="EdTech"/>
    <x v="2"/>
    <n v="34404"/>
    <n v="1204"/>
    <n v="3.5000000000000003E-2"/>
    <n v="1.42"/>
    <n v="1709.68"/>
    <n v="94"/>
    <n v="18.190000000000001"/>
    <n v="17655.16"/>
    <n v="15945.48"/>
    <n v="9.326587431566141"/>
    <n v="10.33"/>
    <s v="High"/>
    <s v="Valid"/>
  </r>
  <r>
    <x v="143"/>
    <x v="6"/>
    <s v="Meta Ads"/>
    <x v="3"/>
    <s v="EdTech"/>
    <x v="6"/>
    <n v="133773"/>
    <n v="3491"/>
    <n v="2.6100000000000002E-2"/>
    <n v="1.83"/>
    <n v="6388.53"/>
    <n v="181"/>
    <n v="35.299999999999997"/>
    <n v="21663.32"/>
    <n v="15274.79"/>
    <n v="2.3909710058495461"/>
    <n v="3.39"/>
    <s v="High"/>
    <s v="Valid"/>
  </r>
  <r>
    <x v="220"/>
    <x v="4"/>
    <s v="Google Ads"/>
    <x v="1"/>
    <s v="SaaS"/>
    <x v="4"/>
    <n v="185948"/>
    <n v="5373"/>
    <n v="2.8899999999999999E-2"/>
    <n v="0.73"/>
    <n v="3922.29"/>
    <n v="82"/>
    <n v="47.83"/>
    <n v="15594.76"/>
    <n v="11672.470000000001"/>
    <n v="2.9759324272300112"/>
    <n v="3.98"/>
    <s v="High"/>
    <s v="Valid"/>
  </r>
  <r>
    <x v="329"/>
    <x v="10"/>
    <s v="Google Ads"/>
    <x v="2"/>
    <s v="Healthcare"/>
    <x v="6"/>
    <n v="98375"/>
    <n v="1898"/>
    <n v="1.9300000000000001E-2"/>
    <n v="3.35"/>
    <n v="6358.3"/>
    <n v="45"/>
    <n v="141.30000000000001"/>
    <n v="2253.91"/>
    <n v="-4104.3900000000003"/>
    <n v="-0.64551688344368785"/>
    <n v="0.35"/>
    <s v="Low"/>
    <s v="Valid"/>
  </r>
  <r>
    <x v="265"/>
    <x v="10"/>
    <s v="Google Ads"/>
    <x v="1"/>
    <s v="Healthcare"/>
    <x v="2"/>
    <n v="190826"/>
    <n v="12174"/>
    <n v="6.3799999999999996E-2"/>
    <n v="1.75"/>
    <n v="21304.5"/>
    <n v="933"/>
    <n v="22.83"/>
    <n v="139478.01"/>
    <n v="118173.51000000001"/>
    <n v="5.5468802365697396"/>
    <n v="6.55"/>
    <s v="High"/>
    <s v="Valid"/>
  </r>
  <r>
    <x v="53"/>
    <x v="10"/>
    <s v="Meta Ads"/>
    <x v="3"/>
    <s v="Healthcare"/>
    <x v="0"/>
    <n v="105050"/>
    <n v="3077"/>
    <n v="2.93E-2"/>
    <n v="0.5"/>
    <n v="1538.5"/>
    <n v="206"/>
    <n v="7.47"/>
    <n v="55580.46"/>
    <n v="54041.96"/>
    <n v="35.126395840103996"/>
    <n v="36.130000000000003"/>
    <s v="High"/>
    <s v="Valid"/>
  </r>
  <r>
    <x v="128"/>
    <x v="10"/>
    <s v="Google Ads"/>
    <x v="2"/>
    <s v="E-commerce"/>
    <x v="5"/>
    <n v="52547"/>
    <n v="2806"/>
    <n v="5.3400000000000003E-2"/>
    <n v="2.15"/>
    <n v="6032.9"/>
    <n v="47"/>
    <n v="128.36000000000001"/>
    <n v="13262.4"/>
    <n v="7229.5"/>
    <n v="1.1983457375391604"/>
    <n v="2.2000000000000002"/>
    <s v="Medium"/>
    <s v="Valid"/>
  </r>
  <r>
    <x v="284"/>
    <x v="8"/>
    <s v="Google Ads"/>
    <x v="0"/>
    <s v="Healthcare"/>
    <x v="5"/>
    <n v="139648"/>
    <n v="4398"/>
    <n v="3.15E-2"/>
    <n v="3"/>
    <n v="13194"/>
    <n v="347"/>
    <n v="38.020000000000003"/>
    <n v="82597.149999999994"/>
    <n v="69403.149999999994"/>
    <n v="5.2602053963922994"/>
    <n v="6.26"/>
    <s v="High"/>
    <s v="Valid"/>
  </r>
  <r>
    <x v="170"/>
    <x v="1"/>
    <s v="TikTok Ads"/>
    <x v="0"/>
    <s v="Fintech"/>
    <x v="3"/>
    <n v="186434"/>
    <n v="8743"/>
    <n v="4.6899999999999997E-2"/>
    <n v="1.65"/>
    <n v="14425.95"/>
    <n v="87"/>
    <n v="165.82"/>
    <n v="21530.58"/>
    <n v="7104.630000000001"/>
    <n v="0.49248957607644561"/>
    <n v="1.49"/>
    <s v="Medium"/>
    <s v="Valid"/>
  </r>
  <r>
    <x v="323"/>
    <x v="10"/>
    <s v="Google Ads"/>
    <x v="0"/>
    <s v="Fintech"/>
    <x v="3"/>
    <n v="63001"/>
    <n v="3181"/>
    <n v="5.0500000000000003E-2"/>
    <n v="1.48"/>
    <n v="4707.88"/>
    <n v="94"/>
    <n v="50.08"/>
    <n v="3324.55"/>
    <n v="-1383.33"/>
    <n v="-0.29383289293694825"/>
    <n v="0.71"/>
    <s v="Low"/>
    <s v="Valid"/>
  </r>
  <r>
    <x v="337"/>
    <x v="5"/>
    <s v="Meta Ads"/>
    <x v="2"/>
    <s v="E-commerce"/>
    <x v="1"/>
    <n v="132343"/>
    <n v="3507"/>
    <n v="2.6499999999999999E-2"/>
    <n v="1.1399999999999999"/>
    <n v="3997.98"/>
    <n v="238"/>
    <n v="16.8"/>
    <n v="17184.939999999999"/>
    <n v="13186.96"/>
    <n v="3.2984056948759122"/>
    <n v="4.3"/>
    <s v="High"/>
    <s v="Valid"/>
  </r>
  <r>
    <x v="237"/>
    <x v="1"/>
    <s v="Google Ads"/>
    <x v="2"/>
    <s v="Healthcare"/>
    <x v="1"/>
    <n v="172570"/>
    <n v="3692"/>
    <n v="2.1399999999999999E-2"/>
    <n v="2.16"/>
    <n v="7974.72"/>
    <n v="53"/>
    <n v="150.47"/>
    <n v="15699.11"/>
    <n v="7724.39"/>
    <n v="0.96860955619758438"/>
    <n v="1.97"/>
    <s v="Medium"/>
    <s v="Valid"/>
  </r>
  <r>
    <x v="21"/>
    <x v="5"/>
    <s v="Google Ads"/>
    <x v="1"/>
    <s v="Fintech"/>
    <x v="0"/>
    <n v="196510"/>
    <n v="10316"/>
    <n v="5.2499999999999998E-2"/>
    <n v="2"/>
    <n v="20632"/>
    <n v="282"/>
    <n v="73.16"/>
    <n v="66245.27"/>
    <n v="45613.270000000004"/>
    <n v="2.2108021519968983"/>
    <n v="3.21"/>
    <s v="High"/>
    <s v="Valid"/>
  </r>
  <r>
    <x v="59"/>
    <x v="8"/>
    <s v="Google Ads"/>
    <x v="3"/>
    <s v="EdTech"/>
    <x v="4"/>
    <n v="140875"/>
    <n v="6818"/>
    <n v="4.8399999999999999E-2"/>
    <n v="2.25"/>
    <n v="15340.5"/>
    <n v="142"/>
    <n v="108.03"/>
    <n v="28774.25"/>
    <n v="13433.75"/>
    <n v="0.87570483361037776"/>
    <n v="1.88"/>
    <s v="Medium"/>
    <s v="Valid"/>
  </r>
  <r>
    <x v="203"/>
    <x v="4"/>
    <s v="TikTok Ads"/>
    <x v="2"/>
    <s v="SaaS"/>
    <x v="2"/>
    <n v="50955"/>
    <n v="3892"/>
    <n v="7.6399999999999996E-2"/>
    <n v="1.27"/>
    <n v="4942.84"/>
    <n v="224"/>
    <n v="22.07"/>
    <n v="60995.17"/>
    <n v="56052.33"/>
    <n v="11.340106092853501"/>
    <n v="12.34"/>
    <s v="High"/>
    <s v="Valid"/>
  </r>
  <r>
    <x v="292"/>
    <x v="3"/>
    <s v="Google Ads"/>
    <x v="0"/>
    <s v="Fintech"/>
    <x v="2"/>
    <n v="103991"/>
    <n v="3067"/>
    <n v="2.9499999999999998E-2"/>
    <n v="2.59"/>
    <n v="7943.53"/>
    <n v="142"/>
    <n v="55.94"/>
    <n v="36045.300000000003"/>
    <n v="28101.770000000004"/>
    <n v="3.5376929400405115"/>
    <n v="4.54"/>
    <s v="High"/>
    <s v="Valid"/>
  </r>
  <r>
    <x v="146"/>
    <x v="3"/>
    <s v="Google Ads"/>
    <x v="1"/>
    <s v="EdTech"/>
    <x v="3"/>
    <n v="22637"/>
    <n v="876"/>
    <n v="3.8699999999999998E-2"/>
    <n v="1.22"/>
    <n v="1068.72"/>
    <n v="16"/>
    <n v="66.8"/>
    <n v="2623.14"/>
    <n v="1554.4199999999998"/>
    <n v="1.4544688973725577"/>
    <n v="2.4500000000000002"/>
    <s v="Medium"/>
    <s v="Valid"/>
  </r>
  <r>
    <x v="140"/>
    <x v="9"/>
    <s v="Meta Ads"/>
    <x v="3"/>
    <s v="Fintech"/>
    <x v="4"/>
    <n v="86099"/>
    <n v="2910"/>
    <n v="3.3799999999999997E-2"/>
    <n v="2.19"/>
    <n v="6372.9"/>
    <n v="194"/>
    <n v="32.85"/>
    <n v="39485.519999999997"/>
    <n v="33112.619999999995"/>
    <n v="5.1958480440615729"/>
    <n v="6.2"/>
    <s v="High"/>
    <s v="Valid"/>
  </r>
  <r>
    <x v="142"/>
    <x v="6"/>
    <s v="Meta Ads"/>
    <x v="3"/>
    <s v="Fintech"/>
    <x v="0"/>
    <n v="181950"/>
    <n v="2401"/>
    <n v="1.32E-2"/>
    <n v="0.67"/>
    <n v="1608.67"/>
    <n v="168"/>
    <n v="9.58"/>
    <n v="30028.61"/>
    <n v="28419.940000000002"/>
    <n v="17.666730901925195"/>
    <n v="18.670000000000002"/>
    <s v="High"/>
    <s v="Valid"/>
  </r>
  <r>
    <x v="338"/>
    <x v="1"/>
    <s v="Meta Ads"/>
    <x v="1"/>
    <s v="E-commerce"/>
    <x v="6"/>
    <n v="102229"/>
    <n v="2146"/>
    <n v="2.1000000000000001E-2"/>
    <n v="0.61"/>
    <n v="1309.06"/>
    <n v="52"/>
    <n v="25.17"/>
    <n v="14121.79"/>
    <n v="12812.730000000001"/>
    <n v="9.7877331825890348"/>
    <n v="10.79"/>
    <s v="High"/>
    <s v="Valid"/>
  </r>
  <r>
    <x v="84"/>
    <x v="7"/>
    <s v="TikTok Ads"/>
    <x v="1"/>
    <s v="SaaS"/>
    <x v="3"/>
    <n v="53167"/>
    <n v="2536"/>
    <n v="4.7699999999999999E-2"/>
    <n v="0.44"/>
    <n v="1115.8399999999999"/>
    <n v="145"/>
    <n v="7.7"/>
    <n v="11216.46"/>
    <n v="10100.619999999999"/>
    <n v="9.0520325494694571"/>
    <n v="10.050000000000001"/>
    <s v="High"/>
    <s v="Valid"/>
  </r>
  <r>
    <x v="181"/>
    <x v="8"/>
    <s v="Meta Ads"/>
    <x v="2"/>
    <s v="SaaS"/>
    <x v="4"/>
    <n v="10177"/>
    <n v="413"/>
    <n v="4.0599999999999997E-2"/>
    <n v="1.85"/>
    <n v="764.05"/>
    <n v="16"/>
    <n v="47.75"/>
    <n v="4058.36"/>
    <n v="3294.3100000000004"/>
    <n v="4.3116419082520787"/>
    <n v="5.31"/>
    <s v="High"/>
    <s v="Valid"/>
  </r>
  <r>
    <x v="262"/>
    <x v="9"/>
    <s v="Meta Ads"/>
    <x v="2"/>
    <s v="E-commerce"/>
    <x v="4"/>
    <n v="67714"/>
    <n v="738"/>
    <n v="1.09E-2"/>
    <n v="1.1100000000000001"/>
    <n v="819.18"/>
    <n v="17"/>
    <n v="48.19"/>
    <n v="1445.84"/>
    <n v="626.66"/>
    <n v="0.76498449669181379"/>
    <n v="1.76"/>
    <s v="Medium"/>
    <s v="Valid"/>
  </r>
  <r>
    <x v="114"/>
    <x v="3"/>
    <s v="Google Ads"/>
    <x v="2"/>
    <s v="Fintech"/>
    <x v="1"/>
    <n v="51032"/>
    <n v="3036"/>
    <n v="5.9499999999999997E-2"/>
    <n v="2.23"/>
    <n v="6770.28"/>
    <n v="195"/>
    <n v="34.72"/>
    <n v="18761.36"/>
    <n v="11991.080000000002"/>
    <n v="1.7711350195265192"/>
    <n v="2.77"/>
    <s v="Medium"/>
    <s v="Valid"/>
  </r>
  <r>
    <x v="193"/>
    <x v="4"/>
    <s v="TikTok Ads"/>
    <x v="3"/>
    <s v="SaaS"/>
    <x v="2"/>
    <n v="68474"/>
    <n v="4923"/>
    <n v="7.1900000000000006E-2"/>
    <n v="0.47"/>
    <n v="2313.81"/>
    <n v="198"/>
    <n v="11.69"/>
    <n v="32574.400000000001"/>
    <n v="30260.59"/>
    <n v="13.078251887579361"/>
    <n v="14.08"/>
    <s v="High"/>
    <s v="Valid"/>
  </r>
  <r>
    <x v="47"/>
    <x v="4"/>
    <s v="TikTok Ads"/>
    <x v="1"/>
    <s v="SaaS"/>
    <x v="6"/>
    <n v="12838"/>
    <n v="784"/>
    <n v="6.1100000000000002E-2"/>
    <n v="0.42"/>
    <n v="329.28"/>
    <n v="56"/>
    <n v="5.88"/>
    <n v="2887.05"/>
    <n v="2557.7700000000004"/>
    <n v="7.7677660349854243"/>
    <n v="8.77"/>
    <s v="High"/>
    <s v="Valid"/>
  </r>
  <r>
    <x v="48"/>
    <x v="1"/>
    <s v="Google Ads"/>
    <x v="3"/>
    <s v="Healthcare"/>
    <x v="1"/>
    <n v="151595"/>
    <n v="9262"/>
    <n v="6.1100000000000002E-2"/>
    <n v="1.76"/>
    <n v="16301.12"/>
    <n v="572"/>
    <n v="28.5"/>
    <n v="85249.68"/>
    <n v="68948.56"/>
    <n v="4.229682377652578"/>
    <n v="5.23"/>
    <s v="High"/>
    <s v="Valid"/>
  </r>
  <r>
    <x v="88"/>
    <x v="5"/>
    <s v="TikTok Ads"/>
    <x v="1"/>
    <s v="E-commerce"/>
    <x v="3"/>
    <n v="38799"/>
    <n v="1303"/>
    <n v="3.3599999999999998E-2"/>
    <n v="0.33"/>
    <n v="429.99"/>
    <n v="51"/>
    <n v="8.43"/>
    <n v="4095.81"/>
    <n v="3665.8199999999997"/>
    <n v="8.5253610549082524"/>
    <n v="9.5299999999999994"/>
    <s v="High"/>
    <s v="Valid"/>
  </r>
  <r>
    <x v="54"/>
    <x v="1"/>
    <s v="Google Ads"/>
    <x v="1"/>
    <s v="SaaS"/>
    <x v="6"/>
    <n v="121565"/>
    <n v="2601"/>
    <n v="2.1399999999999999E-2"/>
    <n v="2.04"/>
    <n v="5306.04"/>
    <n v="176"/>
    <n v="30.15"/>
    <n v="34156.839999999997"/>
    <n v="28850.799999999996"/>
    <n v="5.4373506419099735"/>
    <n v="6.44"/>
    <s v="High"/>
    <s v="Valid"/>
  </r>
  <r>
    <x v="11"/>
    <x v="7"/>
    <s v="Meta Ads"/>
    <x v="3"/>
    <s v="E-commerce"/>
    <x v="4"/>
    <n v="38762"/>
    <n v="1007"/>
    <n v="2.5999999999999999E-2"/>
    <n v="0.68"/>
    <n v="684.76"/>
    <n v="16"/>
    <n v="42.8"/>
    <n v="3871.2"/>
    <n v="3186.4399999999996"/>
    <n v="4.6533676032478528"/>
    <n v="5.65"/>
    <s v="High"/>
    <s v="Valid"/>
  </r>
  <r>
    <x v="106"/>
    <x v="2"/>
    <s v="Meta Ads"/>
    <x v="0"/>
    <s v="E-commerce"/>
    <x v="5"/>
    <n v="32410"/>
    <n v="693"/>
    <n v="2.1399999999999999E-2"/>
    <n v="1.79"/>
    <n v="1240.47"/>
    <n v="21"/>
    <n v="59.07"/>
    <n v="678.51"/>
    <n v="-561.96"/>
    <n v="-0.45302183849669886"/>
    <n v="0.55000000000000004"/>
    <s v="Low"/>
    <s v="Valid"/>
  </r>
  <r>
    <x v="197"/>
    <x v="11"/>
    <s v="TikTok Ads"/>
    <x v="1"/>
    <s v="EdTech"/>
    <x v="6"/>
    <n v="134132"/>
    <n v="4694"/>
    <n v="3.5000000000000003E-2"/>
    <n v="0.82"/>
    <n v="3849.08"/>
    <n v="306"/>
    <n v="12.58"/>
    <n v="52932.5"/>
    <n v="49083.42"/>
    <n v="12.751987487919191"/>
    <n v="13.75"/>
    <s v="High"/>
    <s v="Valid"/>
  </r>
  <r>
    <x v="105"/>
    <x v="0"/>
    <s v="Google Ads"/>
    <x v="3"/>
    <s v="E-commerce"/>
    <x v="6"/>
    <n v="38005"/>
    <n v="1489"/>
    <n v="3.9199999999999999E-2"/>
    <n v="1.51"/>
    <n v="2248.39"/>
    <n v="79"/>
    <n v="28.46"/>
    <n v="23043.93"/>
    <n v="20795.54"/>
    <n v="9.2490804531242361"/>
    <n v="10.25"/>
    <s v="High"/>
    <s v="Valid"/>
  </r>
  <r>
    <x v="252"/>
    <x v="0"/>
    <s v="Google Ads"/>
    <x v="0"/>
    <s v="E-commerce"/>
    <x v="5"/>
    <n v="91348"/>
    <n v="2914"/>
    <n v="3.1899999999999998E-2"/>
    <n v="1.73"/>
    <n v="5041.22"/>
    <n v="98"/>
    <n v="51.44"/>
    <n v="14981.67"/>
    <n v="9940.4500000000007"/>
    <n v="1.9718341988645607"/>
    <n v="2.97"/>
    <s v="Medium"/>
    <s v="Valid"/>
  </r>
  <r>
    <x v="257"/>
    <x v="4"/>
    <s v="Google Ads"/>
    <x v="3"/>
    <s v="E-commerce"/>
    <x v="1"/>
    <n v="87607"/>
    <n v="3661"/>
    <n v="4.1799999999999997E-2"/>
    <n v="3.15"/>
    <n v="11532.15"/>
    <n v="106"/>
    <n v="108.79"/>
    <n v="31383.75"/>
    <n v="19851.599999999999"/>
    <n v="1.7214136132464457"/>
    <n v="2.72"/>
    <s v="Medium"/>
    <s v="Valid"/>
  </r>
  <r>
    <x v="225"/>
    <x v="2"/>
    <s v="TikTok Ads"/>
    <x v="2"/>
    <s v="Fintech"/>
    <x v="5"/>
    <n v="95288"/>
    <n v="7108"/>
    <n v="7.46E-2"/>
    <n v="0.51"/>
    <n v="3625.08"/>
    <n v="454"/>
    <n v="7.98"/>
    <n v="132401.60999999999"/>
    <n v="128776.52999999998"/>
    <n v="35.523776027011813"/>
    <n v="36.520000000000003"/>
    <s v="High"/>
    <s v="Valid"/>
  </r>
  <r>
    <x v="64"/>
    <x v="7"/>
    <s v="TikTok Ads"/>
    <x v="1"/>
    <s v="Healthcare"/>
    <x v="1"/>
    <n v="68620"/>
    <n v="3602"/>
    <n v="5.2499999999999998E-2"/>
    <n v="0.48"/>
    <n v="1728.96"/>
    <n v="134"/>
    <n v="12.9"/>
    <n v="22980.94"/>
    <n v="21251.98"/>
    <n v="12.291770775495095"/>
    <n v="13.29"/>
    <s v="High"/>
    <s v="Valid"/>
  </r>
  <r>
    <x v="208"/>
    <x v="10"/>
    <s v="TikTok Ads"/>
    <x v="1"/>
    <s v="Healthcare"/>
    <x v="6"/>
    <n v="95975"/>
    <n v="3848"/>
    <n v="4.0099999999999997E-2"/>
    <n v="1.78"/>
    <n v="6849.44"/>
    <n v="66"/>
    <n v="103.78"/>
    <n v="6246.82"/>
    <n v="-602.61999999999989"/>
    <n v="-8.7980915228106235E-2"/>
    <n v="0.91"/>
    <s v="Low"/>
    <s v="Valid"/>
  </r>
  <r>
    <x v="275"/>
    <x v="9"/>
    <s v="Google Ads"/>
    <x v="2"/>
    <s v="SaaS"/>
    <x v="4"/>
    <n v="162064"/>
    <n v="5607"/>
    <n v="3.4599999999999999E-2"/>
    <n v="2.42"/>
    <n v="13568.94"/>
    <n v="77"/>
    <n v="176.22"/>
    <n v="8174.03"/>
    <n v="-5394.9100000000008"/>
    <n v="-0.39759259013600184"/>
    <n v="0.6"/>
    <s v="Low"/>
    <s v="Valid"/>
  </r>
  <r>
    <x v="267"/>
    <x v="8"/>
    <s v="Meta Ads"/>
    <x v="0"/>
    <s v="Fintech"/>
    <x v="2"/>
    <n v="57712"/>
    <n v="848"/>
    <n v="1.47E-2"/>
    <n v="0.9"/>
    <n v="763.2"/>
    <n v="64"/>
    <n v="11.93"/>
    <n v="2136.83"/>
    <n v="1373.6299999999999"/>
    <n v="1.7998296645702303"/>
    <n v="2.8"/>
    <s v="Medium"/>
    <s v="Valid"/>
  </r>
  <r>
    <x v="332"/>
    <x v="1"/>
    <s v="Meta Ads"/>
    <x v="2"/>
    <s v="Fintech"/>
    <x v="3"/>
    <n v="147412"/>
    <n v="3670"/>
    <n v="2.4899999999999999E-2"/>
    <n v="1.17"/>
    <n v="4293.8999999999996"/>
    <n v="162"/>
    <n v="26.51"/>
    <n v="38717.46"/>
    <n v="34423.56"/>
    <n v="8.0168518130370998"/>
    <n v="9.02"/>
    <s v="High"/>
    <s v="Valid"/>
  </r>
  <r>
    <x v="314"/>
    <x v="2"/>
    <s v="Google Ads"/>
    <x v="3"/>
    <s v="E-commerce"/>
    <x v="0"/>
    <n v="79525"/>
    <n v="2298"/>
    <n v="2.8899999999999999E-2"/>
    <n v="1.58"/>
    <n v="3630.84"/>
    <n v="119"/>
    <n v="30.51"/>
    <n v="21777.03"/>
    <n v="18146.189999999999"/>
    <n v="4.9977938989324775"/>
    <n v="6"/>
    <s v="High"/>
    <s v="Valid"/>
  </r>
  <r>
    <x v="141"/>
    <x v="5"/>
    <s v="Meta Ads"/>
    <x v="2"/>
    <s v="E-commerce"/>
    <x v="1"/>
    <n v="78480"/>
    <n v="1389"/>
    <n v="1.77E-2"/>
    <n v="1.69"/>
    <n v="2347.41"/>
    <n v="19"/>
    <n v="123.55"/>
    <n v="2972.32"/>
    <n v="624.91000000000031"/>
    <n v="0.26621254914991432"/>
    <n v="1.27"/>
    <s v="Medium"/>
    <s v="Valid"/>
  </r>
  <r>
    <x v="334"/>
    <x v="11"/>
    <s v="TikTok Ads"/>
    <x v="3"/>
    <s v="SaaS"/>
    <x v="1"/>
    <n v="165232"/>
    <n v="7617"/>
    <n v="4.6100000000000002E-2"/>
    <n v="0.77"/>
    <n v="5865.09"/>
    <n v="601"/>
    <n v="9.76"/>
    <n v="102707.85"/>
    <n v="96842.760000000009"/>
    <n v="16.511726162769882"/>
    <n v="17.510000000000002"/>
    <s v="High"/>
    <s v="Valid"/>
  </r>
  <r>
    <x v="267"/>
    <x v="8"/>
    <s v="Google Ads"/>
    <x v="3"/>
    <s v="SaaS"/>
    <x v="0"/>
    <n v="13294"/>
    <n v="583"/>
    <n v="4.3900000000000002E-2"/>
    <n v="1.38"/>
    <n v="804.54"/>
    <n v="46"/>
    <n v="17.489999999999998"/>
    <n v="11553.7"/>
    <n v="10749.16"/>
    <n v="13.360628433639098"/>
    <n v="14.36"/>
    <s v="High"/>
    <s v="Valid"/>
  </r>
  <r>
    <x v="28"/>
    <x v="6"/>
    <s v="Meta Ads"/>
    <x v="1"/>
    <s v="EdTech"/>
    <x v="1"/>
    <n v="55333"/>
    <n v="852"/>
    <n v="1.54E-2"/>
    <n v="1.05"/>
    <n v="894.6"/>
    <n v="66"/>
    <n v="13.55"/>
    <n v="12295.52"/>
    <n v="11400.92"/>
    <n v="12.744153811759446"/>
    <n v="13.74"/>
    <s v="High"/>
    <s v="Valid"/>
  </r>
  <r>
    <x v="228"/>
    <x v="7"/>
    <s v="Meta Ads"/>
    <x v="3"/>
    <s v="Fintech"/>
    <x v="1"/>
    <n v="177027"/>
    <n v="6160"/>
    <n v="3.4799999999999998E-2"/>
    <n v="1.23"/>
    <n v="7576.8"/>
    <n v="220"/>
    <n v="34.44"/>
    <n v="59390.91"/>
    <n v="51814.11"/>
    <n v="6.8385215394361731"/>
    <n v="7.84"/>
    <s v="High"/>
    <s v="Valid"/>
  </r>
  <r>
    <x v="251"/>
    <x v="6"/>
    <s v="Meta Ads"/>
    <x v="0"/>
    <s v="E-commerce"/>
    <x v="2"/>
    <n v="21679"/>
    <n v="448"/>
    <n v="2.07E-2"/>
    <n v="0.89"/>
    <n v="398.72"/>
    <n v="31"/>
    <n v="12.86"/>
    <n v="3556.66"/>
    <n v="3157.9399999999996"/>
    <n v="7.9201946227929358"/>
    <n v="8.92"/>
    <s v="High"/>
    <s v="Valid"/>
  </r>
  <r>
    <x v="101"/>
    <x v="10"/>
    <s v="Google Ads"/>
    <x v="0"/>
    <s v="Healthcare"/>
    <x v="1"/>
    <n v="18601"/>
    <n v="706"/>
    <n v="3.7999999999999999E-2"/>
    <n v="2"/>
    <n v="1412"/>
    <n v="54"/>
    <n v="26.15"/>
    <n v="3302.39"/>
    <n v="1890.3899999999999"/>
    <n v="1.3388031161473086"/>
    <n v="2.34"/>
    <s v="Medium"/>
    <s v="Valid"/>
  </r>
  <r>
    <x v="45"/>
    <x v="6"/>
    <s v="Google Ads"/>
    <x v="2"/>
    <s v="Healthcare"/>
    <x v="0"/>
    <n v="146583"/>
    <n v="2990"/>
    <n v="2.0400000000000001E-2"/>
    <n v="1.61"/>
    <n v="4813.8999999999996"/>
    <n v="114"/>
    <n v="42.23"/>
    <n v="8660.2800000000007"/>
    <n v="3846.380000000001"/>
    <n v="0.7990153513783006"/>
    <n v="1.8"/>
    <s v="Medium"/>
    <s v="Valid"/>
  </r>
  <r>
    <x v="333"/>
    <x v="6"/>
    <s v="Google Ads"/>
    <x v="2"/>
    <s v="Fintech"/>
    <x v="6"/>
    <n v="46745"/>
    <n v="2140"/>
    <n v="4.58E-2"/>
    <n v="3.44"/>
    <n v="7361.6"/>
    <n v="38"/>
    <n v="193.73"/>
    <n v="5289.97"/>
    <n v="-2071.63"/>
    <n v="-0.28141029124103456"/>
    <n v="0.72"/>
    <s v="Low"/>
    <s v="Valid"/>
  </r>
  <r>
    <x v="339"/>
    <x v="9"/>
    <s v="Google Ads"/>
    <x v="3"/>
    <s v="E-commerce"/>
    <x v="4"/>
    <n v="39505"/>
    <n v="2251"/>
    <n v="5.7000000000000002E-2"/>
    <n v="3.06"/>
    <n v="6888.06"/>
    <n v="149"/>
    <n v="46.23"/>
    <n v="30920.99"/>
    <n v="24032.93"/>
    <n v="3.4890709430521798"/>
    <n v="4.49"/>
    <s v="High"/>
    <s v="Valid"/>
  </r>
  <r>
    <x v="334"/>
    <x v="11"/>
    <s v="Google Ads"/>
    <x v="2"/>
    <s v="Healthcare"/>
    <x v="3"/>
    <n v="179342"/>
    <n v="4071"/>
    <n v="2.2700000000000001E-2"/>
    <n v="2.2599999999999998"/>
    <n v="9200.4599999999991"/>
    <n v="195"/>
    <n v="47.18"/>
    <n v="30682.52"/>
    <n v="21482.06"/>
    <n v="2.3348897772502681"/>
    <n v="3.33"/>
    <s v="High"/>
    <s v="Valid"/>
  </r>
  <r>
    <x v="145"/>
    <x v="3"/>
    <s v="Google Ads"/>
    <x v="1"/>
    <s v="Fintech"/>
    <x v="0"/>
    <n v="75410"/>
    <n v="3039"/>
    <n v="4.0300000000000002E-2"/>
    <n v="0.95"/>
    <n v="2887.05"/>
    <n v="239"/>
    <n v="12.08"/>
    <n v="29467.42"/>
    <n v="26580.37"/>
    <n v="9.2067577631145969"/>
    <n v="10.210000000000001"/>
    <s v="High"/>
    <s v="Valid"/>
  </r>
  <r>
    <x v="192"/>
    <x v="1"/>
    <s v="Google Ads"/>
    <x v="0"/>
    <s v="Healthcare"/>
    <x v="0"/>
    <n v="83488"/>
    <n v="4049"/>
    <n v="4.8500000000000001E-2"/>
    <n v="1.1499999999999999"/>
    <n v="4656.3500000000004"/>
    <n v="45"/>
    <n v="103.47"/>
    <n v="2103"/>
    <n v="-2553.3500000000004"/>
    <n v="-0.54835869296766782"/>
    <n v="0.45"/>
    <s v="Low"/>
    <s v="Valid"/>
  </r>
  <r>
    <x v="25"/>
    <x v="9"/>
    <s v="TikTok Ads"/>
    <x v="3"/>
    <s v="SaaS"/>
    <x v="2"/>
    <n v="149143"/>
    <n v="5175"/>
    <n v="3.4700000000000002E-2"/>
    <n v="0.53"/>
    <n v="2742.75"/>
    <n v="140"/>
    <n v="19.59"/>
    <n v="11705.28"/>
    <n v="8962.5300000000007"/>
    <n v="3.2677167076838942"/>
    <n v="4.2699999999999996"/>
    <s v="High"/>
    <s v="Valid"/>
  </r>
  <r>
    <x v="253"/>
    <x v="6"/>
    <s v="Meta Ads"/>
    <x v="2"/>
    <s v="Fintech"/>
    <x v="6"/>
    <n v="52743"/>
    <n v="1207"/>
    <n v="2.29E-2"/>
    <n v="1.93"/>
    <n v="2329.5100000000002"/>
    <n v="90"/>
    <n v="25.88"/>
    <n v="11281.65"/>
    <n v="8952.14"/>
    <n v="3.8429283411532893"/>
    <n v="4.84"/>
    <s v="High"/>
    <s v="Valid"/>
  </r>
  <r>
    <x v="123"/>
    <x v="5"/>
    <s v="Meta Ads"/>
    <x v="2"/>
    <s v="Healthcare"/>
    <x v="1"/>
    <n v="92091"/>
    <n v="3342"/>
    <n v="3.6299999999999999E-2"/>
    <n v="1.48"/>
    <n v="4946.16"/>
    <n v="145"/>
    <n v="34.11"/>
    <n v="37976.42"/>
    <n v="33030.259999999995"/>
    <n v="6.6779602762547094"/>
    <n v="7.68"/>
    <s v="High"/>
    <s v="Valid"/>
  </r>
  <r>
    <x v="219"/>
    <x v="5"/>
    <s v="TikTok Ads"/>
    <x v="1"/>
    <s v="Healthcare"/>
    <x v="2"/>
    <n v="118687"/>
    <n v="10586"/>
    <n v="8.9200000000000002E-2"/>
    <n v="0.75"/>
    <n v="7939.5"/>
    <n v="635"/>
    <n v="12.5"/>
    <n v="88046.75"/>
    <n v="80107.25"/>
    <n v="10.089709679450847"/>
    <n v="11.09"/>
    <s v="High"/>
    <s v="Valid"/>
  </r>
  <r>
    <x v="146"/>
    <x v="3"/>
    <s v="Google Ads"/>
    <x v="1"/>
    <s v="EdTech"/>
    <x v="0"/>
    <n v="195664"/>
    <n v="6378"/>
    <n v="3.2599999999999997E-2"/>
    <n v="2.6"/>
    <n v="16582.8"/>
    <n v="312"/>
    <n v="53.15"/>
    <n v="33814.660000000003"/>
    <n v="17231.860000000004"/>
    <n v="1.0391405552741397"/>
    <n v="2.04"/>
    <s v="Medium"/>
    <s v="Valid"/>
  </r>
  <r>
    <x v="273"/>
    <x v="7"/>
    <s v="TikTok Ads"/>
    <x v="0"/>
    <s v="EdTech"/>
    <x v="5"/>
    <n v="89946"/>
    <n v="5162"/>
    <n v="5.74E-2"/>
    <n v="0.63"/>
    <n v="3252.06"/>
    <n v="349"/>
    <n v="9.32"/>
    <n v="87393.19"/>
    <n v="84141.13"/>
    <n v="25.873178846638748"/>
    <n v="26.87"/>
    <s v="High"/>
    <s v="Valid"/>
  </r>
  <r>
    <x v="269"/>
    <x v="9"/>
    <s v="TikTok Ads"/>
    <x v="0"/>
    <s v="EdTech"/>
    <x v="5"/>
    <n v="170529"/>
    <n v="11766"/>
    <n v="6.9000000000000006E-2"/>
    <n v="1.48"/>
    <n v="17413.68"/>
    <n v="695"/>
    <n v="25.06"/>
    <n v="102403.13"/>
    <n v="84989.450000000012"/>
    <n v="4.8806139770571191"/>
    <n v="5.88"/>
    <s v="High"/>
    <s v="Valid"/>
  </r>
  <r>
    <x v="240"/>
    <x v="0"/>
    <s v="Meta Ads"/>
    <x v="3"/>
    <s v="Fintech"/>
    <x v="4"/>
    <n v="129750"/>
    <n v="2452"/>
    <n v="1.89E-2"/>
    <n v="1.0900000000000001"/>
    <n v="2672.68"/>
    <n v="93"/>
    <n v="28.74"/>
    <n v="23770.39"/>
    <n v="21097.71"/>
    <n v="7.8938406393582472"/>
    <n v="8.89"/>
    <s v="High"/>
    <s v="Valid"/>
  </r>
  <r>
    <x v="1"/>
    <x v="0"/>
    <s v="Meta Ads"/>
    <x v="3"/>
    <s v="Healthcare"/>
    <x v="2"/>
    <n v="197882"/>
    <n v="5144"/>
    <n v="2.5999999999999999E-2"/>
    <n v="0.81"/>
    <n v="4166.6400000000003"/>
    <n v="299"/>
    <n v="13.94"/>
    <n v="68061.759999999995"/>
    <n v="63895.119999999995"/>
    <n v="15.334926943532436"/>
    <n v="16.329999999999998"/>
    <s v="High"/>
    <s v="Valid"/>
  </r>
  <r>
    <x v="319"/>
    <x v="1"/>
    <s v="Google Ads"/>
    <x v="3"/>
    <s v="E-commerce"/>
    <x v="6"/>
    <n v="58266"/>
    <n v="2651"/>
    <n v="4.5499999999999999E-2"/>
    <n v="1.22"/>
    <n v="3234.22"/>
    <n v="103"/>
    <n v="31.4"/>
    <n v="3487.43"/>
    <n v="253.21000000000004"/>
    <n v="7.8290901670263632E-2"/>
    <n v="1.08"/>
    <s v="Medium"/>
    <s v="Valid"/>
  </r>
  <r>
    <x v="218"/>
    <x v="7"/>
    <s v="Meta Ads"/>
    <x v="0"/>
    <s v="E-commerce"/>
    <x v="2"/>
    <n v="98699"/>
    <n v="2171"/>
    <n v="2.1999999999999999E-2"/>
    <n v="2.2200000000000002"/>
    <n v="4819.62"/>
    <n v="92"/>
    <n v="52.39"/>
    <n v="5066.63"/>
    <n v="247.01000000000022"/>
    <n v="5.1250928496437524E-2"/>
    <n v="1.05"/>
    <s v="Medium"/>
    <s v="Valid"/>
  </r>
  <r>
    <x v="221"/>
    <x v="0"/>
    <s v="TikTok Ads"/>
    <x v="1"/>
    <s v="EdTech"/>
    <x v="1"/>
    <n v="172820"/>
    <n v="5512"/>
    <n v="3.1899999999999998E-2"/>
    <n v="1.5"/>
    <n v="8268"/>
    <n v="229"/>
    <n v="36.1"/>
    <n v="38190.22"/>
    <n v="29922.22"/>
    <n v="3.6190396710208033"/>
    <n v="4.62"/>
    <s v="High"/>
    <s v="Valid"/>
  </r>
  <r>
    <x v="188"/>
    <x v="6"/>
    <s v="Google Ads"/>
    <x v="2"/>
    <s v="EdTech"/>
    <x v="1"/>
    <n v="61902"/>
    <n v="2599"/>
    <n v="4.2000000000000003E-2"/>
    <n v="2.92"/>
    <n v="7589.08"/>
    <n v="160"/>
    <n v="47.43"/>
    <n v="43994.91"/>
    <n v="36405.83"/>
    <n v="4.7971335128895731"/>
    <n v="5.8"/>
    <s v="High"/>
    <s v="Valid"/>
  </r>
  <r>
    <x v="340"/>
    <x v="10"/>
    <s v="TikTok Ads"/>
    <x v="2"/>
    <s v="EdTech"/>
    <x v="0"/>
    <n v="148573"/>
    <n v="8706"/>
    <n v="5.8599999999999999E-2"/>
    <n v="1.77"/>
    <n v="15409.62"/>
    <n v="643"/>
    <n v="23.97"/>
    <n v="163989.09"/>
    <n v="148579.47"/>
    <n v="9.641994416474903"/>
    <n v="10.64"/>
    <s v="High"/>
    <s v="Valid"/>
  </r>
  <r>
    <x v="290"/>
    <x v="6"/>
    <s v="Meta Ads"/>
    <x v="2"/>
    <s v="EdTech"/>
    <x v="3"/>
    <n v="149654"/>
    <n v="6689"/>
    <n v="4.4699999999999997E-2"/>
    <n v="1.29"/>
    <n v="8628.81"/>
    <n v="262"/>
    <n v="32.93"/>
    <n v="10578.46"/>
    <n v="1949.6499999999996"/>
    <n v="0.22594656737139882"/>
    <n v="1.23"/>
    <s v="Medium"/>
    <s v="Valid"/>
  </r>
  <r>
    <x v="301"/>
    <x v="0"/>
    <s v="Meta Ads"/>
    <x v="0"/>
    <s v="Healthcare"/>
    <x v="5"/>
    <n v="191478"/>
    <n v="6414"/>
    <n v="3.3500000000000002E-2"/>
    <n v="1.57"/>
    <n v="10069.98"/>
    <n v="236"/>
    <n v="42.67"/>
    <n v="56534.15"/>
    <n v="46464.17"/>
    <n v="4.6141273368963986"/>
    <n v="5.61"/>
    <s v="High"/>
    <s v="Valid"/>
  </r>
  <r>
    <x v="107"/>
    <x v="8"/>
    <s v="Meta Ads"/>
    <x v="0"/>
    <s v="E-commerce"/>
    <x v="4"/>
    <n v="7196"/>
    <n v="287"/>
    <n v="0.04"/>
    <n v="2.21"/>
    <n v="634.27"/>
    <n v="10"/>
    <n v="63.43"/>
    <n v="693.26"/>
    <n v="58.990000000000009"/>
    <n v="9.3004556419190587E-2"/>
    <n v="1.0900000000000001"/>
    <s v="Medium"/>
    <s v="Valid"/>
  </r>
  <r>
    <x v="266"/>
    <x v="6"/>
    <s v="Google Ads"/>
    <x v="3"/>
    <s v="Healthcare"/>
    <x v="5"/>
    <n v="30757"/>
    <n v="1202"/>
    <n v="3.9100000000000003E-2"/>
    <n v="3.26"/>
    <n v="3918.52"/>
    <n v="60"/>
    <n v="65.31"/>
    <n v="5647"/>
    <n v="1728.48"/>
    <n v="0.44110531527209251"/>
    <n v="1.44"/>
    <s v="Medium"/>
    <s v="Valid"/>
  </r>
  <r>
    <x v="88"/>
    <x v="5"/>
    <s v="Google Ads"/>
    <x v="3"/>
    <s v="Healthcare"/>
    <x v="4"/>
    <n v="17578"/>
    <n v="330"/>
    <n v="1.8800000000000001E-2"/>
    <n v="3.07"/>
    <n v="1013.1"/>
    <n v="20"/>
    <n v="50.66"/>
    <n v="3553.78"/>
    <n v="2540.6800000000003"/>
    <n v="2.5078274602704571"/>
    <n v="3.51"/>
    <s v="High"/>
    <s v="Valid"/>
  </r>
  <r>
    <x v="341"/>
    <x v="2"/>
    <s v="Google Ads"/>
    <x v="3"/>
    <s v="E-commerce"/>
    <x v="2"/>
    <n v="65530"/>
    <n v="2018"/>
    <n v="3.0800000000000001E-2"/>
    <n v="2.81"/>
    <n v="5670.58"/>
    <n v="117"/>
    <n v="48.47"/>
    <n v="12114.63"/>
    <n v="6444.0499999999993"/>
    <n v="1.1364005092953453"/>
    <n v="2.14"/>
    <s v="Medium"/>
    <s v="Valid"/>
  </r>
  <r>
    <x v="74"/>
    <x v="7"/>
    <s v="TikTok Ads"/>
    <x v="0"/>
    <s v="SaaS"/>
    <x v="1"/>
    <n v="89403"/>
    <n v="5578"/>
    <n v="6.2399999999999997E-2"/>
    <n v="1.48"/>
    <n v="8255.44"/>
    <n v="414"/>
    <n v="19.940000000000001"/>
    <n v="80503.149999999994"/>
    <n v="72247.709999999992"/>
    <n v="8.7515274776389855"/>
    <n v="9.75"/>
    <s v="High"/>
    <s v="Valid"/>
  </r>
  <r>
    <x v="77"/>
    <x v="1"/>
    <s v="TikTok Ads"/>
    <x v="2"/>
    <s v="E-commerce"/>
    <x v="6"/>
    <n v="161904"/>
    <n v="4339"/>
    <n v="2.6800000000000001E-2"/>
    <n v="1.05"/>
    <n v="4555.95"/>
    <n v="178"/>
    <n v="25.6"/>
    <n v="22405.85"/>
    <n v="17849.899999999998"/>
    <n v="3.9179314961753309"/>
    <n v="4.92"/>
    <s v="High"/>
    <s v="Valid"/>
  </r>
  <r>
    <x v="342"/>
    <x v="7"/>
    <s v="Meta Ads"/>
    <x v="1"/>
    <s v="EdTech"/>
    <x v="4"/>
    <n v="27036"/>
    <n v="708"/>
    <n v="2.6200000000000001E-2"/>
    <n v="1.67"/>
    <n v="1182.3599999999999"/>
    <n v="12"/>
    <n v="98.53"/>
    <n v="1538.26"/>
    <n v="355.90000000000009"/>
    <n v="0.30100815318515523"/>
    <n v="1.3"/>
    <s v="Medium"/>
    <s v="Valid"/>
  </r>
  <r>
    <x v="22"/>
    <x v="1"/>
    <s v="Meta Ads"/>
    <x v="2"/>
    <s v="SaaS"/>
    <x v="1"/>
    <n v="12712"/>
    <n v="212"/>
    <n v="1.67E-2"/>
    <n v="1.7"/>
    <n v="360.4"/>
    <n v="9"/>
    <n v="40.04"/>
    <n v="375.03"/>
    <n v="14.629999999999995"/>
    <n v="4.0593784683684783E-2"/>
    <n v="1.04"/>
    <s v="Medium"/>
    <s v="Valid"/>
  </r>
  <r>
    <x v="280"/>
    <x v="2"/>
    <s v="Google Ads"/>
    <x v="2"/>
    <s v="E-commerce"/>
    <x v="0"/>
    <n v="24198"/>
    <n v="1214"/>
    <n v="5.0200000000000002E-2"/>
    <n v="1.35"/>
    <n v="1638.9"/>
    <n v="60"/>
    <n v="27.32"/>
    <n v="11611.94"/>
    <n v="9973.0400000000009"/>
    <n v="6.0852034901458296"/>
    <n v="7.09"/>
    <s v="High"/>
    <s v="Valid"/>
  </r>
  <r>
    <x v="298"/>
    <x v="10"/>
    <s v="Google Ads"/>
    <x v="3"/>
    <s v="SaaS"/>
    <x v="5"/>
    <n v="80324"/>
    <n v="2337"/>
    <n v="2.9100000000000001E-2"/>
    <n v="2.99"/>
    <n v="6987.63"/>
    <n v="50"/>
    <n v="139.75"/>
    <n v="12463.37"/>
    <n v="5475.7400000000007"/>
    <n v="0.7836333635295516"/>
    <n v="1.78"/>
    <s v="Medium"/>
    <s v="Valid"/>
  </r>
  <r>
    <x v="10"/>
    <x v="5"/>
    <s v="Google Ads"/>
    <x v="0"/>
    <s v="SaaS"/>
    <x v="3"/>
    <n v="160525"/>
    <n v="6003"/>
    <n v="3.7400000000000003E-2"/>
    <n v="1.67"/>
    <n v="10025.01"/>
    <n v="106"/>
    <n v="94.58"/>
    <n v="12306.27"/>
    <n v="2281.2600000000002"/>
    <n v="0.2275568802425135"/>
    <n v="1.23"/>
    <s v="Medium"/>
    <s v="Valid"/>
  </r>
  <r>
    <x v="29"/>
    <x v="2"/>
    <s v="Google Ads"/>
    <x v="3"/>
    <s v="Fintech"/>
    <x v="3"/>
    <n v="104821"/>
    <n v="4224"/>
    <n v="4.0300000000000002E-2"/>
    <n v="1.36"/>
    <n v="5744.64"/>
    <n v="307"/>
    <n v="18.71"/>
    <n v="89314.07"/>
    <n v="83569.430000000008"/>
    <n v="14.547374596145277"/>
    <n v="15.55"/>
    <s v="High"/>
    <s v="Valid"/>
  </r>
  <r>
    <x v="169"/>
    <x v="3"/>
    <s v="Google Ads"/>
    <x v="1"/>
    <s v="Healthcare"/>
    <x v="5"/>
    <n v="48118"/>
    <n v="1616"/>
    <n v="3.3599999999999998E-2"/>
    <n v="3.66"/>
    <n v="5914.56"/>
    <n v="129"/>
    <n v="45.85"/>
    <n v="28604.240000000002"/>
    <n v="22689.68"/>
    <n v="3.8362414110263483"/>
    <n v="4.84"/>
    <s v="High"/>
    <s v="Valid"/>
  </r>
  <r>
    <x v="314"/>
    <x v="2"/>
    <s v="TikTok Ads"/>
    <x v="3"/>
    <s v="SaaS"/>
    <x v="6"/>
    <n v="53709"/>
    <n v="2868"/>
    <n v="5.3400000000000003E-2"/>
    <n v="0.89"/>
    <n v="2552.52"/>
    <n v="222"/>
    <n v="11.5"/>
    <n v="47503.54"/>
    <n v="44951.020000000004"/>
    <n v="17.61044771441556"/>
    <n v="18.61"/>
    <s v="High"/>
    <s v="Valid"/>
  </r>
  <r>
    <x v="71"/>
    <x v="2"/>
    <s v="Google Ads"/>
    <x v="3"/>
    <s v="Healthcare"/>
    <x v="1"/>
    <n v="25497"/>
    <n v="1142"/>
    <n v="4.48E-2"/>
    <n v="1.84"/>
    <n v="2101.2800000000002"/>
    <n v="75"/>
    <n v="28.02"/>
    <n v="18551.009999999998"/>
    <n v="16449.73"/>
    <n v="7.8284331455113065"/>
    <n v="8.83"/>
    <s v="High"/>
    <s v="Valid"/>
  </r>
  <r>
    <x v="153"/>
    <x v="4"/>
    <s v="TikTok Ads"/>
    <x v="3"/>
    <s v="Fintech"/>
    <x v="0"/>
    <n v="178782"/>
    <n v="7705"/>
    <n v="4.3099999999999999E-2"/>
    <n v="1.28"/>
    <n v="9862.4"/>
    <n v="352"/>
    <n v="28.02"/>
    <n v="30909.61"/>
    <n v="21047.21"/>
    <n v="2.134086023685918"/>
    <n v="3.13"/>
    <s v="High"/>
    <s v="Valid"/>
  </r>
  <r>
    <x v="343"/>
    <x v="8"/>
    <s v="Meta Ads"/>
    <x v="1"/>
    <s v="Healthcare"/>
    <x v="5"/>
    <n v="189221"/>
    <n v="7587"/>
    <n v="4.0099999999999997E-2"/>
    <n v="0.91"/>
    <n v="6904.17"/>
    <n v="80"/>
    <n v="86.3"/>
    <n v="2769.22"/>
    <n v="-4134.9500000000007"/>
    <n v="-0.59890616830118615"/>
    <n v="0.4"/>
    <s v="Low"/>
    <s v="Valid"/>
  </r>
  <r>
    <x v="25"/>
    <x v="9"/>
    <s v="Meta Ads"/>
    <x v="0"/>
    <s v="Fintech"/>
    <x v="3"/>
    <n v="138704"/>
    <n v="1803"/>
    <n v="1.2999999999999999E-2"/>
    <n v="0.86"/>
    <n v="1550.58"/>
    <n v="119"/>
    <n v="13.03"/>
    <n v="10297.42"/>
    <n v="8746.84"/>
    <n v="5.6410117504417707"/>
    <n v="6.64"/>
    <s v="High"/>
    <s v="Valid"/>
  </r>
  <r>
    <x v="60"/>
    <x v="3"/>
    <s v="Google Ads"/>
    <x v="1"/>
    <s v="EdTech"/>
    <x v="1"/>
    <n v="120475"/>
    <n v="7794"/>
    <n v="6.4699999999999994E-2"/>
    <n v="0.78"/>
    <n v="6079.32"/>
    <n v="530"/>
    <n v="11.47"/>
    <n v="143639.1"/>
    <n v="137559.78"/>
    <n v="22.627494522413691"/>
    <n v="23.63"/>
    <s v="High"/>
    <s v="Valid"/>
  </r>
  <r>
    <x v="182"/>
    <x v="4"/>
    <s v="Google Ads"/>
    <x v="2"/>
    <s v="Healthcare"/>
    <x v="3"/>
    <n v="125019"/>
    <n v="8251"/>
    <n v="6.6000000000000003E-2"/>
    <n v="3.77"/>
    <n v="31106.27"/>
    <n v="609"/>
    <n v="51.08"/>
    <n v="135443.82"/>
    <n v="104337.55"/>
    <n v="3.3542289062623065"/>
    <n v="4.3499999999999996"/>
    <s v="High"/>
    <s v="Valid"/>
  </r>
  <r>
    <x v="189"/>
    <x v="9"/>
    <s v="Meta Ads"/>
    <x v="0"/>
    <s v="EdTech"/>
    <x v="2"/>
    <n v="198775"/>
    <n v="3637"/>
    <n v="1.83E-2"/>
    <n v="1.99"/>
    <n v="7237.63"/>
    <n v="235"/>
    <n v="30.8"/>
    <n v="18520.23"/>
    <n v="11282.599999999999"/>
    <n v="1.5588804622507642"/>
    <n v="2.56"/>
    <s v="Medium"/>
    <s v="Valid"/>
  </r>
  <r>
    <x v="33"/>
    <x v="0"/>
    <s v="TikTok Ads"/>
    <x v="1"/>
    <s v="EdTech"/>
    <x v="6"/>
    <n v="52059"/>
    <n v="2956"/>
    <n v="5.6800000000000003E-2"/>
    <n v="0.56999999999999995"/>
    <n v="1684.92"/>
    <n v="29"/>
    <n v="58.1"/>
    <n v="5633.14"/>
    <n v="3948.2200000000003"/>
    <n v="2.3432685231346295"/>
    <n v="3.34"/>
    <s v="High"/>
    <s v="Valid"/>
  </r>
  <r>
    <x v="213"/>
    <x v="8"/>
    <s v="Google Ads"/>
    <x v="3"/>
    <s v="SaaS"/>
    <x v="2"/>
    <n v="183373"/>
    <n v="7169"/>
    <n v="3.9100000000000003E-2"/>
    <n v="1.55"/>
    <n v="11111.95"/>
    <n v="342"/>
    <n v="32.49"/>
    <n v="18314.28"/>
    <n v="7202.3299999999981"/>
    <n v="0.64816076386232813"/>
    <n v="1.65"/>
    <s v="Medium"/>
    <s v="Valid"/>
  </r>
  <r>
    <x v="274"/>
    <x v="7"/>
    <s v="Meta Ads"/>
    <x v="0"/>
    <s v="E-commerce"/>
    <x v="2"/>
    <n v="114844"/>
    <n v="3307"/>
    <n v="2.8799999999999999E-2"/>
    <n v="2.1"/>
    <n v="6944.7"/>
    <n v="123"/>
    <n v="56.46"/>
    <n v="36552.89"/>
    <n v="29608.19"/>
    <n v="4.2634224660532496"/>
    <n v="5.26"/>
    <s v="High"/>
    <s v="Valid"/>
  </r>
  <r>
    <x v="126"/>
    <x v="4"/>
    <s v="Meta Ads"/>
    <x v="0"/>
    <s v="E-commerce"/>
    <x v="2"/>
    <n v="53865"/>
    <n v="1098"/>
    <n v="2.0400000000000001E-2"/>
    <n v="1.28"/>
    <n v="1405.44"/>
    <n v="67"/>
    <n v="20.98"/>
    <n v="2545.35"/>
    <n v="1139.9099999999999"/>
    <n v="0.81106984289617468"/>
    <n v="1.81"/>
    <s v="Medium"/>
    <s v="Valid"/>
  </r>
  <r>
    <x v="79"/>
    <x v="0"/>
    <s v="Google Ads"/>
    <x v="1"/>
    <s v="E-commerce"/>
    <x v="3"/>
    <n v="25080"/>
    <n v="1113"/>
    <n v="4.4400000000000002E-2"/>
    <n v="2.62"/>
    <n v="2916.06"/>
    <n v="49"/>
    <n v="59.51"/>
    <n v="2232.61"/>
    <n v="-683.44999999999982"/>
    <n v="-0.23437446417426247"/>
    <n v="0.77"/>
    <s v="Low"/>
    <s v="Valid"/>
  </r>
  <r>
    <x v="198"/>
    <x v="10"/>
    <s v="TikTok Ads"/>
    <x v="0"/>
    <s v="E-commerce"/>
    <x v="5"/>
    <n v="95853"/>
    <n v="4658"/>
    <n v="4.8599999999999997E-2"/>
    <n v="0.31"/>
    <n v="1443.98"/>
    <n v="92"/>
    <n v="15.7"/>
    <n v="27317.08"/>
    <n v="25873.100000000002"/>
    <n v="17.917907450241696"/>
    <n v="18.920000000000002"/>
    <s v="High"/>
    <s v="Valid"/>
  </r>
  <r>
    <x v="12"/>
    <x v="8"/>
    <s v="Google Ads"/>
    <x v="1"/>
    <s v="SaaS"/>
    <x v="4"/>
    <n v="27593"/>
    <n v="896"/>
    <n v="3.2500000000000001E-2"/>
    <n v="2.39"/>
    <n v="2141.44"/>
    <n v="48"/>
    <n v="44.61"/>
    <n v="8087.57"/>
    <n v="5946.1299999999992"/>
    <n v="2.7766969889420197"/>
    <n v="3.78"/>
    <s v="High"/>
    <s v="Valid"/>
  </r>
  <r>
    <x v="11"/>
    <x v="7"/>
    <s v="Meta Ads"/>
    <x v="1"/>
    <s v="EdTech"/>
    <x v="2"/>
    <n v="34949"/>
    <n v="1324"/>
    <n v="3.7900000000000003E-2"/>
    <n v="1.79"/>
    <n v="2369.96"/>
    <n v="86"/>
    <n v="27.56"/>
    <n v="9084.2199999999993"/>
    <n v="6714.2599999999993"/>
    <n v="2.8330689125554858"/>
    <n v="3.83"/>
    <s v="High"/>
    <s v="Valid"/>
  </r>
  <r>
    <x v="44"/>
    <x v="8"/>
    <s v="TikTok Ads"/>
    <x v="2"/>
    <s v="E-commerce"/>
    <x v="2"/>
    <n v="72986"/>
    <n v="3379"/>
    <n v="4.6300000000000001E-2"/>
    <n v="1.77"/>
    <n v="5980.83"/>
    <n v="188"/>
    <n v="31.81"/>
    <n v="17387.72"/>
    <n v="11406.890000000001"/>
    <n v="1.907241971432059"/>
    <n v="2.91"/>
    <s v="Medium"/>
    <s v="Valid"/>
  </r>
  <r>
    <x v="341"/>
    <x v="2"/>
    <s v="Google Ads"/>
    <x v="2"/>
    <s v="Healthcare"/>
    <x v="0"/>
    <n v="149848"/>
    <n v="9290"/>
    <n v="6.2E-2"/>
    <n v="1.97"/>
    <n v="18301.3"/>
    <n v="537"/>
    <n v="34.08"/>
    <n v="106414.01"/>
    <n v="88112.709999999992"/>
    <n v="4.8145601678569276"/>
    <n v="5.81"/>
    <s v="High"/>
    <s v="Valid"/>
  </r>
  <r>
    <x v="288"/>
    <x v="7"/>
    <s v="Google Ads"/>
    <x v="1"/>
    <s v="SaaS"/>
    <x v="6"/>
    <n v="143235"/>
    <n v="3981"/>
    <n v="2.7799999999999998E-2"/>
    <n v="1.83"/>
    <n v="7285.23"/>
    <n v="125"/>
    <n v="58.28"/>
    <n v="27104.75"/>
    <n v="19819.52"/>
    <n v="2.7205071082175856"/>
    <n v="3.72"/>
    <s v="High"/>
    <s v="Valid"/>
  </r>
  <r>
    <x v="306"/>
    <x v="2"/>
    <s v="TikTok Ads"/>
    <x v="1"/>
    <s v="EdTech"/>
    <x v="5"/>
    <n v="157625"/>
    <n v="9457"/>
    <n v="0.06"/>
    <n v="0.48"/>
    <n v="4539.3599999999997"/>
    <n v="534"/>
    <n v="8.5"/>
    <n v="147520.79999999999"/>
    <n v="142981.44"/>
    <n v="31.498149518874911"/>
    <n v="32.5"/>
    <s v="High"/>
    <s v="Valid"/>
  </r>
  <r>
    <x v="258"/>
    <x v="6"/>
    <s v="Meta Ads"/>
    <x v="0"/>
    <s v="Fintech"/>
    <x v="5"/>
    <n v="172816"/>
    <n v="3819"/>
    <n v="2.2100000000000002E-2"/>
    <n v="2.14"/>
    <n v="8172.66"/>
    <n v="193"/>
    <n v="42.35"/>
    <n v="41926.28"/>
    <n v="33753.619999999995"/>
    <n v="4.1300653642755227"/>
    <n v="5.13"/>
    <s v="High"/>
    <s v="Valid"/>
  </r>
  <r>
    <x v="20"/>
    <x v="9"/>
    <s v="TikTok Ads"/>
    <x v="1"/>
    <s v="E-commerce"/>
    <x v="1"/>
    <n v="56529"/>
    <n v="4494"/>
    <n v="7.9500000000000001E-2"/>
    <n v="1.51"/>
    <n v="6785.94"/>
    <n v="104"/>
    <n v="65.25"/>
    <n v="9525.68"/>
    <n v="2739.7400000000007"/>
    <n v="0.40373772830293236"/>
    <n v="1.4"/>
    <s v="Medium"/>
    <s v="Valid"/>
  </r>
  <r>
    <x v="133"/>
    <x v="5"/>
    <s v="TikTok Ads"/>
    <x v="2"/>
    <s v="EdTech"/>
    <x v="2"/>
    <n v="176030"/>
    <n v="13079"/>
    <n v="7.4300000000000005E-2"/>
    <n v="1.51"/>
    <n v="19749.29"/>
    <n v="200"/>
    <n v="98.75"/>
    <n v="41247.07"/>
    <n v="21497.78"/>
    <n v="1.0885343219933474"/>
    <n v="2.09"/>
    <s v="Medium"/>
    <s v="Valid"/>
  </r>
  <r>
    <x v="216"/>
    <x v="6"/>
    <s v="Meta Ads"/>
    <x v="0"/>
    <s v="SaaS"/>
    <x v="4"/>
    <n v="128355"/>
    <n v="1758"/>
    <n v="1.37E-2"/>
    <n v="1.86"/>
    <n v="3269.88"/>
    <n v="122"/>
    <n v="26.8"/>
    <n v="6205.33"/>
    <n v="2935.45"/>
    <n v="0.89772407550124156"/>
    <n v="1.9"/>
    <s v="Medium"/>
    <s v="Valid"/>
  </r>
  <r>
    <x v="136"/>
    <x v="7"/>
    <s v="Google Ads"/>
    <x v="1"/>
    <s v="Fintech"/>
    <x v="2"/>
    <n v="14096"/>
    <n v="476"/>
    <n v="3.3799999999999997E-2"/>
    <n v="1.29"/>
    <n v="614.04"/>
    <n v="34"/>
    <n v="18.059999999999999"/>
    <n v="3175.83"/>
    <n v="2561.79"/>
    <n v="4.1720246238030096"/>
    <n v="5.17"/>
    <s v="High"/>
    <s v="Valid"/>
  </r>
  <r>
    <x v="81"/>
    <x v="5"/>
    <s v="Google Ads"/>
    <x v="1"/>
    <s v="SaaS"/>
    <x v="2"/>
    <n v="31855"/>
    <n v="1411"/>
    <n v="4.4299999999999999E-2"/>
    <n v="1.7"/>
    <n v="2398.6999999999998"/>
    <n v="60"/>
    <n v="39.979999999999997"/>
    <n v="3201.45"/>
    <n v="802.75"/>
    <n v="0.33466044107224752"/>
    <n v="1.33"/>
    <s v="Medium"/>
    <s v="Valid"/>
  </r>
  <r>
    <x v="176"/>
    <x v="2"/>
    <s v="Google Ads"/>
    <x v="0"/>
    <s v="EdTech"/>
    <x v="0"/>
    <n v="95218"/>
    <n v="2199"/>
    <n v="2.3099999999999999E-2"/>
    <n v="2.39"/>
    <n v="5255.61"/>
    <n v="103"/>
    <n v="51.03"/>
    <n v="17399.72"/>
    <n v="12144.11"/>
    <n v="2.3106946672222639"/>
    <n v="3.31"/>
    <s v="High"/>
    <s v="Valid"/>
  </r>
  <r>
    <x v="314"/>
    <x v="2"/>
    <s v="Google Ads"/>
    <x v="2"/>
    <s v="E-commerce"/>
    <x v="3"/>
    <n v="102409"/>
    <n v="3389"/>
    <n v="3.3099999999999997E-2"/>
    <n v="3.58"/>
    <n v="12132.62"/>
    <n v="149"/>
    <n v="81.430000000000007"/>
    <n v="31253.87"/>
    <n v="19121.25"/>
    <n v="1.5760198539144883"/>
    <n v="2.58"/>
    <s v="Medium"/>
    <s v="Valid"/>
  </r>
  <r>
    <x v="294"/>
    <x v="7"/>
    <s v="Google Ads"/>
    <x v="0"/>
    <s v="E-commerce"/>
    <x v="5"/>
    <n v="31049"/>
    <n v="1021"/>
    <n v="3.2899999999999999E-2"/>
    <n v="3.31"/>
    <n v="3379.51"/>
    <n v="31"/>
    <n v="109.02"/>
    <n v="7117.65"/>
    <n v="3738.1399999999994"/>
    <n v="1.1061189344017326"/>
    <n v="2.11"/>
    <s v="Medium"/>
    <s v="Valid"/>
  </r>
  <r>
    <x v="344"/>
    <x v="7"/>
    <s v="TikTok Ads"/>
    <x v="0"/>
    <s v="Healthcare"/>
    <x v="3"/>
    <n v="129077"/>
    <n v="4065"/>
    <n v="3.15E-2"/>
    <n v="1.22"/>
    <n v="4959.3"/>
    <n v="295"/>
    <n v="16.809999999999999"/>
    <n v="44193.52"/>
    <n v="39234.219999999994"/>
    <n v="7.9112415058576797"/>
    <n v="8.91"/>
    <s v="High"/>
    <s v="Valid"/>
  </r>
  <r>
    <x v="256"/>
    <x v="7"/>
    <s v="Meta Ads"/>
    <x v="2"/>
    <s v="E-commerce"/>
    <x v="3"/>
    <n v="166874"/>
    <n v="6641"/>
    <n v="3.9800000000000002E-2"/>
    <n v="0.68"/>
    <n v="4515.88"/>
    <n v="200"/>
    <n v="22.58"/>
    <n v="17225.95"/>
    <n v="12710.07"/>
    <n v="2.8145278439639672"/>
    <n v="3.81"/>
    <s v="High"/>
    <s v="Valid"/>
  </r>
  <r>
    <x v="272"/>
    <x v="2"/>
    <s v="Google Ads"/>
    <x v="0"/>
    <s v="SaaS"/>
    <x v="6"/>
    <n v="153865"/>
    <n v="5785"/>
    <n v="3.7600000000000001E-2"/>
    <n v="1.7"/>
    <n v="9834.5"/>
    <n v="139"/>
    <n v="70.75"/>
    <n v="16979.34"/>
    <n v="7144.84"/>
    <n v="0.7265077024759774"/>
    <n v="1.73"/>
    <s v="Medium"/>
    <s v="Valid"/>
  </r>
  <r>
    <x v="345"/>
    <x v="6"/>
    <s v="TikTok Ads"/>
    <x v="3"/>
    <s v="Healthcare"/>
    <x v="1"/>
    <n v="187199"/>
    <n v="12036"/>
    <n v="6.4299999999999996E-2"/>
    <n v="1.33"/>
    <n v="16007.88"/>
    <n v="946"/>
    <n v="16.920000000000002"/>
    <n v="165825.37"/>
    <n v="149817.49"/>
    <n v="9.3589838254659572"/>
    <n v="10.36"/>
    <s v="High"/>
    <s v="Valid"/>
  </r>
  <r>
    <x v="222"/>
    <x v="1"/>
    <s v="Meta Ads"/>
    <x v="1"/>
    <s v="SaaS"/>
    <x v="1"/>
    <n v="117696"/>
    <n v="4531"/>
    <n v="3.85E-2"/>
    <n v="1.0900000000000001"/>
    <n v="4938.79"/>
    <n v="325"/>
    <n v="15.2"/>
    <n v="19270.73"/>
    <n v="14331.939999999999"/>
    <n v="2.901913221659556"/>
    <n v="3.9"/>
    <s v="High"/>
    <s v="Valid"/>
  </r>
  <r>
    <x v="292"/>
    <x v="3"/>
    <s v="Meta Ads"/>
    <x v="0"/>
    <s v="Healthcare"/>
    <x v="4"/>
    <n v="147324"/>
    <n v="1325"/>
    <n v="8.9999999999999993E-3"/>
    <n v="1.72"/>
    <n v="2279"/>
    <n v="96"/>
    <n v="23.74"/>
    <n v="10356.84"/>
    <n v="8077.84"/>
    <n v="3.5444668714348397"/>
    <n v="4.54"/>
    <s v="High"/>
    <s v="Valid"/>
  </r>
  <r>
    <x v="246"/>
    <x v="4"/>
    <s v="Google Ads"/>
    <x v="1"/>
    <s v="Fintech"/>
    <x v="6"/>
    <n v="39001"/>
    <n v="1450"/>
    <n v="3.7199999999999997E-2"/>
    <n v="2.62"/>
    <n v="3799"/>
    <n v="18"/>
    <n v="211.06"/>
    <n v="5256.07"/>
    <n v="1457.0699999999997"/>
    <n v="0.38354040536983408"/>
    <n v="1.38"/>
    <s v="Medium"/>
    <s v="Valid"/>
  </r>
  <r>
    <x v="240"/>
    <x v="0"/>
    <s v="TikTok Ads"/>
    <x v="0"/>
    <s v="Healthcare"/>
    <x v="2"/>
    <n v="69277"/>
    <n v="5057"/>
    <n v="7.2999999999999995E-2"/>
    <n v="1.06"/>
    <n v="5360.42"/>
    <n v="268"/>
    <n v="20"/>
    <n v="57608.77"/>
    <n v="52248.35"/>
    <n v="9.7470627301592039"/>
    <n v="10.75"/>
    <s v="High"/>
    <s v="Valid"/>
  </r>
  <r>
    <x v="346"/>
    <x v="5"/>
    <s v="Google Ads"/>
    <x v="0"/>
    <s v="E-commerce"/>
    <x v="2"/>
    <n v="166687"/>
    <n v="11384"/>
    <n v="6.83E-2"/>
    <n v="0.73"/>
    <n v="8310.32"/>
    <n v="899"/>
    <n v="9.24"/>
    <n v="139644.20000000001"/>
    <n v="131333.88"/>
    <n v="15.803709123114395"/>
    <n v="16.8"/>
    <s v="High"/>
    <s v="Valid"/>
  </r>
  <r>
    <x v="347"/>
    <x v="9"/>
    <s v="Meta Ads"/>
    <x v="1"/>
    <s v="E-commerce"/>
    <x v="4"/>
    <n v="173898"/>
    <n v="5321"/>
    <n v="3.0599999999999999E-2"/>
    <n v="0.53"/>
    <n v="2820.13"/>
    <n v="239"/>
    <n v="11.8"/>
    <n v="52181.09"/>
    <n v="49360.959999999999"/>
    <n v="17.503079645264577"/>
    <n v="18.5"/>
    <s v="High"/>
    <s v="Valid"/>
  </r>
  <r>
    <x v="213"/>
    <x v="8"/>
    <s v="Google Ads"/>
    <x v="3"/>
    <s v="SaaS"/>
    <x v="4"/>
    <n v="117000"/>
    <n v="7979"/>
    <n v="6.8199999999999997E-2"/>
    <n v="1.47"/>
    <n v="11729.13"/>
    <n v="366"/>
    <n v="32.049999999999997"/>
    <n v="14373.81"/>
    <n v="2644.6800000000003"/>
    <n v="0.22547963915482228"/>
    <n v="1.23"/>
    <s v="Medium"/>
    <s v="Valid"/>
  </r>
  <r>
    <x v="146"/>
    <x v="3"/>
    <s v="Meta Ads"/>
    <x v="2"/>
    <s v="SaaS"/>
    <x v="1"/>
    <n v="55697"/>
    <n v="957"/>
    <n v="1.72E-2"/>
    <n v="0.91"/>
    <n v="870.87"/>
    <n v="12"/>
    <n v="72.569999999999993"/>
    <n v="1673.31"/>
    <n v="802.43999999999994"/>
    <n v="0.92142340418202484"/>
    <n v="1.92"/>
    <s v="Medium"/>
    <s v="Valid"/>
  </r>
  <r>
    <x v="247"/>
    <x v="10"/>
    <s v="Google Ads"/>
    <x v="3"/>
    <s v="Fintech"/>
    <x v="1"/>
    <n v="46585"/>
    <n v="1504"/>
    <n v="3.2300000000000002E-2"/>
    <n v="2.2000000000000002"/>
    <n v="3308.8"/>
    <n v="85"/>
    <n v="38.93"/>
    <n v="13372.82"/>
    <n v="10064.02"/>
    <n v="3.0415921179883947"/>
    <n v="4.04"/>
    <s v="High"/>
    <s v="Valid"/>
  </r>
  <r>
    <x v="6"/>
    <x v="4"/>
    <s v="TikTok Ads"/>
    <x v="0"/>
    <s v="E-commerce"/>
    <x v="3"/>
    <n v="97345"/>
    <n v="5178"/>
    <n v="5.3199999999999997E-2"/>
    <n v="0.61"/>
    <n v="3158.58"/>
    <n v="289"/>
    <n v="10.93"/>
    <n v="44113.49"/>
    <n v="40954.909999999996"/>
    <n v="12.966241159001829"/>
    <n v="13.97"/>
    <s v="High"/>
    <s v="Valid"/>
  </r>
  <r>
    <x v="297"/>
    <x v="1"/>
    <s v="TikTok Ads"/>
    <x v="1"/>
    <s v="E-commerce"/>
    <x v="5"/>
    <n v="143519"/>
    <n v="10519"/>
    <n v="7.3300000000000004E-2"/>
    <n v="0.86"/>
    <n v="9046.34"/>
    <n v="673"/>
    <n v="13.44"/>
    <n v="28878.71"/>
    <n v="19832.37"/>
    <n v="2.1923087126948575"/>
    <n v="3.19"/>
    <s v="High"/>
    <s v="Valid"/>
  </r>
  <r>
    <x v="107"/>
    <x v="8"/>
    <s v="Meta Ads"/>
    <x v="3"/>
    <s v="E-commerce"/>
    <x v="4"/>
    <n v="68843"/>
    <n v="633"/>
    <n v="9.1999999999999998E-3"/>
    <n v="0.89"/>
    <n v="563.37"/>
    <n v="25"/>
    <n v="22.53"/>
    <n v="2441.19"/>
    <n v="1877.8200000000002"/>
    <n v="3.3331913307417862"/>
    <n v="4.33"/>
    <s v="High"/>
    <s v="Valid"/>
  </r>
  <r>
    <x v="104"/>
    <x v="11"/>
    <s v="Google Ads"/>
    <x v="3"/>
    <s v="Fintech"/>
    <x v="2"/>
    <n v="129679"/>
    <n v="5848"/>
    <n v="4.5100000000000001E-2"/>
    <n v="1.48"/>
    <n v="8655.0400000000009"/>
    <n v="158"/>
    <n v="54.78"/>
    <n v="32419.87"/>
    <n v="23764.829999999998"/>
    <n v="2.7457793378193509"/>
    <n v="3.75"/>
    <s v="High"/>
    <s v="Valid"/>
  </r>
  <r>
    <x v="311"/>
    <x v="0"/>
    <s v="Meta Ads"/>
    <x v="0"/>
    <s v="Fintech"/>
    <x v="1"/>
    <n v="153157"/>
    <n v="5498"/>
    <n v="3.5900000000000001E-2"/>
    <n v="1.8"/>
    <n v="9896.4"/>
    <n v="401"/>
    <n v="24.68"/>
    <n v="90694.52"/>
    <n v="80798.12000000001"/>
    <n v="8.1643951335839304"/>
    <n v="9.16"/>
    <s v="High"/>
    <s v="Valid"/>
  </r>
  <r>
    <x v="276"/>
    <x v="4"/>
    <s v="Meta Ads"/>
    <x v="3"/>
    <s v="E-commerce"/>
    <x v="4"/>
    <n v="138074"/>
    <n v="3313"/>
    <n v="2.4E-2"/>
    <n v="1.91"/>
    <n v="6327.83"/>
    <n v="209"/>
    <n v="30.28"/>
    <n v="16533.53"/>
    <n v="10205.699999999999"/>
    <n v="1.6128277782430942"/>
    <n v="2.61"/>
    <s v="Medium"/>
    <s v="Valid"/>
  </r>
  <r>
    <x v="28"/>
    <x v="6"/>
    <s v="Google Ads"/>
    <x v="2"/>
    <s v="SaaS"/>
    <x v="3"/>
    <n v="119132"/>
    <n v="3466"/>
    <n v="2.9100000000000001E-2"/>
    <n v="2.19"/>
    <n v="7590.54"/>
    <n v="261"/>
    <n v="29.08"/>
    <n v="30598.06"/>
    <n v="23007.52"/>
    <n v="3.0310781578122241"/>
    <n v="4.03"/>
    <s v="High"/>
    <s v="Valid"/>
  </r>
  <r>
    <x v="131"/>
    <x v="8"/>
    <s v="Google Ads"/>
    <x v="1"/>
    <s v="E-commerce"/>
    <x v="4"/>
    <n v="43634"/>
    <n v="1937"/>
    <n v="4.4400000000000002E-2"/>
    <n v="2.38"/>
    <n v="4610.0600000000004"/>
    <n v="58"/>
    <n v="79.48"/>
    <n v="15065.19"/>
    <n v="10455.130000000001"/>
    <n v="2.2678945610252361"/>
    <n v="3.27"/>
    <s v="High"/>
    <s v="Valid"/>
  </r>
  <r>
    <x v="222"/>
    <x v="1"/>
    <s v="Meta Ads"/>
    <x v="2"/>
    <s v="Fintech"/>
    <x v="2"/>
    <n v="198899"/>
    <n v="2923"/>
    <n v="1.47E-2"/>
    <n v="1.97"/>
    <n v="5758.31"/>
    <n v="95"/>
    <n v="60.61"/>
    <n v="3750"/>
    <n v="-2008.3100000000004"/>
    <n v="-0.34876725983839013"/>
    <n v="0.65"/>
    <s v="Low"/>
    <s v="Valid"/>
  </r>
  <r>
    <x v="284"/>
    <x v="8"/>
    <s v="Meta Ads"/>
    <x v="1"/>
    <s v="SaaS"/>
    <x v="3"/>
    <n v="143383"/>
    <n v="3412"/>
    <n v="2.3800000000000002E-2"/>
    <n v="1.02"/>
    <n v="3480.24"/>
    <n v="117"/>
    <n v="29.75"/>
    <n v="19100.2"/>
    <n v="15619.960000000001"/>
    <n v="4.488184722892675"/>
    <n v="5.49"/>
    <s v="High"/>
    <s v="Valid"/>
  </r>
  <r>
    <x v="314"/>
    <x v="2"/>
    <s v="Meta Ads"/>
    <x v="1"/>
    <s v="E-commerce"/>
    <x v="0"/>
    <n v="92469"/>
    <n v="2487"/>
    <n v="2.69E-2"/>
    <n v="0.6"/>
    <n v="1492.2"/>
    <n v="48"/>
    <n v="31.09"/>
    <n v="14164.35"/>
    <n v="12672.15"/>
    <n v="8.4922597507036581"/>
    <n v="9.49"/>
    <s v="High"/>
    <s v="Valid"/>
  </r>
  <r>
    <x v="102"/>
    <x v="6"/>
    <s v="Google Ads"/>
    <x v="2"/>
    <s v="SaaS"/>
    <x v="3"/>
    <n v="30852"/>
    <n v="684"/>
    <n v="2.2200000000000001E-2"/>
    <n v="1.59"/>
    <n v="1087.56"/>
    <n v="11"/>
    <n v="98.87"/>
    <n v="2813.84"/>
    <n v="1726.2800000000002"/>
    <n v="1.5872963330758765"/>
    <n v="2.59"/>
    <s v="Medium"/>
    <s v="Valid"/>
  </r>
  <r>
    <x v="28"/>
    <x v="6"/>
    <s v="Meta Ads"/>
    <x v="0"/>
    <s v="Healthcare"/>
    <x v="3"/>
    <n v="87565"/>
    <n v="3213"/>
    <n v="3.6700000000000003E-2"/>
    <n v="2.2000000000000002"/>
    <n v="7068.6"/>
    <n v="106"/>
    <n v="66.680000000000007"/>
    <n v="13715.98"/>
    <n v="6647.3799999999992"/>
    <n v="0.94040969923322848"/>
    <n v="1.94"/>
    <s v="Medium"/>
    <s v="Valid"/>
  </r>
  <r>
    <x v="189"/>
    <x v="9"/>
    <s v="Google Ads"/>
    <x v="2"/>
    <s v="EdTech"/>
    <x v="1"/>
    <n v="154058"/>
    <n v="3728"/>
    <n v="2.4199999999999999E-2"/>
    <n v="2.46"/>
    <n v="9170.8799999999992"/>
    <n v="125"/>
    <n v="73.37"/>
    <n v="7520.81"/>
    <n v="-1650.0699999999988"/>
    <n v="-0.17992493632017853"/>
    <n v="0.82"/>
    <s v="Low"/>
    <s v="Valid"/>
  </r>
  <r>
    <x v="305"/>
    <x v="1"/>
    <s v="Google Ads"/>
    <x v="3"/>
    <s v="SaaS"/>
    <x v="5"/>
    <n v="160579"/>
    <n v="7804"/>
    <n v="4.8599999999999997E-2"/>
    <n v="1.36"/>
    <n v="10613.44"/>
    <n v="193"/>
    <n v="54.99"/>
    <n v="9996.49"/>
    <n v="-616.95000000000073"/>
    <n v="-5.8129126842946369E-2"/>
    <n v="0.94"/>
    <s v="Low"/>
    <s v="Valid"/>
  </r>
  <r>
    <x v="348"/>
    <x v="3"/>
    <s v="TikTok Ads"/>
    <x v="0"/>
    <s v="SaaS"/>
    <x v="0"/>
    <n v="34076"/>
    <n v="1363"/>
    <n v="0.04"/>
    <n v="1.1399999999999999"/>
    <n v="1553.82"/>
    <n v="16"/>
    <n v="97.11"/>
    <n v="2219.67"/>
    <n v="665.85000000000014"/>
    <n v="0.42852453952195246"/>
    <n v="1.43"/>
    <s v="Medium"/>
    <s v="Valid"/>
  </r>
  <r>
    <x v="349"/>
    <x v="8"/>
    <s v="TikTok Ads"/>
    <x v="2"/>
    <s v="Healthcare"/>
    <x v="3"/>
    <n v="37261"/>
    <n v="1591"/>
    <n v="4.2700000000000002E-2"/>
    <n v="1.08"/>
    <n v="1718.28"/>
    <n v="40"/>
    <n v="42.96"/>
    <n v="8930.0400000000009"/>
    <n v="7211.7600000000011"/>
    <n v="4.197080801731965"/>
    <n v="5.2"/>
    <s v="High"/>
    <s v="Valid"/>
  </r>
  <r>
    <x v="313"/>
    <x v="2"/>
    <s v="Meta Ads"/>
    <x v="2"/>
    <s v="Fintech"/>
    <x v="2"/>
    <n v="178553"/>
    <n v="7213"/>
    <n v="4.0399999999999998E-2"/>
    <n v="2.2799999999999998"/>
    <n v="16445.64"/>
    <n v="556"/>
    <n v="29.58"/>
    <n v="50559.85"/>
    <n v="34114.21"/>
    <n v="2.0743619585494999"/>
    <n v="3.07"/>
    <s v="High"/>
    <s v="Valid"/>
  </r>
  <r>
    <x v="36"/>
    <x v="11"/>
    <s v="Meta Ads"/>
    <x v="0"/>
    <s v="Healthcare"/>
    <x v="6"/>
    <n v="132390"/>
    <n v="2780"/>
    <n v="2.1000000000000001E-2"/>
    <n v="1.01"/>
    <n v="2807.8"/>
    <n v="133"/>
    <n v="21.11"/>
    <n v="39444.5"/>
    <n v="36636.699999999997"/>
    <n v="13.04818719282"/>
    <n v="14.05"/>
    <s v="High"/>
    <s v="Valid"/>
  </r>
  <r>
    <x v="190"/>
    <x v="4"/>
    <s v="TikTok Ads"/>
    <x v="0"/>
    <s v="Healthcare"/>
    <x v="6"/>
    <n v="166446"/>
    <n v="7822"/>
    <n v="4.7E-2"/>
    <n v="1.1499999999999999"/>
    <n v="8995.2999999999993"/>
    <n v="218"/>
    <n v="41.26"/>
    <n v="21100.54"/>
    <n v="12105.240000000002"/>
    <n v="1.3457294364834973"/>
    <n v="2.35"/>
    <s v="Medium"/>
    <s v="Valid"/>
  </r>
  <r>
    <x v="326"/>
    <x v="3"/>
    <s v="TikTok Ads"/>
    <x v="2"/>
    <s v="EdTech"/>
    <x v="3"/>
    <n v="158807"/>
    <n v="5859"/>
    <n v="3.6900000000000002E-2"/>
    <n v="0.56999999999999995"/>
    <n v="3339.63"/>
    <n v="73"/>
    <n v="45.75"/>
    <n v="7304.51"/>
    <n v="3964.88"/>
    <n v="1.1872213388908353"/>
    <n v="2.19"/>
    <s v="Medium"/>
    <s v="Valid"/>
  </r>
  <r>
    <x v="263"/>
    <x v="3"/>
    <s v="Meta Ads"/>
    <x v="1"/>
    <s v="EdTech"/>
    <x v="6"/>
    <n v="66265"/>
    <n v="1881"/>
    <n v="2.8400000000000002E-2"/>
    <n v="2.04"/>
    <n v="3837.24"/>
    <n v="76"/>
    <n v="50.49"/>
    <n v="2782.02"/>
    <n v="-1055.2199999999998"/>
    <n v="-0.2749945273165087"/>
    <n v="0.73"/>
    <s v="Low"/>
    <s v="Valid"/>
  </r>
  <r>
    <x v="306"/>
    <x v="2"/>
    <s v="Google Ads"/>
    <x v="0"/>
    <s v="SaaS"/>
    <x v="1"/>
    <n v="137156"/>
    <n v="5253"/>
    <n v="3.8300000000000001E-2"/>
    <n v="2.15"/>
    <n v="11293.95"/>
    <n v="280"/>
    <n v="40.340000000000003"/>
    <n v="75085.66"/>
    <n v="63791.710000000006"/>
    <n v="5.6483081649909908"/>
    <n v="6.65"/>
    <s v="High"/>
    <s v="Valid"/>
  </r>
  <r>
    <x v="49"/>
    <x v="9"/>
    <s v="Google Ads"/>
    <x v="2"/>
    <s v="Fintech"/>
    <x v="5"/>
    <n v="123292"/>
    <n v="2527"/>
    <n v="2.0500000000000001E-2"/>
    <n v="3.55"/>
    <n v="8970.85"/>
    <n v="179"/>
    <n v="50.12"/>
    <n v="36566.559999999998"/>
    <n v="27595.71"/>
    <n v="3.0761533188047951"/>
    <n v="4.08"/>
    <s v="High"/>
    <s v="Valid"/>
  </r>
  <r>
    <x v="235"/>
    <x v="4"/>
    <s v="TikTok Ads"/>
    <x v="3"/>
    <s v="Fintech"/>
    <x v="1"/>
    <n v="68642"/>
    <n v="3363"/>
    <n v="4.9000000000000002E-2"/>
    <n v="0.37"/>
    <n v="1244.31"/>
    <n v="37"/>
    <n v="33.630000000000003"/>
    <n v="8887.57"/>
    <n v="7643.26"/>
    <n v="6.1425689739695093"/>
    <n v="7.14"/>
    <s v="High"/>
    <s v="Valid"/>
  </r>
  <r>
    <x v="50"/>
    <x v="2"/>
    <s v="Google Ads"/>
    <x v="2"/>
    <s v="SaaS"/>
    <x v="4"/>
    <n v="147727"/>
    <n v="7534"/>
    <n v="5.0999999999999997E-2"/>
    <n v="2.33"/>
    <n v="17554.22"/>
    <n v="206"/>
    <n v="85.21"/>
    <n v="23788.98"/>
    <n v="6234.7599999999984"/>
    <n v="0.35517157697693191"/>
    <n v="1.36"/>
    <s v="Medium"/>
    <s v="Valid"/>
  </r>
  <r>
    <x v="194"/>
    <x v="11"/>
    <s v="TikTok Ads"/>
    <x v="0"/>
    <s v="E-commerce"/>
    <x v="6"/>
    <n v="179818"/>
    <n v="11724"/>
    <n v="6.5199999999999994E-2"/>
    <n v="1.03"/>
    <n v="12075.72"/>
    <n v="880"/>
    <n v="13.72"/>
    <n v="242039.99"/>
    <n v="229964.27"/>
    <n v="19.043524526901916"/>
    <n v="20.04"/>
    <s v="High"/>
    <s v="Valid"/>
  </r>
  <r>
    <x v="146"/>
    <x v="3"/>
    <s v="Google Ads"/>
    <x v="3"/>
    <s v="Fintech"/>
    <x v="6"/>
    <n v="158481"/>
    <n v="6053"/>
    <n v="3.8199999999999998E-2"/>
    <n v="1.63"/>
    <n v="9866.39"/>
    <n v="116"/>
    <n v="85.06"/>
    <n v="30091.81"/>
    <n v="20225.420000000002"/>
    <n v="2.0499311298256"/>
    <n v="3.05"/>
    <s v="High"/>
    <s v="Valid"/>
  </r>
  <r>
    <x v="138"/>
    <x v="1"/>
    <s v="TikTok Ads"/>
    <x v="0"/>
    <s v="Fintech"/>
    <x v="5"/>
    <n v="12784"/>
    <n v="1055"/>
    <n v="8.2600000000000007E-2"/>
    <n v="0.38"/>
    <n v="400.9"/>
    <n v="67"/>
    <n v="5.98"/>
    <n v="12031.35"/>
    <n v="11630.45"/>
    <n v="29.010850586181096"/>
    <n v="30.01"/>
    <s v="High"/>
    <s v="Valid"/>
  </r>
  <r>
    <x v="189"/>
    <x v="9"/>
    <s v="Meta Ads"/>
    <x v="1"/>
    <s v="EdTech"/>
    <x v="6"/>
    <n v="117169"/>
    <n v="3304"/>
    <n v="2.8199999999999999E-2"/>
    <n v="1.27"/>
    <n v="4196.08"/>
    <n v="83"/>
    <n v="50.56"/>
    <n v="20949.79"/>
    <n v="16753.71"/>
    <n v="3.9927050961850106"/>
    <n v="4.99"/>
    <s v="High"/>
    <s v="Valid"/>
  </r>
  <r>
    <x v="148"/>
    <x v="0"/>
    <s v="Meta Ads"/>
    <x v="1"/>
    <s v="EdTech"/>
    <x v="3"/>
    <n v="190928"/>
    <n v="5078"/>
    <n v="2.6599999999999999E-2"/>
    <n v="1.45"/>
    <n v="7363.1"/>
    <n v="186"/>
    <n v="39.590000000000003"/>
    <n v="47430.11"/>
    <n v="40067.01"/>
    <n v="5.4415952519998374"/>
    <n v="6.44"/>
    <s v="High"/>
    <s v="Valid"/>
  </r>
  <r>
    <x v="275"/>
    <x v="9"/>
    <s v="Google Ads"/>
    <x v="0"/>
    <s v="E-commerce"/>
    <x v="5"/>
    <n v="38512"/>
    <n v="1840"/>
    <n v="4.7800000000000002E-2"/>
    <n v="1.34"/>
    <n v="2465.6"/>
    <n v="53"/>
    <n v="46.52"/>
    <n v="3324.76"/>
    <n v="859.16000000000031"/>
    <n v="0.34845879299156407"/>
    <n v="1.35"/>
    <s v="Medium"/>
    <s v="Valid"/>
  </r>
  <r>
    <x v="306"/>
    <x v="2"/>
    <s v="Meta Ads"/>
    <x v="1"/>
    <s v="SaaS"/>
    <x v="0"/>
    <n v="92986"/>
    <n v="2082"/>
    <n v="2.24E-2"/>
    <n v="1.73"/>
    <n v="3601.86"/>
    <n v="108"/>
    <n v="33.35"/>
    <n v="6838.55"/>
    <n v="3236.69"/>
    <n v="0.89861627048247295"/>
    <n v="1.9"/>
    <s v="Medium"/>
    <s v="Valid"/>
  </r>
  <r>
    <x v="57"/>
    <x v="5"/>
    <s v="Meta Ads"/>
    <x v="0"/>
    <s v="Healthcare"/>
    <x v="0"/>
    <n v="80589"/>
    <n v="1160"/>
    <n v="1.44E-2"/>
    <n v="0.95"/>
    <n v="1102"/>
    <n v="75"/>
    <n v="14.69"/>
    <n v="21781.43"/>
    <n v="20679.43"/>
    <n v="18.765362976406532"/>
    <n v="19.77"/>
    <s v="High"/>
    <s v="Valid"/>
  </r>
  <r>
    <x v="128"/>
    <x v="10"/>
    <s v="Meta Ads"/>
    <x v="3"/>
    <s v="EdTech"/>
    <x v="5"/>
    <n v="140475"/>
    <n v="5043"/>
    <n v="3.5900000000000001E-2"/>
    <n v="2.04"/>
    <n v="10287.719999999999"/>
    <n v="327"/>
    <n v="31.46"/>
    <n v="96504.49"/>
    <n v="86216.77"/>
    <n v="8.3805517646281213"/>
    <n v="9.3800000000000008"/>
    <s v="High"/>
    <s v="Valid"/>
  </r>
  <r>
    <x v="350"/>
    <x v="7"/>
    <s v="Google Ads"/>
    <x v="1"/>
    <s v="E-commerce"/>
    <x v="4"/>
    <n v="103348"/>
    <n v="1891"/>
    <n v="1.83E-2"/>
    <n v="1.54"/>
    <n v="2912.14"/>
    <n v="30"/>
    <n v="97.07"/>
    <n v="1064.02"/>
    <n v="-1848.12"/>
    <n v="-0.63462608253724062"/>
    <n v="0.37"/>
    <s v="Low"/>
    <s v="Valid"/>
  </r>
  <r>
    <x v="148"/>
    <x v="0"/>
    <s v="Meta Ads"/>
    <x v="0"/>
    <s v="EdTech"/>
    <x v="6"/>
    <n v="100343"/>
    <n v="3461"/>
    <n v="3.4500000000000003E-2"/>
    <n v="1.08"/>
    <n v="3737.88"/>
    <n v="259"/>
    <n v="14.43"/>
    <n v="51755.16"/>
    <n v="48017.280000000006"/>
    <n v="12.846126681434397"/>
    <n v="13.85"/>
    <s v="High"/>
    <s v="Valid"/>
  </r>
  <r>
    <x v="260"/>
    <x v="10"/>
    <s v="TikTok Ads"/>
    <x v="3"/>
    <s v="SaaS"/>
    <x v="0"/>
    <n v="179039"/>
    <n v="14663"/>
    <n v="8.1900000000000001E-2"/>
    <n v="1.36"/>
    <n v="19941.68"/>
    <n v="1151"/>
    <n v="17.329999999999998"/>
    <n v="281693.26"/>
    <n v="261751.58000000002"/>
    <n v="13.125853990235527"/>
    <n v="14.13"/>
    <s v="High"/>
    <s v="Valid"/>
  </r>
  <r>
    <x v="322"/>
    <x v="5"/>
    <s v="Meta Ads"/>
    <x v="3"/>
    <s v="SaaS"/>
    <x v="1"/>
    <n v="13100"/>
    <n v="186"/>
    <n v="1.4200000000000001E-2"/>
    <n v="1.5"/>
    <n v="279"/>
    <n v="10"/>
    <n v="27.9"/>
    <n v="1347.41"/>
    <n v="1068.4100000000001"/>
    <n v="3.8294265232974913"/>
    <n v="4.83"/>
    <s v="High"/>
    <s v="Valid"/>
  </r>
  <r>
    <x v="310"/>
    <x v="2"/>
    <s v="Google Ads"/>
    <x v="0"/>
    <s v="EdTech"/>
    <x v="0"/>
    <n v="167198"/>
    <n v="5132"/>
    <n v="3.0700000000000002E-2"/>
    <n v="2.31"/>
    <n v="11854.92"/>
    <n v="120"/>
    <n v="98.79"/>
    <n v="19874.34"/>
    <n v="8019.42"/>
    <n v="0.67646344302618655"/>
    <n v="1.68"/>
    <s v="Medium"/>
    <s v="Valid"/>
  </r>
  <r>
    <x v="342"/>
    <x v="7"/>
    <s v="Meta Ads"/>
    <x v="1"/>
    <s v="E-commerce"/>
    <x v="1"/>
    <n v="35755"/>
    <n v="672"/>
    <n v="1.8800000000000001E-2"/>
    <n v="2.0099999999999998"/>
    <n v="1350.72"/>
    <n v="39"/>
    <n v="34.630000000000003"/>
    <n v="1411.24"/>
    <n v="60.519999999999982"/>
    <n v="4.4805733238569047E-2"/>
    <n v="1.04"/>
    <s v="Medium"/>
    <s v="Valid"/>
  </r>
  <r>
    <x v="8"/>
    <x v="5"/>
    <s v="Google Ads"/>
    <x v="3"/>
    <s v="E-commerce"/>
    <x v="3"/>
    <n v="177420"/>
    <n v="7646"/>
    <n v="4.3099999999999999E-2"/>
    <n v="2.42"/>
    <n v="18503.32"/>
    <n v="478"/>
    <n v="38.71"/>
    <n v="110744.54"/>
    <n v="92241.22"/>
    <n v="4.9851172654420939"/>
    <n v="5.99"/>
    <s v="High"/>
    <s v="Valid"/>
  </r>
  <r>
    <x v="328"/>
    <x v="2"/>
    <s v="Google Ads"/>
    <x v="0"/>
    <s v="SaaS"/>
    <x v="0"/>
    <n v="195067"/>
    <n v="9129"/>
    <n v="4.6800000000000001E-2"/>
    <n v="0.95"/>
    <n v="8672.5499999999993"/>
    <n v="128"/>
    <n v="67.75"/>
    <n v="24006.78"/>
    <n v="15334.23"/>
    <n v="1.7681339398446825"/>
    <n v="2.77"/>
    <s v="Medium"/>
    <s v="Valid"/>
  </r>
  <r>
    <x v="303"/>
    <x v="0"/>
    <s v="Google Ads"/>
    <x v="3"/>
    <s v="EdTech"/>
    <x v="2"/>
    <n v="44435"/>
    <n v="1453"/>
    <n v="3.27E-2"/>
    <n v="2.68"/>
    <n v="3894.04"/>
    <n v="48"/>
    <n v="81.13"/>
    <n v="6345.04"/>
    <n v="2451"/>
    <n v="0.62942342656983497"/>
    <n v="1.63"/>
    <s v="Medium"/>
    <s v="Valid"/>
  </r>
  <r>
    <x v="76"/>
    <x v="5"/>
    <s v="TikTok Ads"/>
    <x v="0"/>
    <s v="SaaS"/>
    <x v="0"/>
    <n v="57448"/>
    <n v="2338"/>
    <n v="4.07E-2"/>
    <n v="0.5"/>
    <n v="1169"/>
    <n v="143"/>
    <n v="8.17"/>
    <n v="25654.560000000001"/>
    <n v="24485.56"/>
    <n v="20.945731394354151"/>
    <n v="21.95"/>
    <s v="High"/>
    <s v="Valid"/>
  </r>
  <r>
    <x v="34"/>
    <x v="0"/>
    <s v="Google Ads"/>
    <x v="1"/>
    <s v="E-commerce"/>
    <x v="1"/>
    <n v="139158"/>
    <n v="3061"/>
    <n v="2.1999999999999999E-2"/>
    <n v="1.27"/>
    <n v="3887.47"/>
    <n v="118"/>
    <n v="32.94"/>
    <n v="15835.46"/>
    <n v="11947.99"/>
    <n v="3.0734616601542908"/>
    <n v="4.07"/>
    <s v="High"/>
    <s v="Valid"/>
  </r>
  <r>
    <x v="13"/>
    <x v="2"/>
    <s v="Meta Ads"/>
    <x v="3"/>
    <s v="Healthcare"/>
    <x v="3"/>
    <n v="148463"/>
    <n v="4810"/>
    <n v="3.2399999999999998E-2"/>
    <n v="2.11"/>
    <n v="10149.1"/>
    <n v="286"/>
    <n v="35.49"/>
    <n v="68709.259999999995"/>
    <n v="58560.159999999996"/>
    <n v="5.769985515957079"/>
    <n v="6.77"/>
    <s v="High"/>
    <s v="Valid"/>
  </r>
  <r>
    <x v="232"/>
    <x v="0"/>
    <s v="Meta Ads"/>
    <x v="0"/>
    <s v="E-commerce"/>
    <x v="6"/>
    <n v="30123"/>
    <n v="554"/>
    <n v="1.84E-2"/>
    <n v="1.78"/>
    <n v="986.12"/>
    <n v="15"/>
    <n v="65.739999999999995"/>
    <n v="2874.83"/>
    <n v="1888.71"/>
    <n v="1.9152942846712369"/>
    <n v="2.92"/>
    <s v="Medium"/>
    <s v="Valid"/>
  </r>
  <r>
    <x v="33"/>
    <x v="0"/>
    <s v="Meta Ads"/>
    <x v="2"/>
    <s v="E-commerce"/>
    <x v="2"/>
    <n v="139257"/>
    <n v="2631"/>
    <n v="1.89E-2"/>
    <n v="1.61"/>
    <n v="4235.91"/>
    <n v="99"/>
    <n v="42.79"/>
    <n v="9781.2800000000007"/>
    <n v="5545.3700000000008"/>
    <n v="1.3091331024502411"/>
    <n v="2.31"/>
    <s v="Medium"/>
    <s v="Valid"/>
  </r>
  <r>
    <x v="208"/>
    <x v="10"/>
    <s v="Google Ads"/>
    <x v="0"/>
    <s v="Healthcare"/>
    <x v="3"/>
    <n v="103053"/>
    <n v="2607"/>
    <n v="2.53E-2"/>
    <n v="2.19"/>
    <n v="5709.33"/>
    <n v="194"/>
    <n v="29.43"/>
    <n v="39533.49"/>
    <n v="33824.159999999996"/>
    <n v="5.924365906332266"/>
    <n v="6.92"/>
    <s v="High"/>
    <s v="Valid"/>
  </r>
  <r>
    <x v="13"/>
    <x v="2"/>
    <s v="Google Ads"/>
    <x v="3"/>
    <s v="Fintech"/>
    <x v="4"/>
    <n v="44140"/>
    <n v="2101"/>
    <n v="4.7600000000000003E-2"/>
    <n v="1.05"/>
    <n v="2206.0500000000002"/>
    <n v="55"/>
    <n v="40.11"/>
    <n v="6735.72"/>
    <n v="4529.67"/>
    <n v="2.0532943496294278"/>
    <n v="3.05"/>
    <s v="High"/>
    <s v="Valid"/>
  </r>
  <r>
    <x v="18"/>
    <x v="10"/>
    <s v="Meta Ads"/>
    <x v="3"/>
    <s v="SaaS"/>
    <x v="5"/>
    <n v="88698"/>
    <n v="1073"/>
    <n v="1.21E-2"/>
    <n v="0.92"/>
    <n v="987.16"/>
    <n v="43"/>
    <n v="22.96"/>
    <n v="5727.99"/>
    <n v="4740.83"/>
    <n v="4.8024940232586406"/>
    <n v="5.8"/>
    <s v="High"/>
    <s v="Valid"/>
  </r>
  <r>
    <x v="31"/>
    <x v="0"/>
    <s v="Meta Ads"/>
    <x v="3"/>
    <s v="EdTech"/>
    <x v="4"/>
    <n v="182011"/>
    <n v="1911"/>
    <n v="1.0500000000000001E-2"/>
    <n v="0.55000000000000004"/>
    <n v="1051.05"/>
    <n v="35"/>
    <n v="30.03"/>
    <n v="3848.31"/>
    <n v="2797.26"/>
    <n v="2.6613957471100331"/>
    <n v="3.66"/>
    <s v="High"/>
    <s v="Valid"/>
  </r>
  <r>
    <x v="109"/>
    <x v="0"/>
    <s v="TikTok Ads"/>
    <x v="3"/>
    <s v="Fintech"/>
    <x v="5"/>
    <n v="29180"/>
    <n v="1464"/>
    <n v="5.0200000000000002E-2"/>
    <n v="0.53"/>
    <n v="775.92"/>
    <n v="59"/>
    <n v="13.15"/>
    <n v="11729.57"/>
    <n v="10953.65"/>
    <n v="14.11698370966079"/>
    <n v="15.12"/>
    <s v="High"/>
    <s v="Valid"/>
  </r>
  <r>
    <x v="175"/>
    <x v="0"/>
    <s v="Meta Ads"/>
    <x v="1"/>
    <s v="E-commerce"/>
    <x v="1"/>
    <n v="138686"/>
    <n v="2621"/>
    <n v="1.89E-2"/>
    <n v="1.52"/>
    <n v="3983.92"/>
    <n v="195"/>
    <n v="20.43"/>
    <n v="52398.49"/>
    <n v="48414.57"/>
    <n v="12.152495532038795"/>
    <n v="13.15"/>
    <s v="High"/>
    <s v="Valid"/>
  </r>
  <r>
    <x v="84"/>
    <x v="7"/>
    <s v="Google Ads"/>
    <x v="0"/>
    <s v="Fintech"/>
    <x v="5"/>
    <n v="181976"/>
    <n v="7752"/>
    <n v="4.2599999999999999E-2"/>
    <n v="1.72"/>
    <n v="13333.44"/>
    <n v="255"/>
    <n v="52.29"/>
    <n v="75491.87"/>
    <n v="62158.429999999993"/>
    <n v="4.6618449552403574"/>
    <n v="5.66"/>
    <s v="High"/>
    <s v="Valid"/>
  </r>
  <r>
    <x v="315"/>
    <x v="9"/>
    <s v="Google Ads"/>
    <x v="2"/>
    <s v="Healthcare"/>
    <x v="1"/>
    <n v="103902"/>
    <n v="3927"/>
    <n v="3.78E-2"/>
    <n v="1.1599999999999999"/>
    <n v="4555.32"/>
    <n v="215"/>
    <n v="21.19"/>
    <n v="37434.379999999997"/>
    <n v="32879.06"/>
    <n v="7.2177278434884924"/>
    <n v="8.2200000000000006"/>
    <s v="High"/>
    <s v="Valid"/>
  </r>
  <r>
    <x v="7"/>
    <x v="5"/>
    <s v="TikTok Ads"/>
    <x v="3"/>
    <s v="SaaS"/>
    <x v="4"/>
    <n v="132081"/>
    <n v="10051"/>
    <n v="7.6100000000000001E-2"/>
    <n v="0.71"/>
    <n v="7136.21"/>
    <n v="229"/>
    <n v="31.16"/>
    <n v="62261.45"/>
    <n v="55125.24"/>
    <n v="7.7247222265039843"/>
    <n v="8.7200000000000006"/>
    <s v="High"/>
    <s v="Valid"/>
  </r>
  <r>
    <x v="267"/>
    <x v="8"/>
    <s v="Meta Ads"/>
    <x v="1"/>
    <s v="E-commerce"/>
    <x v="1"/>
    <n v="25077"/>
    <n v="341"/>
    <n v="1.3599999999999999E-2"/>
    <n v="0.42"/>
    <n v="143.22"/>
    <n v="5"/>
    <n v="28.64"/>
    <n v="779.52"/>
    <n v="636.29999999999995"/>
    <n v="4.4428152492668618"/>
    <n v="5.44"/>
    <s v="High"/>
    <s v="Valid"/>
  </r>
  <r>
    <x v="196"/>
    <x v="5"/>
    <s v="Meta Ads"/>
    <x v="1"/>
    <s v="E-commerce"/>
    <x v="0"/>
    <n v="113987"/>
    <n v="3579"/>
    <n v="3.1399999999999997E-2"/>
    <n v="0.76"/>
    <n v="2720.04"/>
    <n v="229"/>
    <n v="11.88"/>
    <n v="31787.48"/>
    <n v="29067.439999999999"/>
    <n v="10.686401670563669"/>
    <n v="11.69"/>
    <s v="High"/>
    <s v="Valid"/>
  </r>
  <r>
    <x v="351"/>
    <x v="11"/>
    <s v="Meta Ads"/>
    <x v="2"/>
    <s v="Fintech"/>
    <x v="4"/>
    <n v="14705"/>
    <n v="363"/>
    <n v="2.47E-2"/>
    <n v="0.94"/>
    <n v="341.22"/>
    <n v="4"/>
    <n v="85.31"/>
    <n v="738.37"/>
    <n v="397.15"/>
    <n v="1.1639118457300275"/>
    <n v="2.16"/>
    <s v="Medium"/>
    <s v="Valid"/>
  </r>
  <r>
    <x v="119"/>
    <x v="1"/>
    <s v="Google Ads"/>
    <x v="0"/>
    <s v="EdTech"/>
    <x v="2"/>
    <n v="16955"/>
    <n v="440"/>
    <n v="2.5999999999999999E-2"/>
    <n v="1.82"/>
    <n v="800.8"/>
    <n v="30"/>
    <n v="26.69"/>
    <n v="3274.44"/>
    <n v="2473.6400000000003"/>
    <n v="3.0889610389610396"/>
    <n v="4.09"/>
    <s v="High"/>
    <s v="Valid"/>
  </r>
  <r>
    <x v="84"/>
    <x v="7"/>
    <s v="Meta Ads"/>
    <x v="3"/>
    <s v="E-commerce"/>
    <x v="5"/>
    <n v="127082"/>
    <n v="2452"/>
    <n v="1.9300000000000001E-2"/>
    <n v="2.1800000000000002"/>
    <n v="5345.36"/>
    <n v="53"/>
    <n v="100.86"/>
    <n v="8408.4500000000007"/>
    <n v="3063.0900000000011"/>
    <n v="0.57303717616774197"/>
    <n v="1.57"/>
    <s v="Medium"/>
    <s v="Valid"/>
  </r>
  <r>
    <x v="272"/>
    <x v="2"/>
    <s v="Meta Ads"/>
    <x v="1"/>
    <s v="E-commerce"/>
    <x v="5"/>
    <n v="57299"/>
    <n v="1186"/>
    <n v="2.07E-2"/>
    <n v="1.35"/>
    <n v="1601.1"/>
    <n v="25"/>
    <n v="64.040000000000006"/>
    <n v="5383.27"/>
    <n v="3782.1700000000005"/>
    <n v="2.3622322153519462"/>
    <n v="3.36"/>
    <s v="High"/>
    <s v="Valid"/>
  </r>
  <r>
    <x v="237"/>
    <x v="1"/>
    <s v="Meta Ads"/>
    <x v="2"/>
    <s v="Fintech"/>
    <x v="6"/>
    <n v="134986"/>
    <n v="4346"/>
    <n v="3.2199999999999999E-2"/>
    <n v="1.63"/>
    <n v="7083.98"/>
    <n v="149"/>
    <n v="47.54"/>
    <n v="28100.44"/>
    <n v="21016.46"/>
    <n v="2.966758799431958"/>
    <n v="3.97"/>
    <s v="High"/>
    <s v="Valid"/>
  </r>
  <r>
    <x v="265"/>
    <x v="10"/>
    <s v="Google Ads"/>
    <x v="3"/>
    <s v="E-commerce"/>
    <x v="6"/>
    <n v="12546"/>
    <n v="725"/>
    <n v="5.7799999999999997E-2"/>
    <n v="1.45"/>
    <n v="1051.25"/>
    <n v="43"/>
    <n v="24.45"/>
    <n v="2269.7800000000002"/>
    <n v="1218.5300000000002"/>
    <n v="1.1591248513674199"/>
    <n v="2.16"/>
    <s v="Medium"/>
    <s v="Valid"/>
  </r>
  <r>
    <x v="158"/>
    <x v="8"/>
    <s v="Google Ads"/>
    <x v="0"/>
    <s v="Fintech"/>
    <x v="4"/>
    <n v="161554"/>
    <n v="6252"/>
    <n v="3.8699999999999998E-2"/>
    <n v="3.05"/>
    <n v="19068.599999999999"/>
    <n v="361"/>
    <n v="52.82"/>
    <n v="57767.01"/>
    <n v="38698.410000000003"/>
    <n v="2.0294311066360406"/>
    <n v="3.03"/>
    <s v="High"/>
    <s v="Valid"/>
  </r>
  <r>
    <x v="98"/>
    <x v="0"/>
    <s v="Meta Ads"/>
    <x v="0"/>
    <s v="Healthcare"/>
    <x v="5"/>
    <n v="27499"/>
    <n v="728"/>
    <n v="2.6499999999999999E-2"/>
    <n v="1.07"/>
    <n v="778.96"/>
    <n v="17"/>
    <n v="45.82"/>
    <n v="3860.75"/>
    <n v="3081.79"/>
    <n v="3.9562878710074969"/>
    <n v="4.96"/>
    <s v="High"/>
    <s v="Valid"/>
  </r>
  <r>
    <x v="140"/>
    <x v="9"/>
    <s v="TikTok Ads"/>
    <x v="3"/>
    <s v="EdTech"/>
    <x v="5"/>
    <n v="153936"/>
    <n v="5895"/>
    <n v="3.8300000000000001E-2"/>
    <n v="0.89"/>
    <n v="5246.55"/>
    <n v="373"/>
    <n v="14.07"/>
    <n v="85268.07"/>
    <n v="80021.52"/>
    <n v="15.252217171283986"/>
    <n v="16.25"/>
    <s v="High"/>
    <s v="Valid"/>
  </r>
  <r>
    <x v="58"/>
    <x v="5"/>
    <s v="TikTok Ads"/>
    <x v="3"/>
    <s v="E-commerce"/>
    <x v="3"/>
    <n v="41232"/>
    <n v="1859"/>
    <n v="4.5100000000000001E-2"/>
    <n v="1.06"/>
    <n v="1970.54"/>
    <n v="126"/>
    <n v="15.64"/>
    <n v="22069.99"/>
    <n v="20099.45"/>
    <n v="10.199970566443717"/>
    <n v="11.2"/>
    <s v="High"/>
    <s v="Valid"/>
  </r>
  <r>
    <x v="313"/>
    <x v="2"/>
    <s v="Meta Ads"/>
    <x v="1"/>
    <s v="Healthcare"/>
    <x v="4"/>
    <n v="133088"/>
    <n v="5243"/>
    <n v="3.9399999999999998E-2"/>
    <n v="1.68"/>
    <n v="8808.24"/>
    <n v="226"/>
    <n v="38.97"/>
    <n v="48389.85"/>
    <n v="39581.61"/>
    <n v="4.4937024876706362"/>
    <n v="5.49"/>
    <s v="High"/>
    <s v="Valid"/>
  </r>
  <r>
    <x v="141"/>
    <x v="5"/>
    <s v="Meta Ads"/>
    <x v="0"/>
    <s v="SaaS"/>
    <x v="6"/>
    <n v="33082"/>
    <n v="340"/>
    <n v="1.03E-2"/>
    <n v="1.86"/>
    <n v="632.4"/>
    <n v="9"/>
    <n v="70.27"/>
    <n v="2116.06"/>
    <n v="1483.6599999999999"/>
    <n v="2.3460784313725487"/>
    <n v="3.35"/>
    <s v="High"/>
    <s v="Valid"/>
  </r>
  <r>
    <x v="196"/>
    <x v="5"/>
    <s v="Meta Ads"/>
    <x v="3"/>
    <s v="Fintech"/>
    <x v="3"/>
    <n v="179504"/>
    <n v="5026"/>
    <n v="2.8000000000000001E-2"/>
    <n v="1.1100000000000001"/>
    <n v="5578.86"/>
    <n v="203"/>
    <n v="27.48"/>
    <n v="10121.879999999999"/>
    <n v="4543.0199999999995"/>
    <n v="0.81432765833880039"/>
    <n v="1.81"/>
    <s v="Medium"/>
    <s v="Valid"/>
  </r>
  <r>
    <x v="338"/>
    <x v="1"/>
    <s v="Meta Ads"/>
    <x v="2"/>
    <s v="Healthcare"/>
    <x v="2"/>
    <n v="16344"/>
    <n v="534"/>
    <n v="3.27E-2"/>
    <n v="0.9"/>
    <n v="480.6"/>
    <n v="11"/>
    <n v="43.69"/>
    <n v="465.35"/>
    <n v="-15.25"/>
    <n v="-3.1731169371618809E-2"/>
    <n v="0.97"/>
    <s v="Low"/>
    <s v="Valid"/>
  </r>
  <r>
    <x v="159"/>
    <x v="11"/>
    <s v="TikTok Ads"/>
    <x v="3"/>
    <s v="E-commerce"/>
    <x v="4"/>
    <n v="196312"/>
    <n v="12642"/>
    <n v="6.4399999999999999E-2"/>
    <n v="1.28"/>
    <n v="16181.76"/>
    <n v="584"/>
    <n v="27.71"/>
    <n v="148695.91"/>
    <n v="132514.15"/>
    <n v="8.1891061293703515"/>
    <n v="9.19"/>
    <s v="High"/>
    <s v="Valid"/>
  </r>
  <r>
    <x v="243"/>
    <x v="3"/>
    <s v="TikTok Ads"/>
    <x v="2"/>
    <s v="E-commerce"/>
    <x v="2"/>
    <n v="17626"/>
    <n v="1113"/>
    <n v="6.3200000000000006E-2"/>
    <n v="0.54"/>
    <n v="601.02"/>
    <n v="50"/>
    <n v="12.02"/>
    <n v="2568.5100000000002"/>
    <n v="1967.4900000000002"/>
    <n v="3.2735849056603779"/>
    <n v="4.2699999999999996"/>
    <s v="High"/>
    <s v="Valid"/>
  </r>
  <r>
    <x v="115"/>
    <x v="8"/>
    <s v="Meta Ads"/>
    <x v="2"/>
    <s v="SaaS"/>
    <x v="3"/>
    <n v="46603"/>
    <n v="955"/>
    <n v="2.0500000000000001E-2"/>
    <n v="0.69"/>
    <n v="658.95"/>
    <n v="23"/>
    <n v="28.65"/>
    <n v="2614.4899999999998"/>
    <n v="1955.5399999999997"/>
    <n v="2.9676606722816596"/>
    <n v="3.97"/>
    <s v="High"/>
    <s v="Valid"/>
  </r>
  <r>
    <x v="105"/>
    <x v="0"/>
    <s v="Meta Ads"/>
    <x v="0"/>
    <s v="EdTech"/>
    <x v="0"/>
    <n v="113878"/>
    <n v="3678"/>
    <n v="3.2300000000000002E-2"/>
    <n v="0.92"/>
    <n v="3383.76"/>
    <n v="216"/>
    <n v="15.67"/>
    <n v="62162.63"/>
    <n v="58778.869999999995"/>
    <n v="17.370874411896821"/>
    <n v="18.37"/>
    <s v="High"/>
    <s v="Valid"/>
  </r>
  <r>
    <x v="32"/>
    <x v="8"/>
    <s v="Meta Ads"/>
    <x v="3"/>
    <s v="E-commerce"/>
    <x v="4"/>
    <n v="196354"/>
    <n v="2945"/>
    <n v="1.4999999999999999E-2"/>
    <n v="1.1100000000000001"/>
    <n v="3268.95"/>
    <n v="177"/>
    <n v="18.47"/>
    <n v="7478.3"/>
    <n v="4209.3500000000004"/>
    <n v="1.287676471038101"/>
    <n v="2.29"/>
    <s v="Medium"/>
    <s v="Valid"/>
  </r>
  <r>
    <x v="85"/>
    <x v="10"/>
    <s v="Meta Ads"/>
    <x v="1"/>
    <s v="EdTech"/>
    <x v="6"/>
    <n v="62194"/>
    <n v="2039"/>
    <n v="3.2800000000000003E-2"/>
    <n v="1.84"/>
    <n v="3751.76"/>
    <n v="129"/>
    <n v="29.08"/>
    <n v="23854.38"/>
    <n v="20102.620000000003"/>
    <n v="5.358183892359853"/>
    <n v="6.36"/>
    <s v="High"/>
    <s v="Valid"/>
  </r>
  <r>
    <x v="333"/>
    <x v="6"/>
    <s v="TikTok Ads"/>
    <x v="2"/>
    <s v="Healthcare"/>
    <x v="3"/>
    <n v="56069"/>
    <n v="2949"/>
    <n v="5.2600000000000001E-2"/>
    <n v="0.85"/>
    <n v="2506.65"/>
    <n v="150"/>
    <n v="16.71"/>
    <n v="29064.28"/>
    <n v="26557.629999999997"/>
    <n v="10.594869646739671"/>
    <n v="11.59"/>
    <s v="High"/>
    <s v="Valid"/>
  </r>
  <r>
    <x v="183"/>
    <x v="10"/>
    <s v="Meta Ads"/>
    <x v="0"/>
    <s v="EdTech"/>
    <x v="0"/>
    <n v="18706"/>
    <n v="458"/>
    <n v="2.4500000000000001E-2"/>
    <n v="0.44"/>
    <n v="201.52"/>
    <n v="35"/>
    <n v="5.76"/>
    <n v="7330.28"/>
    <n v="7128.7599999999993"/>
    <n v="35.374950377133779"/>
    <n v="36.369999999999997"/>
    <s v="High"/>
    <s v="Valid"/>
  </r>
  <r>
    <x v="127"/>
    <x v="11"/>
    <s v="TikTok Ads"/>
    <x v="1"/>
    <s v="SaaS"/>
    <x v="4"/>
    <n v="49390"/>
    <n v="3368"/>
    <n v="6.8199999999999997E-2"/>
    <n v="1.65"/>
    <n v="5557.2"/>
    <n v="195"/>
    <n v="28.5"/>
    <n v="57395.9"/>
    <n v="51838.700000000004"/>
    <n v="9.3282048513639975"/>
    <n v="10.33"/>
    <s v="High"/>
    <s v="Valid"/>
  </r>
  <r>
    <x v="128"/>
    <x v="10"/>
    <s v="Google Ads"/>
    <x v="2"/>
    <s v="Fintech"/>
    <x v="5"/>
    <n v="23773"/>
    <n v="461"/>
    <n v="1.9400000000000001E-2"/>
    <n v="1.6"/>
    <n v="737.6"/>
    <n v="5"/>
    <n v="147.52000000000001"/>
    <n v="642.97"/>
    <n v="-94.63"/>
    <n v="-0.12829446854663773"/>
    <n v="0.87"/>
    <s v="Low"/>
    <s v="Valid"/>
  </r>
  <r>
    <x v="288"/>
    <x v="7"/>
    <s v="Meta Ads"/>
    <x v="0"/>
    <s v="E-commerce"/>
    <x v="4"/>
    <n v="19959"/>
    <n v="586"/>
    <n v="2.9399999999999999E-2"/>
    <n v="1.99"/>
    <n v="1166.1400000000001"/>
    <n v="17"/>
    <n v="68.599999999999994"/>
    <n v="4432.12"/>
    <n v="3265.9799999999996"/>
    <n v="2.8006757336168895"/>
    <n v="3.8"/>
    <s v="High"/>
    <s v="Valid"/>
  </r>
  <r>
    <x v="303"/>
    <x v="0"/>
    <s v="Meta Ads"/>
    <x v="3"/>
    <s v="Fintech"/>
    <x v="0"/>
    <n v="166155"/>
    <n v="6048"/>
    <n v="3.6400000000000002E-2"/>
    <n v="1.46"/>
    <n v="8830.08"/>
    <n v="260"/>
    <n v="33.96"/>
    <n v="28494.38"/>
    <n v="19664.300000000003"/>
    <n v="2.2269673660940787"/>
    <n v="3.23"/>
    <s v="High"/>
    <s v="Valid"/>
  </r>
  <r>
    <x v="66"/>
    <x v="2"/>
    <s v="TikTok Ads"/>
    <x v="2"/>
    <s v="SaaS"/>
    <x v="0"/>
    <n v="50819"/>
    <n v="3206"/>
    <n v="6.3100000000000003E-2"/>
    <n v="0.95"/>
    <n v="3045.7"/>
    <n v="222"/>
    <n v="13.72"/>
    <n v="24319.42"/>
    <n v="21273.719999999998"/>
    <n v="6.9848376399514063"/>
    <n v="7.98"/>
    <s v="High"/>
    <s v="Valid"/>
  </r>
  <r>
    <x v="137"/>
    <x v="4"/>
    <s v="Google Ads"/>
    <x v="3"/>
    <s v="Healthcare"/>
    <x v="1"/>
    <n v="15796"/>
    <n v="301"/>
    <n v="1.9099999999999999E-2"/>
    <n v="1.91"/>
    <n v="574.91"/>
    <n v="17"/>
    <n v="33.82"/>
    <n v="1137.71"/>
    <n v="562.80000000000007"/>
    <n v="0.97893583343479862"/>
    <n v="1.98"/>
    <s v="Medium"/>
    <s v="Valid"/>
  </r>
  <r>
    <x v="80"/>
    <x v="2"/>
    <s v="TikTok Ads"/>
    <x v="3"/>
    <s v="E-commerce"/>
    <x v="5"/>
    <n v="133422"/>
    <n v="8458"/>
    <n v="6.3399999999999998E-2"/>
    <n v="0.82"/>
    <n v="6935.56"/>
    <n v="663"/>
    <n v="10.46"/>
    <n v="111531.65"/>
    <n v="104596.09"/>
    <n v="15.081131155955681"/>
    <n v="16.079999999999998"/>
    <s v="High"/>
    <s v="Valid"/>
  </r>
  <r>
    <x v="206"/>
    <x v="5"/>
    <s v="Meta Ads"/>
    <x v="1"/>
    <s v="EdTech"/>
    <x v="3"/>
    <n v="181026"/>
    <n v="2769"/>
    <n v="1.5299999999999999E-2"/>
    <n v="1.06"/>
    <n v="2935.14"/>
    <n v="155"/>
    <n v="18.940000000000001"/>
    <n v="18246.009999999998"/>
    <n v="15310.869999999999"/>
    <n v="5.2164019433485285"/>
    <n v="6.22"/>
    <s v="High"/>
    <s v="Valid"/>
  </r>
  <r>
    <x v="180"/>
    <x v="11"/>
    <s v="Meta Ads"/>
    <x v="2"/>
    <s v="E-commerce"/>
    <x v="3"/>
    <n v="57784"/>
    <n v="907"/>
    <n v="1.5699999999999999E-2"/>
    <n v="1.21"/>
    <n v="1097.47"/>
    <n v="54"/>
    <n v="20.32"/>
    <n v="2856.1"/>
    <n v="1758.6299999999999"/>
    <n v="1.6024401578175256"/>
    <n v="2.6"/>
    <s v="Medium"/>
    <s v="Valid"/>
  </r>
  <r>
    <x v="352"/>
    <x v="1"/>
    <s v="Meta Ads"/>
    <x v="0"/>
    <s v="E-commerce"/>
    <x v="5"/>
    <n v="81023"/>
    <n v="1944"/>
    <n v="2.4E-2"/>
    <n v="1.31"/>
    <n v="2546.64"/>
    <n v="146"/>
    <n v="17.440000000000001"/>
    <n v="32752.99"/>
    <n v="30206.350000000002"/>
    <n v="11.861256400590584"/>
    <n v="12.86"/>
    <s v="High"/>
    <s v="Valid"/>
  </r>
  <r>
    <x v="125"/>
    <x v="10"/>
    <s v="Google Ads"/>
    <x v="2"/>
    <s v="EdTech"/>
    <x v="2"/>
    <n v="93623"/>
    <n v="6319"/>
    <n v="6.7500000000000004E-2"/>
    <n v="1.25"/>
    <n v="7898.75"/>
    <n v="83"/>
    <n v="95.17"/>
    <n v="20925.73"/>
    <n v="13026.98"/>
    <n v="1.6492457667352429"/>
    <n v="2.65"/>
    <s v="Medium"/>
    <s v="Valid"/>
  </r>
  <r>
    <x v="236"/>
    <x v="8"/>
    <s v="TikTok Ads"/>
    <x v="0"/>
    <s v="EdTech"/>
    <x v="3"/>
    <n v="118483"/>
    <n v="8826"/>
    <n v="7.4499999999999997E-2"/>
    <n v="1.69"/>
    <n v="14915.94"/>
    <n v="570"/>
    <n v="26.17"/>
    <n v="139364.5"/>
    <n v="124448.56"/>
    <n v="8.3433266693215433"/>
    <n v="9.34"/>
    <s v="High"/>
    <s v="Valid"/>
  </r>
  <r>
    <x v="302"/>
    <x v="5"/>
    <s v="Google Ads"/>
    <x v="2"/>
    <s v="Healthcare"/>
    <x v="0"/>
    <n v="155018"/>
    <n v="9146"/>
    <n v="5.8999999999999997E-2"/>
    <n v="2.96"/>
    <n v="27072.16"/>
    <n v="495"/>
    <n v="54.69"/>
    <n v="33297.83"/>
    <n v="6225.6700000000019"/>
    <n v="0.2299657655687615"/>
    <n v="1.23"/>
    <s v="Medium"/>
    <s v="Valid"/>
  </r>
  <r>
    <x v="216"/>
    <x v="6"/>
    <s v="Google Ads"/>
    <x v="0"/>
    <s v="EdTech"/>
    <x v="4"/>
    <n v="13614"/>
    <n v="744"/>
    <n v="5.4699999999999999E-2"/>
    <n v="2.97"/>
    <n v="2209.6799999999998"/>
    <n v="54"/>
    <n v="40.92"/>
    <n v="11111.12"/>
    <n v="8901.44"/>
    <n v="4.0283842004272117"/>
    <n v="5.03"/>
    <s v="High"/>
    <s v="Valid"/>
  </r>
  <r>
    <x v="171"/>
    <x v="9"/>
    <s v="Google Ads"/>
    <x v="3"/>
    <s v="SaaS"/>
    <x v="6"/>
    <n v="7594"/>
    <n v="225"/>
    <n v="2.9700000000000001E-2"/>
    <n v="1.19"/>
    <n v="267.75"/>
    <n v="7"/>
    <n v="38.25"/>
    <n v="1275.1099999999999"/>
    <n v="1007.3599999999999"/>
    <n v="3.7623155929038279"/>
    <n v="4.76"/>
    <s v="High"/>
    <s v="Valid"/>
  </r>
  <r>
    <x v="41"/>
    <x v="4"/>
    <s v="TikTok Ads"/>
    <x v="0"/>
    <s v="E-commerce"/>
    <x v="6"/>
    <n v="161640"/>
    <n v="5916"/>
    <n v="3.6600000000000001E-2"/>
    <n v="0.46"/>
    <n v="2721.36"/>
    <n v="445"/>
    <n v="6.12"/>
    <n v="30797.18"/>
    <n v="28075.82"/>
    <n v="10.316834229943851"/>
    <n v="11.32"/>
    <s v="High"/>
    <s v="Valid"/>
  </r>
  <r>
    <x v="162"/>
    <x v="9"/>
    <s v="Google Ads"/>
    <x v="1"/>
    <s v="E-commerce"/>
    <x v="0"/>
    <n v="83845"/>
    <n v="2599"/>
    <n v="3.1E-2"/>
    <n v="2.69"/>
    <n v="6991.31"/>
    <n v="137"/>
    <n v="51.03"/>
    <n v="29891.75"/>
    <n v="22900.44"/>
    <n v="3.2755577996112315"/>
    <n v="4.28"/>
    <s v="High"/>
    <s v="Valid"/>
  </r>
  <r>
    <x v="44"/>
    <x v="8"/>
    <s v="Google Ads"/>
    <x v="3"/>
    <s v="Healthcare"/>
    <x v="3"/>
    <n v="195610"/>
    <n v="9956"/>
    <n v="5.0900000000000001E-2"/>
    <n v="2.37"/>
    <n v="23595.72"/>
    <n v="401"/>
    <n v="58.84"/>
    <n v="116291.87"/>
    <n v="92696.15"/>
    <n v="3.9285154256788939"/>
    <n v="4.93"/>
    <s v="High"/>
    <s v="Valid"/>
  </r>
  <r>
    <x v="163"/>
    <x v="7"/>
    <s v="Google Ads"/>
    <x v="3"/>
    <s v="Healthcare"/>
    <x v="0"/>
    <n v="63812"/>
    <n v="2686"/>
    <n v="4.2099999999999999E-2"/>
    <n v="2.98"/>
    <n v="8004.28"/>
    <n v="84"/>
    <n v="95.29"/>
    <n v="6979.61"/>
    <n v="-1024.67"/>
    <n v="-0.12801526183491832"/>
    <n v="0.87"/>
    <s v="Low"/>
    <s v="Valid"/>
  </r>
  <r>
    <x v="137"/>
    <x v="4"/>
    <s v="Google Ads"/>
    <x v="1"/>
    <s v="Fintech"/>
    <x v="0"/>
    <n v="33794"/>
    <n v="1030"/>
    <n v="3.0499999999999999E-2"/>
    <n v="1.75"/>
    <n v="1802.5"/>
    <n v="25"/>
    <n v="72.099999999999994"/>
    <n v="1849.39"/>
    <n v="46.8900000000001"/>
    <n v="2.6013869625520165E-2"/>
    <n v="1.03"/>
    <s v="Medium"/>
    <s v="Valid"/>
  </r>
  <r>
    <x v="2"/>
    <x v="1"/>
    <s v="Meta Ads"/>
    <x v="2"/>
    <s v="Fintech"/>
    <x v="5"/>
    <n v="130056"/>
    <n v="3537"/>
    <n v="2.7199999999999998E-2"/>
    <n v="0.57999999999999996"/>
    <n v="2051.46"/>
    <n v="207"/>
    <n v="9.91"/>
    <n v="27550.99"/>
    <n v="25499.530000000002"/>
    <n v="12.429942577481404"/>
    <n v="13.43"/>
    <s v="High"/>
    <s v="Valid"/>
  </r>
  <r>
    <x v="320"/>
    <x v="9"/>
    <s v="Google Ads"/>
    <x v="2"/>
    <s v="SaaS"/>
    <x v="4"/>
    <n v="149438"/>
    <n v="3287"/>
    <n v="2.1999999999999999E-2"/>
    <n v="3.73"/>
    <n v="12260.51"/>
    <n v="153"/>
    <n v="80.13"/>
    <n v="8351.9500000000007"/>
    <n v="-3908.5599999999995"/>
    <n v="-0.31879261140034137"/>
    <n v="0.68"/>
    <s v="Low"/>
    <s v="Valid"/>
  </r>
  <r>
    <x v="148"/>
    <x v="0"/>
    <s v="Meta Ads"/>
    <x v="2"/>
    <s v="Healthcare"/>
    <x v="4"/>
    <n v="185750"/>
    <n v="1653"/>
    <n v="8.8999999999999999E-3"/>
    <n v="1.3"/>
    <n v="2148.9"/>
    <n v="34"/>
    <n v="63.2"/>
    <n v="2916.11"/>
    <n v="767.21"/>
    <n v="0.3570245241751594"/>
    <n v="1.36"/>
    <s v="Medium"/>
    <s v="Valid"/>
  </r>
  <r>
    <x v="323"/>
    <x v="10"/>
    <s v="Meta Ads"/>
    <x v="1"/>
    <s v="SaaS"/>
    <x v="5"/>
    <n v="24750"/>
    <n v="747"/>
    <n v="3.0200000000000001E-2"/>
    <n v="1.19"/>
    <n v="888.93"/>
    <n v="48"/>
    <n v="18.52"/>
    <n v="1738.76"/>
    <n v="849.83"/>
    <n v="0.95601453432778749"/>
    <n v="1.96"/>
    <s v="Medium"/>
    <s v="Valid"/>
  </r>
  <r>
    <x v="28"/>
    <x v="6"/>
    <s v="TikTok Ads"/>
    <x v="2"/>
    <s v="Fintech"/>
    <x v="1"/>
    <n v="66262"/>
    <n v="3790"/>
    <n v="5.7200000000000001E-2"/>
    <n v="1.07"/>
    <n v="4055.3"/>
    <n v="150"/>
    <n v="27.04"/>
    <n v="24443.119999999999"/>
    <n v="20387.82"/>
    <n v="5.0274504968806246"/>
    <n v="6.03"/>
    <s v="High"/>
    <s v="Valid"/>
  </r>
  <r>
    <x v="97"/>
    <x v="8"/>
    <s v="TikTok Ads"/>
    <x v="1"/>
    <s v="E-commerce"/>
    <x v="1"/>
    <n v="126854"/>
    <n v="7243"/>
    <n v="5.7099999999999998E-2"/>
    <n v="0.81"/>
    <n v="5866.83"/>
    <n v="474"/>
    <n v="12.38"/>
    <n v="55705.279999999999"/>
    <n v="49838.45"/>
    <n v="8.4949538336716763"/>
    <n v="9.49"/>
    <s v="High"/>
    <s v="Valid"/>
  </r>
  <r>
    <x v="344"/>
    <x v="7"/>
    <s v="Meta Ads"/>
    <x v="1"/>
    <s v="EdTech"/>
    <x v="4"/>
    <n v="32559"/>
    <n v="553"/>
    <n v="1.7000000000000001E-2"/>
    <n v="0.71"/>
    <n v="392.63"/>
    <n v="6"/>
    <n v="65.44"/>
    <n v="1500.74"/>
    <n v="1108.1100000000001"/>
    <n v="2.8222754247000998"/>
    <n v="3.82"/>
    <s v="High"/>
    <s v="Valid"/>
  </r>
  <r>
    <x v="167"/>
    <x v="10"/>
    <s v="Google Ads"/>
    <x v="0"/>
    <s v="SaaS"/>
    <x v="0"/>
    <n v="85729"/>
    <n v="1757"/>
    <n v="2.0500000000000001E-2"/>
    <n v="3.02"/>
    <n v="5306.14"/>
    <n v="90"/>
    <n v="58.96"/>
    <n v="21584.82"/>
    <n v="16278.68"/>
    <n v="3.0678949292706186"/>
    <n v="4.07"/>
    <s v="High"/>
    <s v="Valid"/>
  </r>
  <r>
    <x v="262"/>
    <x v="9"/>
    <s v="Meta Ads"/>
    <x v="2"/>
    <s v="E-commerce"/>
    <x v="5"/>
    <n v="126432"/>
    <n v="1567"/>
    <n v="1.24E-2"/>
    <n v="1.65"/>
    <n v="2585.5500000000002"/>
    <n v="110"/>
    <n v="23.51"/>
    <n v="31358.68"/>
    <n v="28773.13"/>
    <n v="11.128436889636633"/>
    <n v="12.13"/>
    <s v="High"/>
    <s v="Valid"/>
  </r>
  <r>
    <x v="211"/>
    <x v="11"/>
    <s v="Meta Ads"/>
    <x v="0"/>
    <s v="Fintech"/>
    <x v="1"/>
    <n v="196595"/>
    <n v="2614"/>
    <n v="1.3299999999999999E-2"/>
    <n v="0.38"/>
    <n v="993.32"/>
    <n v="28"/>
    <n v="35.479999999999997"/>
    <n v="6376.7"/>
    <n v="5383.38"/>
    <n v="5.4195828131921235"/>
    <n v="6.42"/>
    <s v="High"/>
    <s v="Valid"/>
  </r>
  <r>
    <x v="228"/>
    <x v="7"/>
    <s v="Meta Ads"/>
    <x v="0"/>
    <s v="E-commerce"/>
    <x v="1"/>
    <n v="14028"/>
    <n v="342"/>
    <n v="2.4400000000000002E-2"/>
    <n v="1.89"/>
    <n v="646.38"/>
    <n v="7"/>
    <n v="92.34"/>
    <n v="716.51"/>
    <n v="70.13"/>
    <n v="0.10849655001701784"/>
    <n v="1.1100000000000001"/>
    <s v="Medium"/>
    <s v="Valid"/>
  </r>
  <r>
    <x v="37"/>
    <x v="11"/>
    <s v="Google Ads"/>
    <x v="3"/>
    <s v="Healthcare"/>
    <x v="4"/>
    <n v="77964"/>
    <n v="2915"/>
    <n v="3.7400000000000003E-2"/>
    <n v="3.38"/>
    <n v="9852.7000000000007"/>
    <n v="161"/>
    <n v="61.2"/>
    <n v="14283"/>
    <n v="4430.2999999999993"/>
    <n v="0.44965339450099961"/>
    <n v="1.45"/>
    <s v="Medium"/>
    <s v="Valid"/>
  </r>
  <r>
    <x v="337"/>
    <x v="5"/>
    <s v="Google Ads"/>
    <x v="0"/>
    <s v="Fintech"/>
    <x v="1"/>
    <n v="102677"/>
    <n v="3131"/>
    <n v="3.0499999999999999E-2"/>
    <n v="3.67"/>
    <n v="11490.77"/>
    <n v="79"/>
    <n v="145.44999999999999"/>
    <n v="13056.26"/>
    <n v="1565.4899999999998"/>
    <n v="0.13623891175265015"/>
    <n v="1.1399999999999999"/>
    <s v="Medium"/>
    <s v="Valid"/>
  </r>
  <r>
    <x v="320"/>
    <x v="9"/>
    <s v="Google Ads"/>
    <x v="0"/>
    <s v="Fintech"/>
    <x v="3"/>
    <n v="137737"/>
    <n v="3925"/>
    <n v="2.8500000000000001E-2"/>
    <n v="0.9"/>
    <n v="3532.5"/>
    <n v="78"/>
    <n v="45.29"/>
    <n v="11545.1"/>
    <n v="8012.6"/>
    <n v="2.2682519462137298"/>
    <n v="3.27"/>
    <s v="High"/>
    <s v="Valid"/>
  </r>
  <r>
    <x v="131"/>
    <x v="8"/>
    <s v="Google Ads"/>
    <x v="2"/>
    <s v="EdTech"/>
    <x v="2"/>
    <n v="93534"/>
    <n v="3544"/>
    <n v="3.7900000000000003E-2"/>
    <n v="0.95"/>
    <n v="3366.8"/>
    <n v="187"/>
    <n v="18"/>
    <n v="32280.5"/>
    <n v="28913.7"/>
    <n v="8.5878876084115472"/>
    <n v="9.59"/>
    <s v="High"/>
    <s v="Valid"/>
  </r>
  <r>
    <x v="152"/>
    <x v="1"/>
    <s v="Google Ads"/>
    <x v="1"/>
    <s v="Fintech"/>
    <x v="6"/>
    <n v="127475"/>
    <n v="7342"/>
    <n v="5.7599999999999998E-2"/>
    <n v="2.34"/>
    <n v="17180.28"/>
    <n v="574"/>
    <n v="29.93"/>
    <n v="74747.490000000005"/>
    <n v="57567.210000000006"/>
    <n v="3.3507725136028057"/>
    <n v="4.3499999999999996"/>
    <s v="High"/>
    <s v="Valid"/>
  </r>
  <r>
    <x v="350"/>
    <x v="7"/>
    <s v="Google Ads"/>
    <x v="3"/>
    <s v="SaaS"/>
    <x v="2"/>
    <n v="82700"/>
    <n v="2679"/>
    <n v="3.2399999999999998E-2"/>
    <n v="0.86"/>
    <n v="2303.94"/>
    <n v="140"/>
    <n v="16.46"/>
    <n v="20788.45"/>
    <n v="18484.510000000002"/>
    <n v="8.022999730895771"/>
    <n v="9.02"/>
    <s v="High"/>
    <s v="Valid"/>
  </r>
  <r>
    <x v="202"/>
    <x v="8"/>
    <s v="TikTok Ads"/>
    <x v="2"/>
    <s v="E-commerce"/>
    <x v="1"/>
    <n v="96432"/>
    <n v="7155"/>
    <n v="7.4200000000000002E-2"/>
    <n v="0.35"/>
    <n v="2504.25"/>
    <n v="336"/>
    <n v="7.45"/>
    <n v="47954.95"/>
    <n v="45450.7"/>
    <n v="18.149425975841069"/>
    <n v="19.149999999999999"/>
    <s v="High"/>
    <s v="Valid"/>
  </r>
  <r>
    <x v="132"/>
    <x v="9"/>
    <s v="TikTok Ads"/>
    <x v="2"/>
    <s v="SaaS"/>
    <x v="2"/>
    <n v="154656"/>
    <n v="6557"/>
    <n v="4.24E-2"/>
    <n v="0.4"/>
    <n v="2622.8"/>
    <n v="345"/>
    <n v="7.6"/>
    <n v="49646.11"/>
    <n v="47023.31"/>
    <n v="17.928667835900562"/>
    <n v="18.93"/>
    <s v="High"/>
    <s v="Valid"/>
  </r>
  <r>
    <x v="352"/>
    <x v="1"/>
    <s v="Google Ads"/>
    <x v="1"/>
    <s v="Healthcare"/>
    <x v="1"/>
    <n v="115415"/>
    <n v="3866"/>
    <n v="3.3500000000000002E-2"/>
    <n v="3.29"/>
    <n v="12719.14"/>
    <n v="280"/>
    <n v="45.43"/>
    <n v="61322.57"/>
    <n v="48603.43"/>
    <n v="3.8212827282347708"/>
    <n v="4.82"/>
    <s v="High"/>
    <s v="Valid"/>
  </r>
  <r>
    <x v="163"/>
    <x v="7"/>
    <s v="Google Ads"/>
    <x v="0"/>
    <s v="E-commerce"/>
    <x v="4"/>
    <n v="157963"/>
    <n v="5607"/>
    <n v="3.5499999999999997E-2"/>
    <n v="0.88"/>
    <n v="4934.16"/>
    <n v="205"/>
    <n v="24.07"/>
    <n v="50937.22"/>
    <n v="46003.06"/>
    <n v="9.3233822981013983"/>
    <n v="10.32"/>
    <s v="High"/>
    <s v="Valid"/>
  </r>
  <r>
    <x v="319"/>
    <x v="1"/>
    <s v="Meta Ads"/>
    <x v="1"/>
    <s v="Fintech"/>
    <x v="4"/>
    <n v="133684"/>
    <n v="2018"/>
    <n v="1.5100000000000001E-2"/>
    <n v="1.72"/>
    <n v="3470.96"/>
    <n v="44"/>
    <n v="78.89"/>
    <n v="11449.27"/>
    <n v="7978.31"/>
    <n v="2.2985888630234865"/>
    <n v="3.3"/>
    <s v="High"/>
    <s v="Valid"/>
  </r>
  <r>
    <x v="33"/>
    <x v="0"/>
    <s v="Google Ads"/>
    <x v="2"/>
    <s v="Healthcare"/>
    <x v="0"/>
    <n v="20091"/>
    <n v="956"/>
    <n v="4.7600000000000003E-2"/>
    <n v="3.41"/>
    <n v="3259.96"/>
    <n v="36"/>
    <n v="90.55"/>
    <n v="9230.0499999999993"/>
    <n v="5970.0899999999992"/>
    <n v="1.8313384213303228"/>
    <n v="2.83"/>
    <s v="Medium"/>
    <s v="Valid"/>
  </r>
  <r>
    <x v="130"/>
    <x v="9"/>
    <s v="Google Ads"/>
    <x v="3"/>
    <s v="E-commerce"/>
    <x v="4"/>
    <n v="126946"/>
    <n v="6728"/>
    <n v="5.2999999999999999E-2"/>
    <n v="2.31"/>
    <n v="15541.68"/>
    <n v="132"/>
    <n v="117.74"/>
    <n v="34256.99"/>
    <n v="18715.309999999998"/>
    <n v="1.2042012189158442"/>
    <n v="2.2000000000000002"/>
    <s v="Medium"/>
    <s v="Valid"/>
  </r>
  <r>
    <x v="19"/>
    <x v="9"/>
    <s v="TikTok Ads"/>
    <x v="0"/>
    <s v="Healthcare"/>
    <x v="3"/>
    <n v="8311"/>
    <n v="476"/>
    <n v="5.7299999999999997E-2"/>
    <n v="1.61"/>
    <n v="766.36"/>
    <n v="18"/>
    <n v="42.58"/>
    <n v="1064.02"/>
    <n v="297.65999999999997"/>
    <n v="0.38840753692781455"/>
    <n v="1.39"/>
    <s v="Medium"/>
    <s v="Valid"/>
  </r>
  <r>
    <x v="244"/>
    <x v="5"/>
    <s v="Google Ads"/>
    <x v="1"/>
    <s v="Healthcare"/>
    <x v="1"/>
    <n v="140091"/>
    <n v="7242"/>
    <n v="5.1700000000000003E-2"/>
    <n v="2.52"/>
    <n v="18249.84"/>
    <n v="347"/>
    <n v="52.59"/>
    <n v="24525.17"/>
    <n v="6275.3299999999981"/>
    <n v="0.34385671326433537"/>
    <n v="1.34"/>
    <s v="Medium"/>
    <s v="Valid"/>
  </r>
  <r>
    <x v="51"/>
    <x v="8"/>
    <s v="TikTok Ads"/>
    <x v="2"/>
    <s v="E-commerce"/>
    <x v="4"/>
    <n v="140121"/>
    <n v="4778"/>
    <n v="3.4099999999999998E-2"/>
    <n v="0.86"/>
    <n v="4109.08"/>
    <n v="291"/>
    <n v="14.12"/>
    <n v="84859.67"/>
    <n v="80750.59"/>
    <n v="19.651744429409987"/>
    <n v="20.65"/>
    <s v="High"/>
    <s v="Valid"/>
  </r>
  <r>
    <x v="298"/>
    <x v="10"/>
    <s v="Meta Ads"/>
    <x v="3"/>
    <s v="Fintech"/>
    <x v="1"/>
    <n v="159301"/>
    <n v="6738"/>
    <n v="4.2299999999999997E-2"/>
    <n v="2.1800000000000002"/>
    <n v="14688.84"/>
    <n v="302"/>
    <n v="48.64"/>
    <n v="57570.61"/>
    <n v="42881.770000000004"/>
    <n v="2.9193435288286893"/>
    <n v="3.92"/>
    <s v="High"/>
    <s v="Valid"/>
  </r>
  <r>
    <x v="214"/>
    <x v="0"/>
    <s v="TikTok Ads"/>
    <x v="2"/>
    <s v="SaaS"/>
    <x v="3"/>
    <n v="88940"/>
    <n v="4384"/>
    <n v="4.9299999999999997E-2"/>
    <n v="0.32"/>
    <n v="1402.88"/>
    <n v="66"/>
    <n v="21.26"/>
    <n v="10447.120000000001"/>
    <n v="9044.2400000000016"/>
    <n v="6.4469092153284677"/>
    <n v="7.45"/>
    <s v="High"/>
    <s v="Valid"/>
  </r>
  <r>
    <x v="246"/>
    <x v="4"/>
    <s v="Meta Ads"/>
    <x v="0"/>
    <s v="Fintech"/>
    <x v="4"/>
    <n v="194287"/>
    <n v="5032"/>
    <n v="2.5899999999999999E-2"/>
    <n v="0.85"/>
    <n v="4277.2"/>
    <n v="338"/>
    <n v="12.65"/>
    <n v="32920.35"/>
    <n v="28643.149999999998"/>
    <n v="6.6967057888338166"/>
    <n v="7.7"/>
    <s v="High"/>
    <s v="Valid"/>
  </r>
  <r>
    <x v="177"/>
    <x v="2"/>
    <s v="TikTok Ads"/>
    <x v="0"/>
    <s v="Healthcare"/>
    <x v="5"/>
    <n v="17911"/>
    <n v="1148"/>
    <n v="6.4100000000000004E-2"/>
    <n v="1.1499999999999999"/>
    <n v="1320.2"/>
    <n v="52"/>
    <n v="25.39"/>
    <n v="3388.21"/>
    <n v="2068.0100000000002"/>
    <n v="1.5664369034994698"/>
    <n v="2.57"/>
    <s v="Medium"/>
    <s v="Valid"/>
  </r>
  <r>
    <x v="265"/>
    <x v="10"/>
    <s v="Meta Ads"/>
    <x v="3"/>
    <s v="SaaS"/>
    <x v="1"/>
    <n v="9909"/>
    <n v="170"/>
    <n v="1.72E-2"/>
    <n v="1.86"/>
    <n v="316.2"/>
    <n v="10"/>
    <n v="31.62"/>
    <n v="1238.47"/>
    <n v="922.27"/>
    <n v="2.9167299177735613"/>
    <n v="3.92"/>
    <s v="High"/>
    <s v="Valid"/>
  </r>
  <r>
    <x v="221"/>
    <x v="0"/>
    <s v="TikTok Ads"/>
    <x v="0"/>
    <s v="E-commerce"/>
    <x v="5"/>
    <n v="168616"/>
    <n v="6508"/>
    <n v="3.8600000000000002E-2"/>
    <n v="1.02"/>
    <n v="6638.16"/>
    <n v="508"/>
    <n v="13.07"/>
    <n v="151081.09"/>
    <n v="144442.93"/>
    <n v="21.759483049519744"/>
    <n v="22.76"/>
    <s v="High"/>
    <s v="Valid"/>
  </r>
  <r>
    <x v="226"/>
    <x v="7"/>
    <s v="Meta Ads"/>
    <x v="2"/>
    <s v="Healthcare"/>
    <x v="3"/>
    <n v="139346"/>
    <n v="4096"/>
    <n v="2.9399999999999999E-2"/>
    <n v="0.62"/>
    <n v="2539.52"/>
    <n v="236"/>
    <n v="10.76"/>
    <n v="12521.54"/>
    <n v="9982.02"/>
    <n v="3.9306719380040325"/>
    <n v="4.93"/>
    <s v="High"/>
    <s v="Valid"/>
  </r>
  <r>
    <x v="308"/>
    <x v="11"/>
    <s v="Meta Ads"/>
    <x v="0"/>
    <s v="Fintech"/>
    <x v="1"/>
    <n v="98740"/>
    <n v="1589"/>
    <n v="1.61E-2"/>
    <n v="2.09"/>
    <n v="3321.01"/>
    <n v="47"/>
    <n v="70.66"/>
    <n v="5063.3100000000004"/>
    <n v="1742.3000000000002"/>
    <n v="0.52462955546655987"/>
    <n v="1.52"/>
    <s v="Medium"/>
    <s v="Valid"/>
  </r>
  <r>
    <x v="119"/>
    <x v="1"/>
    <s v="TikTok Ads"/>
    <x v="1"/>
    <s v="EdTech"/>
    <x v="5"/>
    <n v="26471"/>
    <n v="1890"/>
    <n v="7.1400000000000005E-2"/>
    <n v="0.94"/>
    <n v="1776.6"/>
    <n v="74"/>
    <n v="24.01"/>
    <n v="21647.86"/>
    <n v="19871.260000000002"/>
    <n v="11.184993808398065"/>
    <n v="12.18"/>
    <s v="High"/>
    <s v="Valid"/>
  </r>
  <r>
    <x v="85"/>
    <x v="10"/>
    <s v="Meta Ads"/>
    <x v="3"/>
    <s v="Healthcare"/>
    <x v="2"/>
    <n v="174048"/>
    <n v="3846"/>
    <n v="2.2100000000000002E-2"/>
    <n v="1.74"/>
    <n v="6692.04"/>
    <n v="75"/>
    <n v="89.23"/>
    <n v="18304.27"/>
    <n v="11612.23"/>
    <n v="1.7352302138062534"/>
    <n v="2.74"/>
    <s v="Medium"/>
    <s v="Valid"/>
  </r>
  <r>
    <x v="227"/>
    <x v="5"/>
    <s v="Meta Ads"/>
    <x v="0"/>
    <s v="Healthcare"/>
    <x v="6"/>
    <n v="8877"/>
    <n v="230"/>
    <n v="2.5999999999999999E-2"/>
    <n v="0.76"/>
    <n v="174.8"/>
    <n v="9"/>
    <n v="19.420000000000002"/>
    <n v="1921.06"/>
    <n v="1746.26"/>
    <n v="9.9900457665903879"/>
    <n v="10.99"/>
    <s v="High"/>
    <s v="Valid"/>
  </r>
  <r>
    <x v="59"/>
    <x v="8"/>
    <s v="Meta Ads"/>
    <x v="2"/>
    <s v="EdTech"/>
    <x v="3"/>
    <n v="32488"/>
    <n v="919"/>
    <n v="2.8299999999999999E-2"/>
    <n v="1.93"/>
    <n v="1773.67"/>
    <n v="32"/>
    <n v="55.43"/>
    <n v="7341.13"/>
    <n v="5567.46"/>
    <n v="3.1389491844593413"/>
    <n v="4.1399999999999997"/>
    <s v="High"/>
    <s v="Valid"/>
  </r>
  <r>
    <x v="251"/>
    <x v="6"/>
    <s v="Google Ads"/>
    <x v="0"/>
    <s v="Healthcare"/>
    <x v="2"/>
    <n v="77968"/>
    <n v="3001"/>
    <n v="3.85E-2"/>
    <n v="2.85"/>
    <n v="8552.85"/>
    <n v="193"/>
    <n v="44.32"/>
    <n v="31448.71"/>
    <n v="22895.86"/>
    <n v="2.6769860338951341"/>
    <n v="3.68"/>
    <s v="High"/>
    <s v="Valid"/>
  </r>
  <r>
    <x v="298"/>
    <x v="10"/>
    <s v="TikTok Ads"/>
    <x v="1"/>
    <s v="Fintech"/>
    <x v="0"/>
    <n v="10156"/>
    <n v="474"/>
    <n v="4.6699999999999998E-2"/>
    <n v="0.31"/>
    <n v="146.94"/>
    <n v="29"/>
    <n v="5.07"/>
    <n v="1480.61"/>
    <n v="1333.6699999999998"/>
    <n v="9.0762896420307602"/>
    <n v="10.08"/>
    <s v="High"/>
    <s v="Valid"/>
  </r>
  <r>
    <x v="248"/>
    <x v="11"/>
    <s v="Meta Ads"/>
    <x v="3"/>
    <s v="Fintech"/>
    <x v="1"/>
    <n v="63676"/>
    <n v="1757"/>
    <n v="2.76E-2"/>
    <n v="1.1599999999999999"/>
    <n v="2038.12"/>
    <n v="137"/>
    <n v="14.88"/>
    <n v="8830.01"/>
    <n v="6791.89"/>
    <n v="3.3324289050693778"/>
    <n v="4.33"/>
    <s v="High"/>
    <s v="Valid"/>
  </r>
  <r>
    <x v="332"/>
    <x v="1"/>
    <s v="Google Ads"/>
    <x v="1"/>
    <s v="EdTech"/>
    <x v="0"/>
    <n v="93545"/>
    <n v="2974"/>
    <n v="3.1800000000000002E-2"/>
    <n v="1.1599999999999999"/>
    <n v="3449.84"/>
    <n v="58"/>
    <n v="59.48"/>
    <n v="4267.1099999999997"/>
    <n v="817.26999999999953"/>
    <n v="0.23690084177816928"/>
    <n v="1.24"/>
    <s v="Medium"/>
    <s v="Valid"/>
  </r>
  <r>
    <x v="106"/>
    <x v="2"/>
    <s v="Meta Ads"/>
    <x v="3"/>
    <s v="EdTech"/>
    <x v="5"/>
    <n v="8671"/>
    <n v="156"/>
    <n v="1.7999999999999999E-2"/>
    <n v="1.46"/>
    <n v="227.76"/>
    <n v="7"/>
    <n v="32.54"/>
    <n v="1461.2"/>
    <n v="1233.44"/>
    <n v="5.4155251141552512"/>
    <n v="6.42"/>
    <s v="High"/>
    <s v="Valid"/>
  </r>
  <r>
    <x v="224"/>
    <x v="5"/>
    <s v="Meta Ads"/>
    <x v="1"/>
    <s v="Fintech"/>
    <x v="2"/>
    <n v="95930"/>
    <n v="1554"/>
    <n v="1.6199999999999999E-2"/>
    <n v="0.72"/>
    <n v="1118.8800000000001"/>
    <n v="62"/>
    <n v="18.05"/>
    <n v="5774.95"/>
    <n v="4656.07"/>
    <n v="4.1613667238667231"/>
    <n v="5.16"/>
    <s v="High"/>
    <s v="Valid"/>
  </r>
  <r>
    <x v="353"/>
    <x v="10"/>
    <s v="Google Ads"/>
    <x v="3"/>
    <s v="E-commerce"/>
    <x v="6"/>
    <n v="73683"/>
    <n v="3757"/>
    <n v="5.0999999999999997E-2"/>
    <n v="3.32"/>
    <n v="12473.24"/>
    <n v="131"/>
    <n v="95.22"/>
    <n v="33721.519999999997"/>
    <n v="21248.28"/>
    <n v="1.7035092726508909"/>
    <n v="2.7"/>
    <s v="Medium"/>
    <s v="Valid"/>
  </r>
  <r>
    <x v="242"/>
    <x v="10"/>
    <s v="Meta Ads"/>
    <x v="2"/>
    <s v="SaaS"/>
    <x v="5"/>
    <n v="152932"/>
    <n v="6591"/>
    <n v="4.3099999999999999E-2"/>
    <n v="1.25"/>
    <n v="8238.75"/>
    <n v="200"/>
    <n v="41.19"/>
    <n v="14211.23"/>
    <n v="5972.48"/>
    <n v="0.72492550447580029"/>
    <n v="1.72"/>
    <s v="Medium"/>
    <s v="Valid"/>
  </r>
  <r>
    <x v="124"/>
    <x v="11"/>
    <s v="TikTok Ads"/>
    <x v="2"/>
    <s v="SaaS"/>
    <x v="0"/>
    <n v="125354"/>
    <n v="6179"/>
    <n v="4.9299999999999997E-2"/>
    <n v="0.35"/>
    <n v="2162.65"/>
    <n v="259"/>
    <n v="8.35"/>
    <n v="9238.1200000000008"/>
    <n v="7075.4700000000012"/>
    <n v="3.2716667051996398"/>
    <n v="4.2699999999999996"/>
    <s v="High"/>
    <s v="Valid"/>
  </r>
  <r>
    <x v="82"/>
    <x v="7"/>
    <s v="Google Ads"/>
    <x v="2"/>
    <s v="E-commerce"/>
    <x v="4"/>
    <n v="193613"/>
    <n v="9157"/>
    <n v="4.7300000000000002E-2"/>
    <n v="2.79"/>
    <n v="25548.03"/>
    <n v="458"/>
    <n v="55.78"/>
    <n v="127981.37"/>
    <n v="102433.34"/>
    <n v="4.0094418238901399"/>
    <n v="5.01"/>
    <s v="High"/>
    <s v="Valid"/>
  </r>
  <r>
    <x v="116"/>
    <x v="6"/>
    <s v="Google Ads"/>
    <x v="3"/>
    <s v="EdTech"/>
    <x v="6"/>
    <n v="158138"/>
    <n v="2846"/>
    <n v="1.7999999999999999E-2"/>
    <n v="2.04"/>
    <n v="5805.84"/>
    <n v="143"/>
    <n v="40.6"/>
    <n v="22164.01"/>
    <n v="16358.169999999998"/>
    <n v="2.8175371694707394"/>
    <n v="3.82"/>
    <s v="High"/>
    <s v="Valid"/>
  </r>
  <r>
    <x v="192"/>
    <x v="1"/>
    <s v="Google Ads"/>
    <x v="1"/>
    <s v="Healthcare"/>
    <x v="0"/>
    <n v="134814"/>
    <n v="2804"/>
    <n v="2.0799999999999999E-2"/>
    <n v="1.91"/>
    <n v="5355.64"/>
    <n v="195"/>
    <n v="27.46"/>
    <n v="46646.16"/>
    <n v="41290.520000000004"/>
    <n v="7.7097265686267189"/>
    <n v="8.7100000000000009"/>
    <s v="High"/>
    <s v="Valid"/>
  </r>
  <r>
    <x v="176"/>
    <x v="2"/>
    <s v="Google Ads"/>
    <x v="0"/>
    <s v="E-commerce"/>
    <x v="6"/>
    <n v="102366"/>
    <n v="2589"/>
    <n v="2.53E-2"/>
    <n v="1.59"/>
    <n v="4116.51"/>
    <n v="148"/>
    <n v="27.81"/>
    <n v="35080.15"/>
    <n v="30963.64"/>
    <n v="7.5218182392366346"/>
    <n v="8.52"/>
    <s v="High"/>
    <s v="Valid"/>
  </r>
  <r>
    <x v="32"/>
    <x v="8"/>
    <s v="Meta Ads"/>
    <x v="3"/>
    <s v="Healthcare"/>
    <x v="4"/>
    <n v="159044"/>
    <n v="2385"/>
    <n v="1.4999999999999999E-2"/>
    <n v="1.65"/>
    <n v="3935.25"/>
    <n v="184"/>
    <n v="21.39"/>
    <n v="35387.51"/>
    <n v="31452.260000000002"/>
    <n v="7.9924426656502137"/>
    <n v="8.99"/>
    <s v="High"/>
    <s v="Valid"/>
  </r>
  <r>
    <x v="10"/>
    <x v="5"/>
    <s v="TikTok Ads"/>
    <x v="2"/>
    <s v="EdTech"/>
    <x v="2"/>
    <n v="35932"/>
    <n v="1440"/>
    <n v="4.0099999999999997E-2"/>
    <n v="0.91"/>
    <n v="1310.4000000000001"/>
    <n v="68"/>
    <n v="19.27"/>
    <n v="16668.75"/>
    <n v="15358.35"/>
    <n v="11.720352564102564"/>
    <n v="12.72"/>
    <s v="High"/>
    <s v="Valid"/>
  </r>
  <r>
    <x v="227"/>
    <x v="5"/>
    <s v="TikTok Ads"/>
    <x v="3"/>
    <s v="EdTech"/>
    <x v="6"/>
    <n v="116561"/>
    <n v="4231"/>
    <n v="3.6299999999999999E-2"/>
    <n v="1"/>
    <n v="4231"/>
    <n v="172"/>
    <n v="24.6"/>
    <n v="42291.58"/>
    <n v="38060.58"/>
    <n v="8.9956464192862207"/>
    <n v="10"/>
    <s v="High"/>
    <s v="Valid"/>
  </r>
  <r>
    <x v="53"/>
    <x v="10"/>
    <s v="Meta Ads"/>
    <x v="2"/>
    <s v="Fintech"/>
    <x v="6"/>
    <n v="8608"/>
    <n v="100"/>
    <n v="1.17E-2"/>
    <n v="0.57999999999999996"/>
    <n v="58"/>
    <n v="3"/>
    <n v="19.329999999999998"/>
    <n v="661.12"/>
    <n v="603.12"/>
    <n v="10.398620689655173"/>
    <n v="11.4"/>
    <s v="High"/>
    <s v="Valid"/>
  </r>
  <r>
    <x v="182"/>
    <x v="4"/>
    <s v="Meta Ads"/>
    <x v="0"/>
    <s v="E-commerce"/>
    <x v="0"/>
    <n v="19284"/>
    <n v="642"/>
    <n v="3.3300000000000003E-2"/>
    <n v="1.57"/>
    <n v="1007.94"/>
    <n v="21"/>
    <n v="48"/>
    <n v="5907.29"/>
    <n v="4899.3500000000004"/>
    <n v="4.8607556005317774"/>
    <n v="5.86"/>
    <s v="High"/>
    <s v="Valid"/>
  </r>
  <r>
    <x v="40"/>
    <x v="11"/>
    <s v="Meta Ads"/>
    <x v="3"/>
    <s v="Fintech"/>
    <x v="5"/>
    <n v="161764"/>
    <n v="2652"/>
    <n v="1.6400000000000001E-2"/>
    <n v="0.99"/>
    <n v="2625.48"/>
    <n v="76"/>
    <n v="34.549999999999997"/>
    <n v="16956.509999999998"/>
    <n v="14331.029999999999"/>
    <n v="5.4584418849124727"/>
    <n v="6.46"/>
    <s v="High"/>
    <s v="Valid"/>
  </r>
  <r>
    <x v="189"/>
    <x v="9"/>
    <s v="TikTok Ads"/>
    <x v="1"/>
    <s v="Fintech"/>
    <x v="3"/>
    <n v="116045"/>
    <n v="6660"/>
    <n v="5.74E-2"/>
    <n v="0.35"/>
    <n v="2331"/>
    <n v="467"/>
    <n v="4.99"/>
    <n v="76092.649999999994"/>
    <n v="73761.649999999994"/>
    <n v="31.643779493779491"/>
    <n v="32.64"/>
    <s v="High"/>
    <s v="Valid"/>
  </r>
  <r>
    <x v="319"/>
    <x v="1"/>
    <s v="Meta Ads"/>
    <x v="2"/>
    <s v="E-commerce"/>
    <x v="1"/>
    <n v="61395"/>
    <n v="2038"/>
    <n v="3.32E-2"/>
    <n v="2.36"/>
    <n v="4809.68"/>
    <n v="102"/>
    <n v="47.15"/>
    <n v="16290.15"/>
    <n v="11480.47"/>
    <n v="2.3869508990203085"/>
    <n v="3.39"/>
    <s v="High"/>
    <s v="Valid"/>
  </r>
  <r>
    <x v="81"/>
    <x v="5"/>
    <s v="Google Ads"/>
    <x v="2"/>
    <s v="EdTech"/>
    <x v="0"/>
    <n v="119183"/>
    <n v="5041"/>
    <n v="4.2299999999999997E-2"/>
    <n v="3.38"/>
    <n v="17038.580000000002"/>
    <n v="121"/>
    <n v="140.81"/>
    <n v="25438.17"/>
    <n v="8399.5899999999965"/>
    <n v="0.49297476667656553"/>
    <n v="1.49"/>
    <s v="Medium"/>
    <s v="Valid"/>
  </r>
  <r>
    <x v="149"/>
    <x v="3"/>
    <s v="Meta Ads"/>
    <x v="0"/>
    <s v="E-commerce"/>
    <x v="0"/>
    <n v="26747"/>
    <n v="1099"/>
    <n v="4.1099999999999998E-2"/>
    <n v="1.1399999999999999"/>
    <n v="1252.8599999999999"/>
    <n v="36"/>
    <n v="34.799999999999997"/>
    <n v="5626.79"/>
    <n v="4373.93"/>
    <n v="3.4911562345353837"/>
    <n v="4.49"/>
    <s v="High"/>
    <s v="Valid"/>
  </r>
  <r>
    <x v="171"/>
    <x v="9"/>
    <s v="Meta Ads"/>
    <x v="3"/>
    <s v="EdTech"/>
    <x v="3"/>
    <n v="157898"/>
    <n v="3094"/>
    <n v="1.9599999999999999E-2"/>
    <n v="2.39"/>
    <n v="7394.66"/>
    <n v="245"/>
    <n v="30.18"/>
    <n v="72430.36"/>
    <n v="65035.7"/>
    <n v="8.7949547376079487"/>
    <n v="9.7899999999999991"/>
    <s v="High"/>
    <s v="Valid"/>
  </r>
  <r>
    <x v="222"/>
    <x v="1"/>
    <s v="Meta Ads"/>
    <x v="0"/>
    <s v="Healthcare"/>
    <x v="2"/>
    <n v="49456"/>
    <n v="801"/>
    <n v="1.6199999999999999E-2"/>
    <n v="1.86"/>
    <n v="1489.86"/>
    <n v="50"/>
    <n v="29.8"/>
    <n v="4108.2"/>
    <n v="2618.34"/>
    <n v="1.7574402964036893"/>
    <n v="2.76"/>
    <s v="Medium"/>
    <s v="Valid"/>
  </r>
  <r>
    <x v="103"/>
    <x v="2"/>
    <s v="Google Ads"/>
    <x v="1"/>
    <s v="SaaS"/>
    <x v="4"/>
    <n v="150213"/>
    <n v="5242"/>
    <n v="3.49E-2"/>
    <n v="3.15"/>
    <n v="16512.3"/>
    <n v="332"/>
    <n v="49.74"/>
    <n v="64497.69"/>
    <n v="47985.39"/>
    <n v="2.9060391344634002"/>
    <n v="3.91"/>
    <s v="High"/>
    <s v="Valid"/>
  </r>
  <r>
    <x v="79"/>
    <x v="0"/>
    <s v="Google Ads"/>
    <x v="2"/>
    <s v="EdTech"/>
    <x v="2"/>
    <n v="73305"/>
    <n v="3635"/>
    <n v="4.9599999999999998E-2"/>
    <n v="2.48"/>
    <n v="9014.7999999999993"/>
    <n v="47"/>
    <n v="191.8"/>
    <n v="2210.35"/>
    <n v="-6804.4499999999989"/>
    <n v="-0.75480875892975985"/>
    <n v="0.25"/>
    <s v="Low"/>
    <s v="Valid"/>
  </r>
  <r>
    <x v="352"/>
    <x v="1"/>
    <s v="TikTok Ads"/>
    <x v="3"/>
    <s v="Fintech"/>
    <x v="1"/>
    <n v="187663"/>
    <n v="10790"/>
    <n v="5.7500000000000002E-2"/>
    <n v="0.69"/>
    <n v="7445.1"/>
    <n v="121"/>
    <n v="61.53"/>
    <n v="18190.79"/>
    <n v="10745.69"/>
    <n v="1.4433237968596795"/>
    <n v="2.44"/>
    <s v="Medium"/>
    <s v="Valid"/>
  </r>
  <r>
    <x v="243"/>
    <x v="3"/>
    <s v="TikTok Ads"/>
    <x v="3"/>
    <s v="Healthcare"/>
    <x v="2"/>
    <n v="85066"/>
    <n v="5903"/>
    <n v="6.9400000000000003E-2"/>
    <n v="1.3"/>
    <n v="7673.9"/>
    <n v="465"/>
    <n v="16.5"/>
    <n v="85397.14"/>
    <n v="77723.240000000005"/>
    <n v="10.128258121685194"/>
    <n v="11.13"/>
    <s v="High"/>
    <s v="Valid"/>
  </r>
  <r>
    <x v="217"/>
    <x v="2"/>
    <s v="Google Ads"/>
    <x v="2"/>
    <s v="EdTech"/>
    <x v="2"/>
    <n v="12045"/>
    <n v="255"/>
    <n v="2.12E-2"/>
    <n v="2.02"/>
    <n v="515.1"/>
    <n v="4"/>
    <n v="128.78"/>
    <n v="161.02000000000001"/>
    <n v="-354.08000000000004"/>
    <n v="-0.68740050475635806"/>
    <n v="0.31"/>
    <s v="Low"/>
    <s v="Valid"/>
  </r>
  <r>
    <x v="330"/>
    <x v="8"/>
    <s v="Google Ads"/>
    <x v="1"/>
    <s v="Fintech"/>
    <x v="0"/>
    <n v="77796"/>
    <n v="3703"/>
    <n v="4.7600000000000003E-2"/>
    <n v="2.67"/>
    <n v="9887.01"/>
    <n v="182"/>
    <n v="54.32"/>
    <n v="43235.35"/>
    <n v="33348.339999999997"/>
    <n v="3.3729449044756703"/>
    <n v="4.37"/>
    <s v="High"/>
    <s v="Valid"/>
  </r>
  <r>
    <x v="217"/>
    <x v="2"/>
    <s v="TikTok Ads"/>
    <x v="2"/>
    <s v="Fintech"/>
    <x v="1"/>
    <n v="90443"/>
    <n v="3789"/>
    <n v="4.19E-2"/>
    <n v="0.56999999999999995"/>
    <n v="2159.73"/>
    <n v="94"/>
    <n v="22.98"/>
    <n v="16003.58"/>
    <n v="13843.85"/>
    <n v="6.4099910636977775"/>
    <n v="7.41"/>
    <s v="High"/>
    <s v="Valid"/>
  </r>
  <r>
    <x v="180"/>
    <x v="11"/>
    <s v="Meta Ads"/>
    <x v="3"/>
    <s v="E-commerce"/>
    <x v="4"/>
    <n v="52838"/>
    <n v="660"/>
    <n v="1.2500000000000001E-2"/>
    <n v="1.78"/>
    <n v="1174.8"/>
    <n v="14"/>
    <n v="83.91"/>
    <n v="2258.16"/>
    <n v="1083.3599999999999"/>
    <n v="0.92216547497446366"/>
    <n v="1.92"/>
    <s v="Medium"/>
    <s v="Valid"/>
  </r>
  <r>
    <x v="55"/>
    <x v="1"/>
    <s v="Meta Ads"/>
    <x v="1"/>
    <s v="E-commerce"/>
    <x v="6"/>
    <n v="61284"/>
    <n v="1574"/>
    <n v="2.5700000000000001E-2"/>
    <n v="1.52"/>
    <n v="2392.48"/>
    <n v="32"/>
    <n v="74.77"/>
    <n v="3680.82"/>
    <n v="1288.3400000000001"/>
    <n v="0.53849561960810544"/>
    <n v="1.54"/>
    <s v="Medium"/>
    <s v="Valid"/>
  </r>
  <r>
    <x v="3"/>
    <x v="0"/>
    <s v="Meta Ads"/>
    <x v="0"/>
    <s v="Healthcare"/>
    <x v="5"/>
    <n v="163624"/>
    <n v="4368"/>
    <n v="2.6700000000000002E-2"/>
    <n v="1.28"/>
    <n v="5591.04"/>
    <n v="296"/>
    <n v="18.89"/>
    <n v="31041.33"/>
    <n v="25450.29"/>
    <n v="4.5519778073489015"/>
    <n v="5.55"/>
    <s v="High"/>
    <s v="Valid"/>
  </r>
  <r>
    <x v="22"/>
    <x v="1"/>
    <s v="Meta Ads"/>
    <x v="3"/>
    <s v="Healthcare"/>
    <x v="1"/>
    <n v="194674"/>
    <n v="3601"/>
    <n v="1.8499999999999999E-2"/>
    <n v="1.45"/>
    <n v="5221.45"/>
    <n v="165"/>
    <n v="31.65"/>
    <n v="8945.17"/>
    <n v="3723.7200000000003"/>
    <n v="0.71315822233287696"/>
    <n v="1.71"/>
    <s v="Medium"/>
    <s v="Valid"/>
  </r>
  <r>
    <x v="300"/>
    <x v="7"/>
    <s v="Meta Ads"/>
    <x v="0"/>
    <s v="Healthcare"/>
    <x v="5"/>
    <n v="15485"/>
    <n v="196"/>
    <n v="1.2699999999999999E-2"/>
    <n v="1.54"/>
    <n v="301.83999999999997"/>
    <n v="8"/>
    <n v="37.729999999999997"/>
    <n v="362.78"/>
    <n v="60.94"/>
    <n v="0.20189504373177844"/>
    <n v="1.2"/>
    <s v="Medium"/>
    <s v="Valid"/>
  </r>
  <r>
    <x v="180"/>
    <x v="11"/>
    <s v="Google Ads"/>
    <x v="0"/>
    <s v="Fintech"/>
    <x v="3"/>
    <n v="138154"/>
    <n v="9518"/>
    <n v="6.8900000000000003E-2"/>
    <n v="2.2200000000000002"/>
    <n v="21129.96"/>
    <n v="534"/>
    <n v="39.57"/>
    <n v="24562.44"/>
    <n v="3432.4799999999996"/>
    <n v="0.16244611915971444"/>
    <n v="1.1599999999999999"/>
    <s v="Medium"/>
    <s v="Valid"/>
  </r>
  <r>
    <x v="349"/>
    <x v="8"/>
    <s v="TikTok Ads"/>
    <x v="1"/>
    <s v="Fintech"/>
    <x v="2"/>
    <n v="76922"/>
    <n v="2669"/>
    <n v="3.4700000000000002E-2"/>
    <n v="1.32"/>
    <n v="3523.08"/>
    <n v="110"/>
    <n v="32.03"/>
    <n v="12940.72"/>
    <n v="9417.64"/>
    <n v="2.6731269230332551"/>
    <n v="3.67"/>
    <s v="High"/>
    <s v="Valid"/>
  </r>
  <r>
    <x v="47"/>
    <x v="4"/>
    <s v="Google Ads"/>
    <x v="2"/>
    <s v="EdTech"/>
    <x v="3"/>
    <n v="13947"/>
    <n v="718"/>
    <n v="5.1499999999999997E-2"/>
    <n v="1.56"/>
    <n v="1120.08"/>
    <n v="44"/>
    <n v="25.46"/>
    <n v="11863.61"/>
    <n v="10743.53"/>
    <n v="9.5917523748303708"/>
    <n v="10.59"/>
    <s v="High"/>
    <s v="Valid"/>
  </r>
  <r>
    <x v="142"/>
    <x v="6"/>
    <s v="Google Ads"/>
    <x v="3"/>
    <s v="EdTech"/>
    <x v="3"/>
    <n v="199164"/>
    <n v="6671"/>
    <n v="3.3500000000000002E-2"/>
    <n v="3.19"/>
    <n v="21280.49"/>
    <n v="118"/>
    <n v="180.34"/>
    <n v="27461.46"/>
    <n v="6180.9699999999975"/>
    <n v="0.29045242849201297"/>
    <n v="1.29"/>
    <s v="Medium"/>
    <s v="Valid"/>
  </r>
  <r>
    <x v="178"/>
    <x v="7"/>
    <s v="Meta Ads"/>
    <x v="2"/>
    <s v="E-commerce"/>
    <x v="4"/>
    <n v="138018"/>
    <n v="1683"/>
    <n v="1.2200000000000001E-2"/>
    <n v="1.03"/>
    <n v="1733.49"/>
    <n v="56"/>
    <n v="30.96"/>
    <n v="8635.5"/>
    <n v="6902.01"/>
    <n v="3.9815689735735424"/>
    <n v="4.9800000000000004"/>
    <s v="High"/>
    <s v="Valid"/>
  </r>
  <r>
    <x v="296"/>
    <x v="11"/>
    <s v="Meta Ads"/>
    <x v="2"/>
    <s v="Fintech"/>
    <x v="0"/>
    <n v="161408"/>
    <n v="1581"/>
    <n v="9.7999999999999997E-3"/>
    <n v="1.1100000000000001"/>
    <n v="1754.91"/>
    <n v="51"/>
    <n v="34.409999999999997"/>
    <n v="6128.54"/>
    <n v="4373.63"/>
    <n v="2.4922246724903272"/>
    <n v="3.49"/>
    <s v="High"/>
    <s v="Valid"/>
  </r>
  <r>
    <x v="121"/>
    <x v="3"/>
    <s v="TikTok Ads"/>
    <x v="2"/>
    <s v="E-commerce"/>
    <x v="3"/>
    <n v="130811"/>
    <n v="8895"/>
    <n v="6.8000000000000005E-2"/>
    <n v="0.32"/>
    <n v="2846.4"/>
    <n v="150"/>
    <n v="18.98"/>
    <n v="31192.02"/>
    <n v="28345.62"/>
    <n v="9.9584106239460368"/>
    <n v="10.96"/>
    <s v="High"/>
    <s v="Valid"/>
  </r>
  <r>
    <x v="222"/>
    <x v="1"/>
    <s v="Meta Ads"/>
    <x v="3"/>
    <s v="EdTech"/>
    <x v="0"/>
    <n v="140460"/>
    <n v="2753"/>
    <n v="1.9599999999999999E-2"/>
    <n v="0.51"/>
    <n v="1404.03"/>
    <n v="87"/>
    <n v="16.14"/>
    <n v="18763.62"/>
    <n v="17359.59"/>
    <n v="12.364116151364287"/>
    <n v="13.36"/>
    <s v="High"/>
    <s v="Valid"/>
  </r>
  <r>
    <x v="37"/>
    <x v="11"/>
    <s v="Meta Ads"/>
    <x v="2"/>
    <s v="EdTech"/>
    <x v="4"/>
    <n v="119731"/>
    <n v="2969"/>
    <n v="2.4799999999999999E-2"/>
    <n v="0.56000000000000005"/>
    <n v="1662.64"/>
    <n v="47"/>
    <n v="35.380000000000003"/>
    <n v="11619.48"/>
    <n v="9956.84"/>
    <n v="5.9885723908964055"/>
    <n v="6.99"/>
    <s v="High"/>
    <s v="Valid"/>
  </r>
  <r>
    <x v="120"/>
    <x v="3"/>
    <s v="Meta Ads"/>
    <x v="0"/>
    <s v="E-commerce"/>
    <x v="2"/>
    <n v="61437"/>
    <n v="1087"/>
    <n v="1.77E-2"/>
    <n v="2.23"/>
    <n v="2424.0100000000002"/>
    <n v="80"/>
    <n v="30.3"/>
    <n v="11780.01"/>
    <n v="9356"/>
    <n v="3.8597200506598566"/>
    <n v="4.8600000000000003"/>
    <s v="High"/>
    <s v="Valid"/>
  </r>
  <r>
    <x v="23"/>
    <x v="4"/>
    <s v="Google Ads"/>
    <x v="0"/>
    <s v="E-commerce"/>
    <x v="0"/>
    <n v="37827"/>
    <n v="2072"/>
    <n v="5.4800000000000001E-2"/>
    <n v="0.81"/>
    <n v="1678.32"/>
    <n v="133"/>
    <n v="12.62"/>
    <n v="19268.21"/>
    <n v="17589.89"/>
    <n v="10.480653272319939"/>
    <n v="11.48"/>
    <s v="High"/>
    <s v="Valid"/>
  </r>
  <r>
    <x v="69"/>
    <x v="1"/>
    <s v="Google Ads"/>
    <x v="3"/>
    <s v="SaaS"/>
    <x v="3"/>
    <n v="180848"/>
    <n v="5515"/>
    <n v="3.0499999999999999E-2"/>
    <n v="3.32"/>
    <n v="18309.8"/>
    <n v="362"/>
    <n v="50.58"/>
    <n v="84316.14"/>
    <n v="66006.34"/>
    <n v="3.6049732929906391"/>
    <n v="4.5999999999999996"/>
    <s v="High"/>
    <s v="Valid"/>
  </r>
  <r>
    <x v="176"/>
    <x v="2"/>
    <s v="Google Ads"/>
    <x v="1"/>
    <s v="Fintech"/>
    <x v="0"/>
    <n v="30545"/>
    <n v="1728"/>
    <n v="5.6599999999999998E-2"/>
    <n v="1.73"/>
    <n v="2989.44"/>
    <n v="51"/>
    <n v="58.62"/>
    <n v="3408.09"/>
    <n v="418.65000000000009"/>
    <n v="0.14004295118818244"/>
    <n v="1.1399999999999999"/>
    <s v="Medium"/>
    <s v="Valid"/>
  </r>
  <r>
    <x v="179"/>
    <x v="10"/>
    <s v="TikTok Ads"/>
    <x v="2"/>
    <s v="Fintech"/>
    <x v="0"/>
    <n v="21643"/>
    <n v="1142"/>
    <n v="5.28E-2"/>
    <n v="1.03"/>
    <n v="1176.26"/>
    <n v="81"/>
    <n v="14.52"/>
    <n v="18823.45"/>
    <n v="17647.190000000002"/>
    <n v="15.00279700066312"/>
    <n v="16"/>
    <s v="High"/>
    <s v="Valid"/>
  </r>
  <r>
    <x v="314"/>
    <x v="2"/>
    <s v="Meta Ads"/>
    <x v="3"/>
    <s v="Healthcare"/>
    <x v="1"/>
    <n v="58164"/>
    <n v="936"/>
    <n v="1.61E-2"/>
    <n v="0.88"/>
    <n v="823.68"/>
    <n v="13"/>
    <n v="63.36"/>
    <n v="1791.65"/>
    <n v="967.97000000000014"/>
    <n v="1.1751772533022535"/>
    <n v="2.1800000000000002"/>
    <s v="Medium"/>
    <s v="Valid"/>
  </r>
  <r>
    <x v="21"/>
    <x v="5"/>
    <s v="Meta Ads"/>
    <x v="2"/>
    <s v="Fintech"/>
    <x v="0"/>
    <n v="69102"/>
    <n v="1354"/>
    <n v="1.9599999999999999E-2"/>
    <n v="1.61"/>
    <n v="2179.94"/>
    <n v="89"/>
    <n v="24.49"/>
    <n v="14410.72"/>
    <n v="12230.779999999999"/>
    <n v="5.6106039615769232"/>
    <n v="6.61"/>
    <s v="High"/>
    <s v="Valid"/>
  </r>
  <r>
    <x v="174"/>
    <x v="4"/>
    <s v="TikTok Ads"/>
    <x v="2"/>
    <s v="Fintech"/>
    <x v="1"/>
    <n v="164852"/>
    <n v="6445"/>
    <n v="3.9100000000000003E-2"/>
    <n v="1.64"/>
    <n v="10569.8"/>
    <n v="471"/>
    <n v="22.44"/>
    <n v="43233.91"/>
    <n v="32664.110000000004"/>
    <n v="3.0903243202331176"/>
    <n v="4.09"/>
    <s v="High"/>
    <s v="Valid"/>
  </r>
  <r>
    <x v="348"/>
    <x v="3"/>
    <s v="Google Ads"/>
    <x v="2"/>
    <s v="Fintech"/>
    <x v="5"/>
    <n v="149064"/>
    <n v="5724"/>
    <n v="3.8399999999999997E-2"/>
    <n v="1.32"/>
    <n v="7555.68"/>
    <n v="369"/>
    <n v="20.48"/>
    <n v="107029.4"/>
    <n v="99473.72"/>
    <n v="13.16542256951062"/>
    <n v="14.17"/>
    <s v="High"/>
    <s v="Valid"/>
  </r>
  <r>
    <x v="208"/>
    <x v="10"/>
    <s v="Meta Ads"/>
    <x v="2"/>
    <s v="E-commerce"/>
    <x v="1"/>
    <n v="80888"/>
    <n v="2070"/>
    <n v="2.5600000000000001E-2"/>
    <n v="0.74"/>
    <n v="1531.8"/>
    <n v="71"/>
    <n v="21.57"/>
    <n v="19601.22"/>
    <n v="18069.420000000002"/>
    <n v="11.796200548374463"/>
    <n v="12.8"/>
    <s v="High"/>
    <s v="Valid"/>
  </r>
  <r>
    <x v="171"/>
    <x v="9"/>
    <s v="Meta Ads"/>
    <x v="3"/>
    <s v="SaaS"/>
    <x v="2"/>
    <n v="21471"/>
    <n v="753"/>
    <n v="3.5099999999999999E-2"/>
    <n v="1.79"/>
    <n v="1347.87"/>
    <n v="28"/>
    <n v="48.14"/>
    <n v="7559"/>
    <n v="6211.13"/>
    <n v="4.6081076068166817"/>
    <n v="5.61"/>
    <s v="High"/>
    <s v="Valid"/>
  </r>
  <r>
    <x v="131"/>
    <x v="8"/>
    <s v="Meta Ads"/>
    <x v="2"/>
    <s v="Healthcare"/>
    <x v="5"/>
    <n v="160182"/>
    <n v="4901"/>
    <n v="3.0599999999999999E-2"/>
    <n v="1.02"/>
    <n v="4999.0200000000004"/>
    <n v="88"/>
    <n v="56.81"/>
    <n v="22338.67"/>
    <n v="17339.649999999998"/>
    <n v="3.4686098475301153"/>
    <n v="4.47"/>
    <s v="High"/>
    <s v="Valid"/>
  </r>
  <r>
    <x v="227"/>
    <x v="5"/>
    <s v="TikTok Ads"/>
    <x v="3"/>
    <s v="EdTech"/>
    <x v="4"/>
    <n v="30226"/>
    <n v="1196"/>
    <n v="3.9600000000000003E-2"/>
    <n v="1.46"/>
    <n v="1746.16"/>
    <n v="12"/>
    <n v="145.51"/>
    <n v="2625.21"/>
    <n v="879.05"/>
    <n v="0.50341893068218257"/>
    <n v="1.5"/>
    <s v="Medium"/>
    <s v="Valid"/>
  </r>
  <r>
    <x v="198"/>
    <x v="10"/>
    <s v="Google Ads"/>
    <x v="0"/>
    <s v="SaaS"/>
    <x v="6"/>
    <n v="146677"/>
    <n v="7597"/>
    <n v="5.1799999999999999E-2"/>
    <n v="1.42"/>
    <n v="10787.74"/>
    <n v="186"/>
    <n v="58"/>
    <n v="35941.14"/>
    <n v="25153.4"/>
    <n v="2.3316653905266538"/>
    <n v="3.33"/>
    <s v="High"/>
    <s v="Valid"/>
  </r>
  <r>
    <x v="69"/>
    <x v="1"/>
    <s v="Meta Ads"/>
    <x v="2"/>
    <s v="Healthcare"/>
    <x v="0"/>
    <n v="74859"/>
    <n v="1661"/>
    <n v="2.2200000000000001E-2"/>
    <n v="1.35"/>
    <n v="2242.35"/>
    <n v="101"/>
    <n v="22.2"/>
    <n v="6046.11"/>
    <n v="3803.7599999999998"/>
    <n v="1.6963275135460565"/>
    <n v="2.7"/>
    <s v="Medium"/>
    <s v="Valid"/>
  </r>
  <r>
    <x v="255"/>
    <x v="8"/>
    <s v="Google Ads"/>
    <x v="3"/>
    <s v="SaaS"/>
    <x v="6"/>
    <n v="127232"/>
    <n v="3867"/>
    <n v="3.04E-2"/>
    <n v="2.95"/>
    <n v="11407.65"/>
    <n v="177"/>
    <n v="64.45"/>
    <n v="6676.28"/>
    <n v="-4731.37"/>
    <n v="-0.4147541342870793"/>
    <n v="0.59"/>
    <s v="Low"/>
    <s v="Valid"/>
  </r>
  <r>
    <x v="172"/>
    <x v="9"/>
    <s v="Google Ads"/>
    <x v="1"/>
    <s v="SaaS"/>
    <x v="1"/>
    <n v="83243"/>
    <n v="2821"/>
    <n v="3.39E-2"/>
    <n v="3.03"/>
    <n v="8547.6299999999992"/>
    <n v="181"/>
    <n v="47.22"/>
    <n v="43894.09"/>
    <n v="35346.46"/>
    <n v="4.135235147052458"/>
    <n v="5.14"/>
    <s v="High"/>
    <s v="Valid"/>
  </r>
  <r>
    <x v="92"/>
    <x v="8"/>
    <s v="Meta Ads"/>
    <x v="2"/>
    <s v="EdTech"/>
    <x v="0"/>
    <n v="85846"/>
    <n v="2274"/>
    <n v="2.6499999999999999E-2"/>
    <n v="0.43"/>
    <n v="977.82"/>
    <n v="113"/>
    <n v="8.65"/>
    <n v="8382.57"/>
    <n v="7404.75"/>
    <n v="7.5727127692213285"/>
    <n v="8.57"/>
    <s v="High"/>
    <s v="Valid"/>
  </r>
  <r>
    <x v="304"/>
    <x v="2"/>
    <s v="TikTok Ads"/>
    <x v="3"/>
    <s v="Healthcare"/>
    <x v="2"/>
    <n v="150227"/>
    <n v="8683"/>
    <n v="5.7799999999999997E-2"/>
    <n v="1.7"/>
    <n v="14761.1"/>
    <n v="315"/>
    <n v="46.86"/>
    <n v="86296.01"/>
    <n v="71534.909999999989"/>
    <n v="4.8461774528998509"/>
    <n v="5.85"/>
    <s v="High"/>
    <s v="Valid"/>
  </r>
  <r>
    <x v="354"/>
    <x v="10"/>
    <s v="Google Ads"/>
    <x v="3"/>
    <s v="Healthcare"/>
    <x v="4"/>
    <n v="50411"/>
    <n v="1320"/>
    <n v="2.6200000000000001E-2"/>
    <n v="2.68"/>
    <n v="3537.6"/>
    <n v="49"/>
    <n v="72.2"/>
    <n v="12873.07"/>
    <n v="9335.4699999999993"/>
    <n v="2.6389275214834913"/>
    <n v="3.64"/>
    <s v="High"/>
    <s v="Valid"/>
  </r>
  <r>
    <x v="148"/>
    <x v="0"/>
    <s v="Google Ads"/>
    <x v="2"/>
    <s v="Fintech"/>
    <x v="1"/>
    <n v="100552"/>
    <n v="3861"/>
    <n v="3.8399999999999997E-2"/>
    <n v="1.91"/>
    <n v="7374.51"/>
    <n v="57"/>
    <n v="129.38"/>
    <n v="14567.86"/>
    <n v="7193.35"/>
    <n v="0.9754343000416299"/>
    <n v="1.98"/>
    <s v="Medium"/>
    <s v="Valid"/>
  </r>
  <r>
    <x v="295"/>
    <x v="10"/>
    <s v="Google Ads"/>
    <x v="3"/>
    <s v="Fintech"/>
    <x v="0"/>
    <n v="32428"/>
    <n v="603"/>
    <n v="1.8599999999999998E-2"/>
    <n v="1.61"/>
    <n v="970.83"/>
    <n v="47"/>
    <n v="20.66"/>
    <n v="11645.06"/>
    <n v="10674.23"/>
    <n v="10.994952772370032"/>
    <n v="11.99"/>
    <s v="High"/>
    <s v="Valid"/>
  </r>
  <r>
    <x v="9"/>
    <x v="6"/>
    <s v="Google Ads"/>
    <x v="0"/>
    <s v="Healthcare"/>
    <x v="2"/>
    <n v="84517"/>
    <n v="1664"/>
    <n v="1.9699999999999999E-2"/>
    <n v="2.4"/>
    <n v="3993.6"/>
    <n v="91"/>
    <n v="43.89"/>
    <n v="21828"/>
    <n v="17834.400000000001"/>
    <n v="4.4657451923076925"/>
    <n v="5.47"/>
    <s v="High"/>
    <s v="Valid"/>
  </r>
  <r>
    <x v="37"/>
    <x v="11"/>
    <s v="Meta Ads"/>
    <x v="2"/>
    <s v="EdTech"/>
    <x v="3"/>
    <n v="160091"/>
    <n v="4210"/>
    <n v="2.63E-2"/>
    <n v="1.07"/>
    <n v="4504.7"/>
    <n v="322"/>
    <n v="13.99"/>
    <n v="62914.38"/>
    <n v="58409.68"/>
    <n v="12.966386218838103"/>
    <n v="13.97"/>
    <s v="High"/>
    <s v="Valid"/>
  </r>
  <r>
    <x v="54"/>
    <x v="1"/>
    <s v="Google Ads"/>
    <x v="0"/>
    <s v="EdTech"/>
    <x v="1"/>
    <n v="158778"/>
    <n v="7256"/>
    <n v="4.5699999999999998E-2"/>
    <n v="1.5"/>
    <n v="10884"/>
    <n v="431"/>
    <n v="25.25"/>
    <n v="17905.23"/>
    <n v="7021.23"/>
    <n v="0.64509647188533625"/>
    <n v="1.65"/>
    <s v="Medium"/>
    <s v="Valid"/>
  </r>
  <r>
    <x v="196"/>
    <x v="5"/>
    <s v="Google Ads"/>
    <x v="0"/>
    <s v="Healthcare"/>
    <x v="3"/>
    <n v="145284"/>
    <n v="8121"/>
    <n v="5.5899999999999998E-2"/>
    <n v="2.66"/>
    <n v="21601.86"/>
    <n v="503"/>
    <n v="42.95"/>
    <n v="135453.16"/>
    <n v="113851.3"/>
    <n v="5.2704396751020512"/>
    <n v="6.27"/>
    <s v="High"/>
    <s v="Valid"/>
  </r>
  <r>
    <x v="310"/>
    <x v="2"/>
    <s v="Meta Ads"/>
    <x v="2"/>
    <s v="E-commerce"/>
    <x v="3"/>
    <n v="82665"/>
    <n v="2521"/>
    <n v="3.0499999999999999E-2"/>
    <n v="0.64"/>
    <n v="1613.44"/>
    <n v="182"/>
    <n v="8.8699999999999992"/>
    <n v="48413.75"/>
    <n v="46800.31"/>
    <n v="29.00653882387941"/>
    <n v="30.01"/>
    <s v="High"/>
    <s v="Valid"/>
  </r>
  <r>
    <x v="260"/>
    <x v="10"/>
    <s v="TikTok Ads"/>
    <x v="2"/>
    <s v="Fintech"/>
    <x v="1"/>
    <n v="157973"/>
    <n v="12227"/>
    <n v="7.7399999999999997E-2"/>
    <n v="0.53"/>
    <n v="6480.31"/>
    <n v="540"/>
    <n v="12"/>
    <n v="99930.16"/>
    <n v="93449.85"/>
    <n v="14.420583274565569"/>
    <n v="15.42"/>
    <s v="High"/>
    <s v="Valid"/>
  </r>
  <r>
    <x v="21"/>
    <x v="5"/>
    <s v="TikTok Ads"/>
    <x v="3"/>
    <s v="Fintech"/>
    <x v="5"/>
    <n v="48898"/>
    <n v="3193"/>
    <n v="6.5299999999999997E-2"/>
    <n v="0.89"/>
    <n v="2841.77"/>
    <n v="179"/>
    <n v="15.88"/>
    <n v="27594.33"/>
    <n v="24752.560000000001"/>
    <n v="8.7102615623361501"/>
    <n v="9.7100000000000009"/>
    <s v="High"/>
    <s v="Valid"/>
  </r>
  <r>
    <x v="205"/>
    <x v="11"/>
    <s v="Google Ads"/>
    <x v="0"/>
    <s v="SaaS"/>
    <x v="2"/>
    <n v="185923"/>
    <n v="7827"/>
    <n v="4.2099999999999999E-2"/>
    <n v="3.68"/>
    <n v="28803.360000000001"/>
    <n v="215"/>
    <n v="133.97"/>
    <n v="61106.18"/>
    <n v="32302.82"/>
    <n v="1.121494853378217"/>
    <n v="2.12"/>
    <s v="Medium"/>
    <s v="Valid"/>
  </r>
  <r>
    <x v="15"/>
    <x v="4"/>
    <s v="TikTok Ads"/>
    <x v="0"/>
    <s v="Healthcare"/>
    <x v="4"/>
    <n v="89688"/>
    <n v="6583"/>
    <n v="7.3400000000000007E-2"/>
    <n v="0.34"/>
    <n v="2238.2199999999998"/>
    <n v="273"/>
    <n v="8.1999999999999993"/>
    <n v="36559.47"/>
    <n v="34321.25"/>
    <n v="15.334171797231731"/>
    <n v="16.329999999999998"/>
    <s v="High"/>
    <s v="Valid"/>
  </r>
  <r>
    <x v="285"/>
    <x v="4"/>
    <s v="TikTok Ads"/>
    <x v="0"/>
    <s v="Fintech"/>
    <x v="4"/>
    <n v="15273"/>
    <n v="464"/>
    <n v="3.04E-2"/>
    <n v="0.77"/>
    <n v="357.28"/>
    <n v="24"/>
    <n v="14.89"/>
    <n v="871.3"/>
    <n v="514.02"/>
    <n v="1.438703537841469"/>
    <n v="2.44"/>
    <s v="Medium"/>
    <s v="Valid"/>
  </r>
  <r>
    <x v="194"/>
    <x v="11"/>
    <s v="Google Ads"/>
    <x v="2"/>
    <s v="SaaS"/>
    <x v="6"/>
    <n v="71107"/>
    <n v="2936"/>
    <n v="4.1300000000000003E-2"/>
    <n v="2.67"/>
    <n v="7839.12"/>
    <n v="215"/>
    <n v="36.46"/>
    <n v="26952.54"/>
    <n v="19113.420000000002"/>
    <n v="2.4382099011113496"/>
    <n v="3.44"/>
    <s v="High"/>
    <s v="Valid"/>
  </r>
  <r>
    <x v="52"/>
    <x v="1"/>
    <s v="Google Ads"/>
    <x v="2"/>
    <s v="SaaS"/>
    <x v="0"/>
    <n v="79681"/>
    <n v="2916"/>
    <n v="3.6600000000000001E-2"/>
    <n v="2.34"/>
    <n v="6823.44"/>
    <n v="184"/>
    <n v="37.08"/>
    <n v="46327.26"/>
    <n v="39503.82"/>
    <n v="5.7894287925152126"/>
    <n v="6.79"/>
    <s v="High"/>
    <s v="Valid"/>
  </r>
  <r>
    <x v="289"/>
    <x v="11"/>
    <s v="Meta Ads"/>
    <x v="1"/>
    <s v="Healthcare"/>
    <x v="1"/>
    <n v="102148"/>
    <n v="1205"/>
    <n v="1.18E-2"/>
    <n v="1.31"/>
    <n v="1578.55"/>
    <n v="59"/>
    <n v="26.76"/>
    <n v="17697.95"/>
    <n v="16119.400000000001"/>
    <n v="10.21152323334706"/>
    <n v="11.21"/>
    <s v="High"/>
    <s v="Valid"/>
  </r>
  <r>
    <x v="222"/>
    <x v="1"/>
    <s v="Meta Ads"/>
    <x v="0"/>
    <s v="Fintech"/>
    <x v="1"/>
    <n v="115540"/>
    <n v="1686"/>
    <n v="1.46E-2"/>
    <n v="1.58"/>
    <n v="2663.88"/>
    <n v="87"/>
    <n v="30.62"/>
    <n v="20354.07"/>
    <n v="17690.189999999999"/>
    <n v="6.6407608450831113"/>
    <n v="7.64"/>
    <s v="High"/>
    <s v="Valid"/>
  </r>
  <r>
    <x v="55"/>
    <x v="1"/>
    <s v="Google Ads"/>
    <x v="1"/>
    <s v="E-commerce"/>
    <x v="0"/>
    <n v="16766"/>
    <n v="846"/>
    <n v="5.0500000000000003E-2"/>
    <n v="2.46"/>
    <n v="2081.16"/>
    <n v="34"/>
    <n v="61.21"/>
    <n v="7254.65"/>
    <n v="5173.49"/>
    <n v="2.4858684579753598"/>
    <n v="3.49"/>
    <s v="High"/>
    <s v="Valid"/>
  </r>
  <r>
    <x v="110"/>
    <x v="2"/>
    <s v="Google Ads"/>
    <x v="3"/>
    <s v="E-commerce"/>
    <x v="3"/>
    <n v="96931"/>
    <n v="5844"/>
    <n v="6.0299999999999999E-2"/>
    <n v="1.1200000000000001"/>
    <n v="6545.28"/>
    <n v="297"/>
    <n v="22.04"/>
    <n v="47765.4"/>
    <n v="41220.120000000003"/>
    <n v="6.2976862716339106"/>
    <n v="7.3"/>
    <s v="High"/>
    <s v="Valid"/>
  </r>
  <r>
    <x v="108"/>
    <x v="0"/>
    <s v="Meta Ads"/>
    <x v="0"/>
    <s v="SaaS"/>
    <x v="1"/>
    <n v="175574"/>
    <n v="6935"/>
    <n v="3.95E-2"/>
    <n v="0.69"/>
    <n v="4785.1499999999996"/>
    <n v="515"/>
    <n v="9.2899999999999991"/>
    <n v="69264.33"/>
    <n v="64479.18"/>
    <n v="13.474850318171844"/>
    <n v="14.47"/>
    <s v="High"/>
    <s v="Valid"/>
  </r>
  <r>
    <x v="262"/>
    <x v="9"/>
    <s v="TikTok Ads"/>
    <x v="2"/>
    <s v="EdTech"/>
    <x v="6"/>
    <n v="175330"/>
    <n v="8766"/>
    <n v="0.05"/>
    <n v="0.73"/>
    <n v="6399.18"/>
    <n v="302"/>
    <n v="21.19"/>
    <n v="35245.68"/>
    <n v="28846.5"/>
    <n v="4.5078431924090276"/>
    <n v="5.51"/>
    <s v="High"/>
    <s v="Valid"/>
  </r>
  <r>
    <x v="19"/>
    <x v="9"/>
    <s v="Google Ads"/>
    <x v="2"/>
    <s v="E-commerce"/>
    <x v="0"/>
    <n v="45225"/>
    <n v="2211"/>
    <n v="4.8899999999999999E-2"/>
    <n v="0.91"/>
    <n v="2012.01"/>
    <n v="156"/>
    <n v="12.9"/>
    <n v="38495.980000000003"/>
    <n v="36483.97"/>
    <n v="18.133095759961432"/>
    <n v="19.13"/>
    <s v="High"/>
    <s v="Valid"/>
  </r>
  <r>
    <x v="156"/>
    <x v="7"/>
    <s v="Meta Ads"/>
    <x v="2"/>
    <s v="Fintech"/>
    <x v="5"/>
    <n v="79992"/>
    <n v="1055"/>
    <n v="1.32E-2"/>
    <n v="1.52"/>
    <n v="1603.6"/>
    <n v="21"/>
    <n v="76.36"/>
    <n v="4912.79"/>
    <n v="3309.19"/>
    <n v="2.0636006485407834"/>
    <n v="3.06"/>
    <s v="High"/>
    <s v="Valid"/>
  </r>
  <r>
    <x v="300"/>
    <x v="7"/>
    <s v="Meta Ads"/>
    <x v="3"/>
    <s v="EdTech"/>
    <x v="6"/>
    <n v="23113"/>
    <n v="228"/>
    <n v="9.9000000000000008E-3"/>
    <n v="0.6"/>
    <n v="136.80000000000001"/>
    <n v="17"/>
    <n v="8.0500000000000007"/>
    <n v="2097.34"/>
    <n v="1960.5400000000002"/>
    <n v="14.331432748538012"/>
    <n v="15.33"/>
    <s v="High"/>
    <s v="Valid"/>
  </r>
  <r>
    <x v="298"/>
    <x v="10"/>
    <s v="Meta Ads"/>
    <x v="0"/>
    <s v="EdTech"/>
    <x v="3"/>
    <n v="39754"/>
    <n v="1164"/>
    <n v="2.93E-2"/>
    <n v="1.35"/>
    <n v="1571.4"/>
    <n v="72"/>
    <n v="21.83"/>
    <n v="9221.61"/>
    <n v="7650.2100000000009"/>
    <n v="4.8684039709812907"/>
    <n v="5.87"/>
    <s v="High"/>
    <s v="Valid"/>
  </r>
  <r>
    <x v="41"/>
    <x v="4"/>
    <s v="Google Ads"/>
    <x v="2"/>
    <s v="SaaS"/>
    <x v="0"/>
    <n v="89383"/>
    <n v="5631"/>
    <n v="6.3E-2"/>
    <n v="3.67"/>
    <n v="20665.77"/>
    <n v="163"/>
    <n v="126.78"/>
    <n v="35918.239999999998"/>
    <n v="15252.469999999998"/>
    <n v="0.73805476398895353"/>
    <n v="1.74"/>
    <s v="Medium"/>
    <s v="Valid"/>
  </r>
  <r>
    <x v="177"/>
    <x v="2"/>
    <s v="TikTok Ads"/>
    <x v="0"/>
    <s v="EdTech"/>
    <x v="2"/>
    <n v="128900"/>
    <n v="10273"/>
    <n v="7.9699999999999993E-2"/>
    <n v="0.84"/>
    <n v="8629.32"/>
    <n v="238"/>
    <n v="36.26"/>
    <n v="11417.91"/>
    <n v="2788.59"/>
    <n v="0.32315292514358029"/>
    <n v="1.32"/>
    <s v="Medium"/>
    <s v="Valid"/>
  </r>
  <r>
    <x v="83"/>
    <x v="4"/>
    <s v="Google Ads"/>
    <x v="3"/>
    <s v="EdTech"/>
    <x v="4"/>
    <n v="179159"/>
    <n v="6593"/>
    <n v="3.6799999999999999E-2"/>
    <n v="2.23"/>
    <n v="14702.39"/>
    <n v="459"/>
    <n v="32.03"/>
    <n v="76527.740000000005"/>
    <n v="61825.350000000006"/>
    <n v="4.2051224324752647"/>
    <n v="5.21"/>
    <s v="High"/>
    <s v="Valid"/>
  </r>
  <r>
    <x v="230"/>
    <x v="11"/>
    <s v="TikTok Ads"/>
    <x v="3"/>
    <s v="SaaS"/>
    <x v="5"/>
    <n v="15739"/>
    <n v="1205"/>
    <n v="7.6600000000000001E-2"/>
    <n v="0.46"/>
    <n v="554.29999999999995"/>
    <n v="60"/>
    <n v="9.24"/>
    <n v="6092.69"/>
    <n v="5538.3899999999994"/>
    <n v="9.9916832040411325"/>
    <n v="10.99"/>
    <s v="High"/>
    <s v="Valid"/>
  </r>
  <r>
    <x v="351"/>
    <x v="11"/>
    <s v="Meta Ads"/>
    <x v="2"/>
    <s v="Fintech"/>
    <x v="6"/>
    <n v="25243"/>
    <n v="580"/>
    <n v="2.3E-2"/>
    <n v="1.98"/>
    <n v="1148.4000000000001"/>
    <n v="13"/>
    <n v="88.34"/>
    <n v="3883.09"/>
    <n v="2734.69"/>
    <n v="2.3813044235458025"/>
    <n v="3.38"/>
    <s v="High"/>
    <s v="Valid"/>
  </r>
  <r>
    <x v="63"/>
    <x v="1"/>
    <s v="TikTok Ads"/>
    <x v="1"/>
    <s v="Fintech"/>
    <x v="4"/>
    <n v="196745"/>
    <n v="13240"/>
    <n v="6.7299999999999999E-2"/>
    <n v="1.63"/>
    <n v="21581.200000000001"/>
    <n v="761"/>
    <n v="28.36"/>
    <n v="195233.42"/>
    <n v="173652.22"/>
    <n v="8.046458028283876"/>
    <n v="9.0500000000000007"/>
    <s v="High"/>
    <s v="Valid"/>
  </r>
  <r>
    <x v="134"/>
    <x v="6"/>
    <s v="Meta Ads"/>
    <x v="0"/>
    <s v="E-commerce"/>
    <x v="3"/>
    <n v="23186"/>
    <n v="512"/>
    <n v="2.2100000000000002E-2"/>
    <n v="2.11"/>
    <n v="1080.32"/>
    <n v="26"/>
    <n v="41.55"/>
    <n v="2663.68"/>
    <n v="1583.36"/>
    <n v="1.4656398104265402"/>
    <n v="2.4700000000000002"/>
    <s v="Medium"/>
    <s v="Valid"/>
  </r>
  <r>
    <x v="89"/>
    <x v="3"/>
    <s v="Google Ads"/>
    <x v="2"/>
    <s v="SaaS"/>
    <x v="2"/>
    <n v="189480"/>
    <n v="6290"/>
    <n v="3.32E-2"/>
    <n v="3.55"/>
    <n v="22329.5"/>
    <n v="204"/>
    <n v="109.46"/>
    <n v="44620.04"/>
    <n v="22290.54"/>
    <n v="0.99825522291139523"/>
    <n v="2"/>
    <s v="Medium"/>
    <s v="Valid"/>
  </r>
  <r>
    <x v="317"/>
    <x v="6"/>
    <s v="Meta Ads"/>
    <x v="1"/>
    <s v="Fintech"/>
    <x v="1"/>
    <n v="112518"/>
    <n v="1597"/>
    <n v="1.4200000000000001E-2"/>
    <n v="1.08"/>
    <n v="1724.76"/>
    <n v="105"/>
    <n v="16.43"/>
    <n v="25379.08"/>
    <n v="23654.320000000003"/>
    <n v="13.714557387694521"/>
    <n v="14.71"/>
    <s v="High"/>
    <s v="Valid"/>
  </r>
  <r>
    <x v="47"/>
    <x v="4"/>
    <s v="Google Ads"/>
    <x v="1"/>
    <s v="E-commerce"/>
    <x v="2"/>
    <n v="116789"/>
    <n v="6586"/>
    <n v="5.6399999999999999E-2"/>
    <n v="2.69"/>
    <n v="17716.34"/>
    <n v="220"/>
    <n v="80.53"/>
    <n v="34309.56"/>
    <n v="16593.219999999998"/>
    <n v="0.93660541624285809"/>
    <n v="1.94"/>
    <s v="Medium"/>
    <s v="Valid"/>
  </r>
  <r>
    <x v="244"/>
    <x v="5"/>
    <s v="TikTok Ads"/>
    <x v="0"/>
    <s v="SaaS"/>
    <x v="3"/>
    <n v="42575"/>
    <n v="2188"/>
    <n v="5.1400000000000001E-2"/>
    <n v="1.8"/>
    <n v="3938.4"/>
    <n v="63"/>
    <n v="62.51"/>
    <n v="13519.27"/>
    <n v="9580.8700000000008"/>
    <n v="2.4326807840747513"/>
    <n v="3.43"/>
    <s v="High"/>
    <s v="Valid"/>
  </r>
  <r>
    <x v="353"/>
    <x v="10"/>
    <s v="TikTok Ads"/>
    <x v="1"/>
    <s v="Fintech"/>
    <x v="4"/>
    <n v="51557"/>
    <n v="2882"/>
    <n v="5.5899999999999998E-2"/>
    <n v="1.25"/>
    <n v="3602.5"/>
    <n v="135"/>
    <n v="26.69"/>
    <n v="6028.08"/>
    <n v="2425.58"/>
    <n v="0.67330464954892433"/>
    <n v="1.67"/>
    <s v="Medium"/>
    <s v="Valid"/>
  </r>
  <r>
    <x v="34"/>
    <x v="0"/>
    <s v="Meta Ads"/>
    <x v="1"/>
    <s v="Healthcare"/>
    <x v="6"/>
    <n v="131681"/>
    <n v="1725"/>
    <n v="1.3100000000000001E-2"/>
    <n v="0.79"/>
    <n v="1362.75"/>
    <n v="108"/>
    <n v="12.62"/>
    <n v="31291.1"/>
    <n v="29928.35"/>
    <n v="21.96173179233168"/>
    <n v="22.96"/>
    <s v="High"/>
    <s v="Valid"/>
  </r>
  <r>
    <x v="150"/>
    <x v="8"/>
    <s v="Google Ads"/>
    <x v="0"/>
    <s v="SaaS"/>
    <x v="4"/>
    <n v="89833"/>
    <n v="4536"/>
    <n v="5.0500000000000003E-2"/>
    <n v="3.74"/>
    <n v="16964.64"/>
    <n v="166"/>
    <n v="102.2"/>
    <n v="42497.440000000002"/>
    <n v="25532.800000000003"/>
    <n v="1.5050599364324857"/>
    <n v="2.5099999999999998"/>
    <s v="Medium"/>
    <s v="Valid"/>
  </r>
  <r>
    <x v="339"/>
    <x v="9"/>
    <s v="Meta Ads"/>
    <x v="2"/>
    <s v="Fintech"/>
    <x v="2"/>
    <n v="116161"/>
    <n v="4379"/>
    <n v="3.7699999999999997E-2"/>
    <n v="1.77"/>
    <n v="7750.83"/>
    <n v="264"/>
    <n v="29.36"/>
    <n v="18090.29"/>
    <n v="10339.460000000001"/>
    <n v="1.3339810059051742"/>
    <n v="2.33"/>
    <s v="Medium"/>
    <s v="Valid"/>
  </r>
  <r>
    <x v="312"/>
    <x v="0"/>
    <s v="Google Ads"/>
    <x v="0"/>
    <s v="SaaS"/>
    <x v="6"/>
    <n v="53544"/>
    <n v="1670"/>
    <n v="3.1199999999999999E-2"/>
    <n v="1.41"/>
    <n v="2354.6999999999998"/>
    <n v="20"/>
    <n v="117.73"/>
    <n v="4659.21"/>
    <n v="2304.5100000000002"/>
    <n v="0.97868518282583783"/>
    <n v="1.98"/>
    <s v="Medium"/>
    <s v="Valid"/>
  </r>
  <r>
    <x v="94"/>
    <x v="9"/>
    <s v="Meta Ads"/>
    <x v="2"/>
    <s v="Fintech"/>
    <x v="4"/>
    <n v="107126"/>
    <n v="3631"/>
    <n v="3.39E-2"/>
    <n v="1.08"/>
    <n v="3921.48"/>
    <n v="260"/>
    <n v="15.08"/>
    <n v="19151.86"/>
    <n v="15230.380000000001"/>
    <n v="3.8838346746636478"/>
    <n v="4.88"/>
    <s v="High"/>
    <s v="Valid"/>
  </r>
  <r>
    <x v="121"/>
    <x v="3"/>
    <s v="Google Ads"/>
    <x v="2"/>
    <s v="EdTech"/>
    <x v="2"/>
    <n v="182395"/>
    <n v="8517"/>
    <n v="4.6699999999999998E-2"/>
    <n v="3.45"/>
    <n v="29383.65"/>
    <n v="517"/>
    <n v="56.83"/>
    <n v="27133.78"/>
    <n v="-2249.8700000000026"/>
    <n v="-7.6568772089240192E-2"/>
    <n v="0.92"/>
    <s v="Low"/>
    <s v="Valid"/>
  </r>
  <r>
    <x v="5"/>
    <x v="3"/>
    <s v="Meta Ads"/>
    <x v="1"/>
    <s v="SaaS"/>
    <x v="2"/>
    <n v="39253"/>
    <n v="1122"/>
    <n v="2.86E-2"/>
    <n v="1.25"/>
    <n v="1402.5"/>
    <n v="81"/>
    <n v="17.309999999999999"/>
    <n v="15452.61"/>
    <n v="14050.11"/>
    <n v="10.017903743315509"/>
    <n v="11.02"/>
    <s v="High"/>
    <s v="Valid"/>
  </r>
  <r>
    <x v="238"/>
    <x v="2"/>
    <s v="TikTok Ads"/>
    <x v="0"/>
    <s v="E-commerce"/>
    <x v="4"/>
    <n v="109794"/>
    <n v="3886"/>
    <n v="3.5400000000000001E-2"/>
    <n v="1.61"/>
    <n v="6256.46"/>
    <n v="73"/>
    <n v="85.7"/>
    <n v="9808.76"/>
    <n v="3552.3"/>
    <n v="0.56778114141223635"/>
    <n v="1.57"/>
    <s v="Medium"/>
    <s v="Valid"/>
  </r>
  <r>
    <x v="102"/>
    <x v="6"/>
    <s v="Google Ads"/>
    <x v="1"/>
    <s v="E-commerce"/>
    <x v="0"/>
    <n v="27612"/>
    <n v="963"/>
    <n v="3.49E-2"/>
    <n v="3.3"/>
    <n v="3177.9"/>
    <n v="75"/>
    <n v="42.37"/>
    <n v="12575.02"/>
    <n v="9397.1200000000008"/>
    <n v="2.9570219327228675"/>
    <n v="3.96"/>
    <s v="High"/>
    <s v="Valid"/>
  </r>
  <r>
    <x v="215"/>
    <x v="3"/>
    <s v="Meta Ads"/>
    <x v="0"/>
    <s v="E-commerce"/>
    <x v="5"/>
    <n v="61994"/>
    <n v="1847"/>
    <n v="2.98E-2"/>
    <n v="0.8"/>
    <n v="1477.6"/>
    <n v="147"/>
    <n v="10.050000000000001"/>
    <n v="5622.21"/>
    <n v="4144.6100000000006"/>
    <n v="2.8049607471575535"/>
    <n v="3.8"/>
    <s v="High"/>
    <s v="Valid"/>
  </r>
  <r>
    <x v="325"/>
    <x v="3"/>
    <s v="Google Ads"/>
    <x v="0"/>
    <s v="E-commerce"/>
    <x v="0"/>
    <n v="48953"/>
    <n v="2447"/>
    <n v="0.05"/>
    <n v="1.1100000000000001"/>
    <n v="2716.17"/>
    <n v="144"/>
    <n v="18.86"/>
    <n v="17526.62"/>
    <n v="14810.449999999999"/>
    <n v="5.4526962598070075"/>
    <n v="6.45"/>
    <s v="High"/>
    <s v="Valid"/>
  </r>
  <r>
    <x v="141"/>
    <x v="5"/>
    <s v="Google Ads"/>
    <x v="0"/>
    <s v="E-commerce"/>
    <x v="3"/>
    <n v="13484"/>
    <n v="382"/>
    <n v="2.8400000000000002E-2"/>
    <n v="1.34"/>
    <n v="511.88"/>
    <n v="23"/>
    <n v="22.26"/>
    <n v="1623.76"/>
    <n v="1111.8800000000001"/>
    <n v="2.1721497225912327"/>
    <n v="3.17"/>
    <s v="High"/>
    <s v="Valid"/>
  </r>
  <r>
    <x v="28"/>
    <x v="6"/>
    <s v="TikTok Ads"/>
    <x v="3"/>
    <s v="EdTech"/>
    <x v="1"/>
    <n v="13255"/>
    <n v="709"/>
    <n v="5.3499999999999999E-2"/>
    <n v="1.32"/>
    <n v="935.88"/>
    <n v="37"/>
    <n v="25.29"/>
    <n v="11059.11"/>
    <n v="10123.230000000001"/>
    <n v="10.816803436337993"/>
    <n v="11.82"/>
    <s v="High"/>
    <s v="Valid"/>
  </r>
  <r>
    <x v="142"/>
    <x v="6"/>
    <s v="Meta Ads"/>
    <x v="1"/>
    <s v="EdTech"/>
    <x v="6"/>
    <n v="162889"/>
    <n v="4658"/>
    <n v="2.86E-2"/>
    <n v="1.1100000000000001"/>
    <n v="5170.38"/>
    <n v="332"/>
    <n v="15.57"/>
    <n v="57094.6"/>
    <n v="51924.22"/>
    <n v="10.042631295958904"/>
    <n v="11.04"/>
    <s v="High"/>
    <s v="Valid"/>
  </r>
  <r>
    <x v="113"/>
    <x v="3"/>
    <s v="TikTok Ads"/>
    <x v="2"/>
    <s v="Healthcare"/>
    <x v="0"/>
    <n v="21972"/>
    <n v="1915"/>
    <n v="8.72E-2"/>
    <n v="1.05"/>
    <n v="2010.75"/>
    <n v="36"/>
    <n v="55.85"/>
    <n v="2412.15"/>
    <n v="401.40000000000009"/>
    <n v="0.199627004848937"/>
    <n v="1.2"/>
    <s v="Medium"/>
    <s v="Valid"/>
  </r>
  <r>
    <x v="15"/>
    <x v="4"/>
    <s v="TikTok Ads"/>
    <x v="2"/>
    <s v="SaaS"/>
    <x v="4"/>
    <n v="186136"/>
    <n v="13885"/>
    <n v="7.46E-2"/>
    <n v="0.95"/>
    <n v="13190.75"/>
    <n v="891"/>
    <n v="14.8"/>
    <n v="133397.70000000001"/>
    <n v="120206.95000000001"/>
    <n v="9.1129731061539339"/>
    <n v="10.11"/>
    <s v="High"/>
    <s v="Valid"/>
  </r>
  <r>
    <x v="206"/>
    <x v="5"/>
    <s v="Google Ads"/>
    <x v="3"/>
    <s v="Healthcare"/>
    <x v="0"/>
    <n v="135171"/>
    <n v="5231"/>
    <n v="3.8699999999999998E-2"/>
    <n v="1.78"/>
    <n v="9311.18"/>
    <n v="149"/>
    <n v="62.49"/>
    <n v="19918.919999999998"/>
    <n v="10607.739999999998"/>
    <n v="1.1392476571175725"/>
    <n v="2.14"/>
    <s v="Medium"/>
    <s v="Valid"/>
  </r>
  <r>
    <x v="104"/>
    <x v="11"/>
    <s v="Meta Ads"/>
    <x v="0"/>
    <s v="Fintech"/>
    <x v="5"/>
    <n v="176656"/>
    <n v="2897"/>
    <n v="1.6400000000000001E-2"/>
    <n v="1.87"/>
    <n v="5417.39"/>
    <n v="86"/>
    <n v="62.99"/>
    <n v="23130.95"/>
    <n v="17713.560000000001"/>
    <n v="3.2697590537140577"/>
    <n v="4.2699999999999996"/>
    <s v="High"/>
    <s v="Valid"/>
  </r>
  <r>
    <x v="314"/>
    <x v="2"/>
    <s v="Google Ads"/>
    <x v="3"/>
    <s v="Healthcare"/>
    <x v="2"/>
    <n v="51678"/>
    <n v="2966"/>
    <n v="5.74E-2"/>
    <n v="2.58"/>
    <n v="7652.28"/>
    <n v="192"/>
    <n v="39.86"/>
    <n v="21240.9"/>
    <n v="13588.620000000003"/>
    <n v="1.7757609496777436"/>
    <n v="2.78"/>
    <s v="Medium"/>
    <s v="Valid"/>
  </r>
  <r>
    <x v="193"/>
    <x v="4"/>
    <s v="Meta Ads"/>
    <x v="0"/>
    <s v="SaaS"/>
    <x v="3"/>
    <n v="26491"/>
    <n v="423"/>
    <n v="1.6E-2"/>
    <n v="0.95"/>
    <n v="401.85"/>
    <n v="28"/>
    <n v="14.35"/>
    <n v="3219.77"/>
    <n v="2817.92"/>
    <n v="7.0123677989299491"/>
    <n v="8.01"/>
    <s v="High"/>
    <s v="Valid"/>
  </r>
  <r>
    <x v="118"/>
    <x v="7"/>
    <s v="Meta Ads"/>
    <x v="2"/>
    <s v="Healthcare"/>
    <x v="1"/>
    <n v="174862"/>
    <n v="3846"/>
    <n v="2.1999999999999999E-2"/>
    <n v="0.45"/>
    <n v="1730.7"/>
    <n v="299"/>
    <n v="5.79"/>
    <n v="67036.78"/>
    <n v="65306.080000000002"/>
    <n v="37.733911134223149"/>
    <n v="38.729999999999997"/>
    <s v="High"/>
    <s v="Valid"/>
  </r>
  <r>
    <x v="215"/>
    <x v="3"/>
    <s v="Meta Ads"/>
    <x v="1"/>
    <s v="E-commerce"/>
    <x v="3"/>
    <n v="77353"/>
    <n v="1895"/>
    <n v="2.4500000000000001E-2"/>
    <n v="1.69"/>
    <n v="3202.55"/>
    <n v="73"/>
    <n v="43.87"/>
    <n v="9316.26"/>
    <n v="6113.71"/>
    <n v="1.9090131301619022"/>
    <n v="2.91"/>
    <s v="Medium"/>
    <s v="Valid"/>
  </r>
  <r>
    <x v="180"/>
    <x v="11"/>
    <s v="Meta Ads"/>
    <x v="2"/>
    <s v="EdTech"/>
    <x v="0"/>
    <n v="108726"/>
    <n v="2968"/>
    <n v="2.7300000000000001E-2"/>
    <n v="2.3199999999999998"/>
    <n v="6885.76"/>
    <n v="49"/>
    <n v="140.53"/>
    <n v="2393.62"/>
    <n v="-4492.1400000000003"/>
    <n v="-0.65238114601728792"/>
    <n v="0.35"/>
    <s v="Low"/>
    <s v="Valid"/>
  </r>
  <r>
    <x v="192"/>
    <x v="1"/>
    <s v="Google Ads"/>
    <x v="0"/>
    <s v="Fintech"/>
    <x v="1"/>
    <n v="196883"/>
    <n v="10119"/>
    <n v="5.1400000000000001E-2"/>
    <n v="1.48"/>
    <n v="14976.12"/>
    <n v="636"/>
    <n v="23.55"/>
    <n v="121588.49"/>
    <n v="106612.37000000001"/>
    <n v="7.1188245019404226"/>
    <n v="8.1199999999999992"/>
    <s v="High"/>
    <s v="Valid"/>
  </r>
  <r>
    <x v="162"/>
    <x v="9"/>
    <s v="Google Ads"/>
    <x v="0"/>
    <s v="EdTech"/>
    <x v="0"/>
    <n v="180627"/>
    <n v="8074"/>
    <n v="4.4699999999999997E-2"/>
    <n v="1.58"/>
    <n v="12756.92"/>
    <n v="266"/>
    <n v="47.96"/>
    <n v="72041.279999999999"/>
    <n v="59284.36"/>
    <n v="4.6472314633939851"/>
    <n v="5.65"/>
    <s v="High"/>
    <s v="Valid"/>
  </r>
  <r>
    <x v="209"/>
    <x v="2"/>
    <s v="Google Ads"/>
    <x v="1"/>
    <s v="SaaS"/>
    <x v="5"/>
    <n v="85196"/>
    <n v="2572"/>
    <n v="3.0200000000000001E-2"/>
    <n v="2.29"/>
    <n v="5889.88"/>
    <n v="34"/>
    <n v="173.23"/>
    <n v="8900.58"/>
    <n v="3010.7"/>
    <n v="0.511164913376843"/>
    <n v="1.51"/>
    <s v="Medium"/>
    <s v="Valid"/>
  </r>
  <r>
    <x v="271"/>
    <x v="11"/>
    <s v="Google Ads"/>
    <x v="1"/>
    <s v="E-commerce"/>
    <x v="6"/>
    <n v="74098"/>
    <n v="1911"/>
    <n v="2.58E-2"/>
    <n v="2.85"/>
    <n v="5446.35"/>
    <n v="91"/>
    <n v="59.85"/>
    <n v="9234.9599999999991"/>
    <n v="3788.6099999999988"/>
    <n v="0.69562367457104268"/>
    <n v="1.7"/>
    <s v="Medium"/>
    <s v="Valid"/>
  </r>
  <r>
    <x v="79"/>
    <x v="0"/>
    <s v="TikTok Ads"/>
    <x v="0"/>
    <s v="Healthcare"/>
    <x v="1"/>
    <n v="166711"/>
    <n v="13670"/>
    <n v="8.2000000000000003E-2"/>
    <n v="1.5"/>
    <n v="20505"/>
    <n v="592"/>
    <n v="34.64"/>
    <n v="43676.76"/>
    <n v="23171.760000000002"/>
    <n v="1.130054133138259"/>
    <n v="2.13"/>
    <s v="Medium"/>
    <s v="Valid"/>
  </r>
  <r>
    <x v="74"/>
    <x v="7"/>
    <s v="Google Ads"/>
    <x v="1"/>
    <s v="Healthcare"/>
    <x v="0"/>
    <n v="141501"/>
    <n v="6452"/>
    <n v="4.5600000000000002E-2"/>
    <n v="2.97"/>
    <n v="19162.439999999999"/>
    <n v="193"/>
    <n v="99.29"/>
    <n v="47970.13"/>
    <n v="28807.69"/>
    <n v="1.5033414325106824"/>
    <n v="2.5"/>
    <s v="Medium"/>
    <s v="Valid"/>
  </r>
  <r>
    <x v="230"/>
    <x v="11"/>
    <s v="Google Ads"/>
    <x v="1"/>
    <s v="Fintech"/>
    <x v="0"/>
    <n v="81303"/>
    <n v="4154"/>
    <n v="5.11E-2"/>
    <n v="1.95"/>
    <n v="8100.3"/>
    <n v="121"/>
    <n v="66.94"/>
    <n v="35667.19"/>
    <n v="27566.890000000003"/>
    <n v="3.4031937088749804"/>
    <n v="4.4000000000000004"/>
    <s v="High"/>
    <s v="Valid"/>
  </r>
  <r>
    <x v="175"/>
    <x v="0"/>
    <s v="TikTok Ads"/>
    <x v="2"/>
    <s v="SaaS"/>
    <x v="5"/>
    <n v="83871"/>
    <n v="6382"/>
    <n v="7.6100000000000001E-2"/>
    <n v="1.05"/>
    <n v="6701.1"/>
    <n v="196"/>
    <n v="34.19"/>
    <n v="31406.57"/>
    <n v="24705.47"/>
    <n v="3.6867782901314707"/>
    <n v="4.6900000000000004"/>
    <s v="High"/>
    <s v="Valid"/>
  </r>
  <r>
    <x v="164"/>
    <x v="6"/>
    <s v="Meta Ads"/>
    <x v="1"/>
    <s v="Healthcare"/>
    <x v="3"/>
    <n v="178013"/>
    <n v="1886"/>
    <n v="1.06E-2"/>
    <n v="1.1399999999999999"/>
    <n v="2150.04"/>
    <n v="83"/>
    <n v="25.9"/>
    <n v="22320.49"/>
    <n v="20170.45"/>
    <n v="9.3814301129281326"/>
    <n v="10.38"/>
    <s v="High"/>
    <s v="Valid"/>
  </r>
  <r>
    <x v="99"/>
    <x v="7"/>
    <s v="Meta Ads"/>
    <x v="0"/>
    <s v="EdTech"/>
    <x v="5"/>
    <n v="160341"/>
    <n v="2228"/>
    <n v="1.3899999999999999E-2"/>
    <n v="0.86"/>
    <n v="1916.08"/>
    <n v="70"/>
    <n v="27.37"/>
    <n v="6302.54"/>
    <n v="4386.46"/>
    <n v="2.2892885474510458"/>
    <n v="3.29"/>
    <s v="High"/>
    <s v="Valid"/>
  </r>
  <r>
    <x v="2"/>
    <x v="1"/>
    <s v="Google Ads"/>
    <x v="2"/>
    <s v="E-commerce"/>
    <x v="2"/>
    <n v="138135"/>
    <n v="7721"/>
    <n v="5.5899999999999998E-2"/>
    <n v="1.66"/>
    <n v="12816.86"/>
    <n v="112"/>
    <n v="114.44"/>
    <n v="4652.6000000000004"/>
    <n v="-8164.26"/>
    <n v="-0.63699377226559395"/>
    <n v="0.36"/>
    <s v="Low"/>
    <s v="Valid"/>
  </r>
  <r>
    <x v="270"/>
    <x v="3"/>
    <s v="Meta Ads"/>
    <x v="3"/>
    <s v="E-commerce"/>
    <x v="3"/>
    <n v="72500"/>
    <n v="1341"/>
    <n v="1.8499999999999999E-2"/>
    <n v="1.55"/>
    <n v="2078.5500000000002"/>
    <n v="30"/>
    <n v="69.290000000000006"/>
    <n v="5770.13"/>
    <n v="3691.58"/>
    <n v="1.776036179067138"/>
    <n v="2.78"/>
    <s v="Medium"/>
    <s v="Valid"/>
  </r>
  <r>
    <x v="105"/>
    <x v="0"/>
    <s v="TikTok Ads"/>
    <x v="3"/>
    <s v="Healthcare"/>
    <x v="5"/>
    <n v="104626"/>
    <n v="9144"/>
    <n v="8.7400000000000005E-2"/>
    <n v="1.1000000000000001"/>
    <n v="10058.4"/>
    <n v="389"/>
    <n v="25.86"/>
    <n v="83739.39"/>
    <n v="73680.990000000005"/>
    <n v="7.3253191362443335"/>
    <n v="8.33"/>
    <s v="High"/>
    <s v="Valid"/>
  </r>
  <r>
    <x v="231"/>
    <x v="6"/>
    <s v="Google Ads"/>
    <x v="2"/>
    <s v="Fintech"/>
    <x v="5"/>
    <n v="70107"/>
    <n v="4045"/>
    <n v="5.7700000000000001E-2"/>
    <n v="2.72"/>
    <n v="11002.4"/>
    <n v="203"/>
    <n v="54.2"/>
    <n v="22267.98"/>
    <n v="11265.58"/>
    <n v="1.0239202355849633"/>
    <n v="2.02"/>
    <s v="Medium"/>
    <s v="Valid"/>
  </r>
  <r>
    <x v="4"/>
    <x v="2"/>
    <s v="Meta Ads"/>
    <x v="0"/>
    <s v="EdTech"/>
    <x v="2"/>
    <n v="63952"/>
    <n v="1451"/>
    <n v="2.2700000000000001E-2"/>
    <n v="2.2400000000000002"/>
    <n v="3250.24"/>
    <n v="86"/>
    <n v="37.79"/>
    <n v="25126.44"/>
    <n v="21876.199999999997"/>
    <n v="6.7306414295559707"/>
    <n v="7.73"/>
    <s v="High"/>
    <s v="Valid"/>
  </r>
  <r>
    <x v="7"/>
    <x v="5"/>
    <s v="Meta Ads"/>
    <x v="2"/>
    <s v="E-commerce"/>
    <x v="1"/>
    <n v="43148"/>
    <n v="979"/>
    <n v="2.2700000000000001E-2"/>
    <n v="1.1100000000000001"/>
    <n v="1086.69"/>
    <n v="71"/>
    <n v="15.31"/>
    <n v="7719.69"/>
    <n v="6633"/>
    <n v="6.1038566656544182"/>
    <n v="7.1"/>
    <s v="High"/>
    <s v="Valid"/>
  </r>
  <r>
    <x v="36"/>
    <x v="11"/>
    <s v="Google Ads"/>
    <x v="2"/>
    <s v="SaaS"/>
    <x v="0"/>
    <n v="193326"/>
    <n v="12334"/>
    <n v="6.3799999999999996E-2"/>
    <n v="1.28"/>
    <n v="15787.52"/>
    <n v="715"/>
    <n v="22.08"/>
    <n v="196162.94"/>
    <n v="180375.42"/>
    <n v="11.425190276876926"/>
    <n v="12.43"/>
    <s v="High"/>
    <s v="Valid"/>
  </r>
  <r>
    <x v="1"/>
    <x v="0"/>
    <s v="Meta Ads"/>
    <x v="0"/>
    <s v="Fintech"/>
    <x v="2"/>
    <n v="80507"/>
    <n v="2318"/>
    <n v="2.8799999999999999E-2"/>
    <n v="0.71"/>
    <n v="1645.78"/>
    <n v="119"/>
    <n v="13.83"/>
    <n v="23887.119999999999"/>
    <n v="22241.34"/>
    <n v="13.514163496943699"/>
    <n v="14.51"/>
    <s v="High"/>
    <s v="Valid"/>
  </r>
  <r>
    <x v="232"/>
    <x v="0"/>
    <s v="Meta Ads"/>
    <x v="0"/>
    <s v="Fintech"/>
    <x v="4"/>
    <n v="128556"/>
    <n v="4910"/>
    <n v="3.8199999999999998E-2"/>
    <n v="0.88"/>
    <n v="4320.8"/>
    <n v="55"/>
    <n v="78.56"/>
    <n v="10684.27"/>
    <n v="6363.47"/>
    <n v="1.4727527309757453"/>
    <n v="2.4700000000000002"/>
    <s v="Medium"/>
    <s v="Valid"/>
  </r>
  <r>
    <x v="42"/>
    <x v="4"/>
    <s v="Meta Ads"/>
    <x v="0"/>
    <s v="Healthcare"/>
    <x v="1"/>
    <n v="29055"/>
    <n v="912"/>
    <n v="3.1399999999999997E-2"/>
    <n v="1.47"/>
    <n v="1340.64"/>
    <n v="41"/>
    <n v="32.700000000000003"/>
    <n v="6404.23"/>
    <n v="5063.5899999999992"/>
    <n v="3.776994569757727"/>
    <n v="4.78"/>
    <s v="High"/>
    <s v="Valid"/>
  </r>
  <r>
    <x v="187"/>
    <x v="5"/>
    <s v="Meta Ads"/>
    <x v="1"/>
    <s v="SaaS"/>
    <x v="0"/>
    <n v="172517"/>
    <n v="3191"/>
    <n v="1.8499999999999999E-2"/>
    <n v="1.81"/>
    <n v="5775.71"/>
    <n v="96"/>
    <n v="60.16"/>
    <n v="13225.69"/>
    <n v="7449.9800000000005"/>
    <n v="1.2898812440375296"/>
    <n v="2.29"/>
    <s v="Medium"/>
    <s v="Valid"/>
  </r>
  <r>
    <x v="221"/>
    <x v="0"/>
    <s v="Meta Ads"/>
    <x v="1"/>
    <s v="Fintech"/>
    <x v="4"/>
    <n v="84712"/>
    <n v="1473"/>
    <n v="1.7399999999999999E-2"/>
    <n v="2.27"/>
    <n v="3343.71"/>
    <n v="74"/>
    <n v="45.19"/>
    <n v="3310.43"/>
    <n v="-33.2800000000002"/>
    <n v="-9.9530162603814927E-3"/>
    <n v="0.99"/>
    <s v="Low"/>
    <s v="Valid"/>
  </r>
  <r>
    <x v="347"/>
    <x v="9"/>
    <s v="Google Ads"/>
    <x v="1"/>
    <s v="Fintech"/>
    <x v="5"/>
    <n v="115760"/>
    <n v="2558"/>
    <n v="2.2100000000000002E-2"/>
    <n v="3.19"/>
    <n v="8160.02"/>
    <n v="164"/>
    <n v="49.76"/>
    <n v="37092.550000000003"/>
    <n v="28932.530000000002"/>
    <n v="3.5456444959693729"/>
    <n v="4.55"/>
    <s v="High"/>
    <s v="Valid"/>
  </r>
  <r>
    <x v="196"/>
    <x v="5"/>
    <s v="Google Ads"/>
    <x v="0"/>
    <s v="Fintech"/>
    <x v="3"/>
    <n v="187831"/>
    <n v="7306"/>
    <n v="3.8899999999999997E-2"/>
    <n v="1.37"/>
    <n v="10009.219999999999"/>
    <n v="321"/>
    <n v="31.18"/>
    <n v="91963.37"/>
    <n v="81954.149999999994"/>
    <n v="8.1878657877437"/>
    <n v="9.19"/>
    <s v="High"/>
    <s v="Valid"/>
  </r>
  <r>
    <x v="221"/>
    <x v="0"/>
    <s v="Meta Ads"/>
    <x v="1"/>
    <s v="Fintech"/>
    <x v="1"/>
    <n v="72278"/>
    <n v="2421"/>
    <n v="3.3500000000000002E-2"/>
    <n v="1.29"/>
    <n v="3123.09"/>
    <n v="26"/>
    <n v="120.12"/>
    <n v="5625.44"/>
    <n v="2502.3499999999995"/>
    <n v="0.80124171893861507"/>
    <n v="1.8"/>
    <s v="Medium"/>
    <s v="Valid"/>
  </r>
  <r>
    <x v="355"/>
    <x v="3"/>
    <s v="Google Ads"/>
    <x v="0"/>
    <s v="EdTech"/>
    <x v="2"/>
    <n v="121107"/>
    <n v="3148"/>
    <n v="2.5999999999999999E-2"/>
    <n v="2.39"/>
    <n v="7523.72"/>
    <n v="243"/>
    <n v="30.96"/>
    <n v="33241.31"/>
    <n v="25717.589999999997"/>
    <n v="3.4182013684719785"/>
    <n v="4.42"/>
    <s v="High"/>
    <s v="Valid"/>
  </r>
  <r>
    <x v="182"/>
    <x v="4"/>
    <s v="Google Ads"/>
    <x v="2"/>
    <s v="Fintech"/>
    <x v="5"/>
    <n v="112930"/>
    <n v="2427"/>
    <n v="2.1499999999999998E-2"/>
    <n v="0.95"/>
    <n v="2305.65"/>
    <n v="53"/>
    <n v="43.5"/>
    <n v="10549.62"/>
    <n v="8243.9700000000012"/>
    <n v="3.5755513629562166"/>
    <n v="4.58"/>
    <s v="High"/>
    <s v="Valid"/>
  </r>
  <r>
    <x v="20"/>
    <x v="9"/>
    <s v="Google Ads"/>
    <x v="1"/>
    <s v="SaaS"/>
    <x v="4"/>
    <n v="94767"/>
    <n v="4662"/>
    <n v="4.9200000000000001E-2"/>
    <n v="2.9"/>
    <n v="13519.8"/>
    <n v="136"/>
    <n v="99.41"/>
    <n v="33757.519999999997"/>
    <n v="20237.719999999998"/>
    <n v="1.4968949244811314"/>
    <n v="2.5"/>
    <s v="Medium"/>
    <s v="Valid"/>
  </r>
  <r>
    <x v="113"/>
    <x v="3"/>
    <s v="TikTok Ads"/>
    <x v="3"/>
    <s v="E-commerce"/>
    <x v="5"/>
    <n v="189933"/>
    <n v="13295"/>
    <n v="7.0000000000000007E-2"/>
    <n v="1.03"/>
    <n v="13693.85"/>
    <n v="284"/>
    <n v="48.22"/>
    <n v="45485.98"/>
    <n v="31792.130000000005"/>
    <n v="2.3216356247512571"/>
    <n v="3.32"/>
    <s v="High"/>
    <s v="Valid"/>
  </r>
  <r>
    <x v="178"/>
    <x v="7"/>
    <s v="Meta Ads"/>
    <x v="2"/>
    <s v="Fintech"/>
    <x v="4"/>
    <n v="17281"/>
    <n v="793"/>
    <n v="4.5900000000000003E-2"/>
    <n v="1.18"/>
    <n v="935.74"/>
    <n v="46"/>
    <n v="20.34"/>
    <n v="12594.97"/>
    <n v="11659.23"/>
    <n v="12.459903391967854"/>
    <n v="13.46"/>
    <s v="High"/>
    <s v="Valid"/>
  </r>
  <r>
    <x v="334"/>
    <x v="11"/>
    <s v="Google Ads"/>
    <x v="1"/>
    <s v="Fintech"/>
    <x v="1"/>
    <n v="41388"/>
    <n v="964"/>
    <n v="2.3300000000000001E-2"/>
    <n v="3.04"/>
    <n v="2930.56"/>
    <n v="72"/>
    <n v="40.700000000000003"/>
    <n v="19679.400000000001"/>
    <n v="16748.84"/>
    <n v="5.7152353133872023"/>
    <n v="6.72"/>
    <s v="High"/>
    <s v="Valid"/>
  </r>
  <r>
    <x v="102"/>
    <x v="6"/>
    <s v="Google Ads"/>
    <x v="2"/>
    <s v="EdTech"/>
    <x v="2"/>
    <n v="52083"/>
    <n v="2781"/>
    <n v="5.3400000000000003E-2"/>
    <n v="2.64"/>
    <n v="7341.84"/>
    <n v="160"/>
    <n v="45.89"/>
    <n v="39686.47"/>
    <n v="32344.63"/>
    <n v="4.4055209593235487"/>
    <n v="5.41"/>
    <s v="High"/>
    <s v="Valid"/>
  </r>
  <r>
    <x v="347"/>
    <x v="9"/>
    <s v="Google Ads"/>
    <x v="1"/>
    <s v="E-commerce"/>
    <x v="0"/>
    <n v="110109"/>
    <n v="2378"/>
    <n v="2.1600000000000001E-2"/>
    <n v="3.19"/>
    <n v="7585.82"/>
    <n v="41"/>
    <n v="185.02"/>
    <n v="6931.99"/>
    <n v="-653.82999999999993"/>
    <n v="-8.6191077563137528E-2"/>
    <n v="0.91"/>
    <s v="Low"/>
    <s v="Valid"/>
  </r>
  <r>
    <x v="179"/>
    <x v="10"/>
    <s v="TikTok Ads"/>
    <x v="3"/>
    <s v="Fintech"/>
    <x v="4"/>
    <n v="73743"/>
    <n v="1991"/>
    <n v="2.7E-2"/>
    <n v="1.77"/>
    <n v="3524.07"/>
    <n v="155"/>
    <n v="22.74"/>
    <n v="29721.14"/>
    <n v="26197.07"/>
    <n v="7.4337541535781071"/>
    <n v="8.43"/>
    <s v="High"/>
    <s v="Valid"/>
  </r>
  <r>
    <x v="185"/>
    <x v="10"/>
    <s v="Google Ads"/>
    <x v="2"/>
    <s v="Healthcare"/>
    <x v="6"/>
    <n v="79189"/>
    <n v="4315"/>
    <n v="5.45E-2"/>
    <n v="0.92"/>
    <n v="3969.8"/>
    <n v="197"/>
    <n v="20.149999999999999"/>
    <n v="21995.7"/>
    <n v="18025.900000000001"/>
    <n v="4.54075772079198"/>
    <n v="5.54"/>
    <s v="High"/>
    <s v="Valid"/>
  </r>
  <r>
    <x v="94"/>
    <x v="9"/>
    <s v="Meta Ads"/>
    <x v="0"/>
    <s v="Fintech"/>
    <x v="2"/>
    <n v="179943"/>
    <n v="4174"/>
    <n v="2.3199999999999998E-2"/>
    <n v="2.2000000000000002"/>
    <n v="9182.7999999999993"/>
    <n v="289"/>
    <n v="31.77"/>
    <n v="32129.87"/>
    <n v="22947.07"/>
    <n v="2.4989186304830771"/>
    <n v="3.5"/>
    <s v="High"/>
    <s v="Valid"/>
  </r>
  <r>
    <x v="205"/>
    <x v="11"/>
    <s v="Google Ads"/>
    <x v="0"/>
    <s v="E-commerce"/>
    <x v="4"/>
    <n v="22414"/>
    <n v="472"/>
    <n v="2.1100000000000001E-2"/>
    <n v="2.5099999999999998"/>
    <n v="1184.72"/>
    <n v="34"/>
    <n v="34.840000000000003"/>
    <n v="7160.99"/>
    <n v="5976.2699999999995"/>
    <n v="5.0444577621716515"/>
    <n v="6.04"/>
    <s v="High"/>
    <s v="Valid"/>
  </r>
  <r>
    <x v="345"/>
    <x v="6"/>
    <s v="Meta Ads"/>
    <x v="1"/>
    <s v="SaaS"/>
    <x v="6"/>
    <n v="107299"/>
    <n v="2585"/>
    <n v="2.41E-2"/>
    <n v="1.32"/>
    <n v="3412.2"/>
    <n v="110"/>
    <n v="31.02"/>
    <n v="23820.26"/>
    <n v="20408.059999999998"/>
    <n v="5.9809096770412049"/>
    <n v="6.98"/>
    <s v="High"/>
    <s v="Valid"/>
  </r>
  <r>
    <x v="187"/>
    <x v="5"/>
    <s v="TikTok Ads"/>
    <x v="2"/>
    <s v="SaaS"/>
    <x v="6"/>
    <n v="68815"/>
    <n v="3172"/>
    <n v="4.6100000000000002E-2"/>
    <n v="0.79"/>
    <n v="2505.88"/>
    <n v="76"/>
    <n v="32.97"/>
    <n v="2602.5700000000002"/>
    <n v="96.690000000000055"/>
    <n v="3.8585247497884993E-2"/>
    <n v="1.04"/>
    <s v="Medium"/>
    <s v="Valid"/>
  </r>
  <r>
    <x v="348"/>
    <x v="3"/>
    <s v="Google Ads"/>
    <x v="3"/>
    <s v="EdTech"/>
    <x v="3"/>
    <n v="164457"/>
    <n v="8321"/>
    <n v="5.0599999999999999E-2"/>
    <n v="1.76"/>
    <n v="14644.96"/>
    <n v="610"/>
    <n v="24.01"/>
    <n v="27104.12"/>
    <n v="12459.16"/>
    <n v="0.850747287804132"/>
    <n v="1.85"/>
    <s v="Medium"/>
    <s v="Valid"/>
  </r>
  <r>
    <x v="333"/>
    <x v="6"/>
    <s v="Google Ads"/>
    <x v="3"/>
    <s v="E-commerce"/>
    <x v="5"/>
    <n v="105477"/>
    <n v="6391"/>
    <n v="6.0600000000000001E-2"/>
    <n v="1.84"/>
    <n v="11759.44"/>
    <n v="116"/>
    <n v="101.37"/>
    <n v="17001.07"/>
    <n v="5241.6299999999992"/>
    <n v="0.44573806235671076"/>
    <n v="1.45"/>
    <s v="Medium"/>
    <s v="Valid"/>
  </r>
  <r>
    <x v="269"/>
    <x v="9"/>
    <s v="Google Ads"/>
    <x v="1"/>
    <s v="Fintech"/>
    <x v="1"/>
    <n v="160816"/>
    <n v="9745"/>
    <n v="6.0600000000000001E-2"/>
    <n v="1.22"/>
    <n v="11888.9"/>
    <n v="553"/>
    <n v="21.5"/>
    <n v="62922.41"/>
    <n v="51033.51"/>
    <n v="4.2925342125848482"/>
    <n v="5.29"/>
    <s v="High"/>
    <s v="Valid"/>
  </r>
  <r>
    <x v="212"/>
    <x v="7"/>
    <s v="Google Ads"/>
    <x v="3"/>
    <s v="Healthcare"/>
    <x v="1"/>
    <n v="23904"/>
    <n v="609"/>
    <n v="2.5499999999999998E-2"/>
    <n v="1.66"/>
    <n v="1010.94"/>
    <n v="35"/>
    <n v="28.88"/>
    <n v="7211.31"/>
    <n v="6200.3700000000008"/>
    <n v="6.1332720042732509"/>
    <n v="7.13"/>
    <s v="High"/>
    <s v="Valid"/>
  </r>
  <r>
    <x v="19"/>
    <x v="9"/>
    <s v="Meta Ads"/>
    <x v="3"/>
    <s v="SaaS"/>
    <x v="2"/>
    <n v="60448"/>
    <n v="1493"/>
    <n v="2.47E-2"/>
    <n v="2.29"/>
    <n v="3418.97"/>
    <n v="89"/>
    <n v="38.42"/>
    <n v="24577.78"/>
    <n v="21158.809999999998"/>
    <n v="6.1886503830100876"/>
    <n v="7.19"/>
    <s v="High"/>
    <s v="Valid"/>
  </r>
  <r>
    <x v="70"/>
    <x v="4"/>
    <s v="TikTok Ads"/>
    <x v="1"/>
    <s v="Fintech"/>
    <x v="0"/>
    <n v="138332"/>
    <n v="9558"/>
    <n v="6.9099999999999995E-2"/>
    <n v="0.35"/>
    <n v="3345.3"/>
    <n v="195"/>
    <n v="17.16"/>
    <n v="26087.06"/>
    <n v="22741.760000000002"/>
    <n v="6.7981227393656773"/>
    <n v="7.8"/>
    <s v="High"/>
    <s v="Valid"/>
  </r>
  <r>
    <x v="287"/>
    <x v="11"/>
    <s v="Google Ads"/>
    <x v="1"/>
    <s v="SaaS"/>
    <x v="5"/>
    <n v="112399"/>
    <n v="3585"/>
    <n v="3.1899999999999998E-2"/>
    <n v="3.11"/>
    <n v="11149.35"/>
    <n v="91"/>
    <n v="122.52"/>
    <n v="20140.14"/>
    <n v="8990.7899999999991"/>
    <n v="0.80639588854955657"/>
    <n v="1.81"/>
    <s v="Medium"/>
    <s v="Valid"/>
  </r>
  <r>
    <x v="313"/>
    <x v="2"/>
    <s v="Google Ads"/>
    <x v="1"/>
    <s v="E-commerce"/>
    <x v="3"/>
    <n v="180069"/>
    <n v="5780"/>
    <n v="3.2099999999999997E-2"/>
    <n v="1.47"/>
    <n v="8496.6"/>
    <n v="272"/>
    <n v="31.24"/>
    <n v="74348.97"/>
    <n v="65852.37"/>
    <n v="7.7504378221876982"/>
    <n v="8.75"/>
    <s v="High"/>
    <s v="Valid"/>
  </r>
  <r>
    <x v="73"/>
    <x v="7"/>
    <s v="Meta Ads"/>
    <x v="2"/>
    <s v="Fintech"/>
    <x v="2"/>
    <n v="155354"/>
    <n v="3371"/>
    <n v="2.1700000000000001E-2"/>
    <n v="1.27"/>
    <n v="4281.17"/>
    <n v="100"/>
    <n v="42.81"/>
    <n v="7916.95"/>
    <n v="3635.7799999999997"/>
    <n v="0.84924915385280186"/>
    <n v="1.85"/>
    <s v="Medium"/>
    <s v="Valid"/>
  </r>
  <r>
    <x v="284"/>
    <x v="8"/>
    <s v="Meta Ads"/>
    <x v="2"/>
    <s v="Fintech"/>
    <x v="0"/>
    <n v="163564"/>
    <n v="1946"/>
    <n v="1.1900000000000001E-2"/>
    <n v="0.66"/>
    <n v="1284.3599999999999"/>
    <n v="72"/>
    <n v="17.84"/>
    <n v="6787.22"/>
    <n v="5502.8600000000006"/>
    <n v="4.2845152449469008"/>
    <n v="5.28"/>
    <s v="High"/>
    <s v="Valid"/>
  </r>
  <r>
    <x v="56"/>
    <x v="0"/>
    <s v="TikTok Ads"/>
    <x v="3"/>
    <s v="Fintech"/>
    <x v="1"/>
    <n v="146587"/>
    <n v="5995"/>
    <n v="4.0899999999999999E-2"/>
    <n v="1.52"/>
    <n v="9112.4"/>
    <n v="161"/>
    <n v="56.6"/>
    <n v="27684.26"/>
    <n v="18571.86"/>
    <n v="2.0380865633642071"/>
    <n v="3.04"/>
    <s v="High"/>
    <s v="Valid"/>
  </r>
  <r>
    <x v="197"/>
    <x v="11"/>
    <s v="Google Ads"/>
    <x v="3"/>
    <s v="Healthcare"/>
    <x v="2"/>
    <n v="79843"/>
    <n v="2427"/>
    <n v="3.04E-2"/>
    <n v="1.43"/>
    <n v="3470.61"/>
    <n v="127"/>
    <n v="27.33"/>
    <n v="27833.99"/>
    <n v="24363.38"/>
    <n v="7.0199129259697859"/>
    <n v="8.02"/>
    <s v="High"/>
    <s v="Valid"/>
  </r>
  <r>
    <x v="279"/>
    <x v="3"/>
    <s v="Meta Ads"/>
    <x v="1"/>
    <s v="SaaS"/>
    <x v="4"/>
    <n v="128245"/>
    <n v="2949"/>
    <n v="2.3E-2"/>
    <n v="1.59"/>
    <n v="4688.91"/>
    <n v="85"/>
    <n v="55.16"/>
    <n v="8616.7199999999993"/>
    <n v="3927.8099999999995"/>
    <n v="0.83768082560765711"/>
    <n v="1.84"/>
    <s v="Medium"/>
    <s v="Valid"/>
  </r>
  <r>
    <x v="273"/>
    <x v="7"/>
    <s v="Google Ads"/>
    <x v="2"/>
    <s v="Fintech"/>
    <x v="6"/>
    <n v="161252"/>
    <n v="8046"/>
    <n v="4.99E-2"/>
    <n v="3.05"/>
    <n v="24540.3"/>
    <n v="550"/>
    <n v="44.62"/>
    <n v="130994.6"/>
    <n v="106454.3"/>
    <n v="4.3379380040178814"/>
    <n v="5.34"/>
    <s v="High"/>
    <s v="Valid"/>
  </r>
  <r>
    <x v="301"/>
    <x v="0"/>
    <s v="TikTok Ads"/>
    <x v="2"/>
    <s v="SaaS"/>
    <x v="3"/>
    <n v="107262"/>
    <n v="5127"/>
    <n v="4.7800000000000002E-2"/>
    <n v="1.24"/>
    <n v="6357.48"/>
    <n v="343"/>
    <n v="18.53"/>
    <n v="93405.13"/>
    <n v="87047.650000000009"/>
    <n v="13.692162617892626"/>
    <n v="14.69"/>
    <s v="High"/>
    <s v="Valid"/>
  </r>
  <r>
    <x v="32"/>
    <x v="8"/>
    <s v="Meta Ads"/>
    <x v="1"/>
    <s v="SaaS"/>
    <x v="3"/>
    <n v="22139"/>
    <n v="458"/>
    <n v="2.07E-2"/>
    <n v="0.43"/>
    <n v="196.94"/>
    <n v="8"/>
    <n v="24.62"/>
    <n v="2367.39"/>
    <n v="2170.4499999999998"/>
    <n v="11.020869300294505"/>
    <n v="12.02"/>
    <s v="High"/>
    <s v="Valid"/>
  </r>
  <r>
    <x v="8"/>
    <x v="5"/>
    <s v="Meta Ads"/>
    <x v="2"/>
    <s v="SaaS"/>
    <x v="5"/>
    <n v="30618"/>
    <n v="719"/>
    <n v="2.35E-2"/>
    <n v="1.27"/>
    <n v="913.13"/>
    <n v="40"/>
    <n v="22.83"/>
    <n v="6289.61"/>
    <n v="5376.48"/>
    <n v="5.8879677592456714"/>
    <n v="6.89"/>
    <s v="High"/>
    <s v="Valid"/>
  </r>
  <r>
    <x v="275"/>
    <x v="9"/>
    <s v="Google Ads"/>
    <x v="0"/>
    <s v="Healthcare"/>
    <x v="4"/>
    <n v="78606"/>
    <n v="3914"/>
    <n v="4.9799999999999997E-2"/>
    <n v="1.23"/>
    <n v="4814.22"/>
    <n v="88"/>
    <n v="54.71"/>
    <n v="6101.96"/>
    <n v="1287.7399999999998"/>
    <n v="0.26748673720768884"/>
    <n v="1.27"/>
    <s v="Medium"/>
    <s v="Valid"/>
  </r>
  <r>
    <x v="4"/>
    <x v="2"/>
    <s v="Google Ads"/>
    <x v="3"/>
    <s v="SaaS"/>
    <x v="3"/>
    <n v="31885"/>
    <n v="1613"/>
    <n v="5.0599999999999999E-2"/>
    <n v="1.01"/>
    <n v="1629.13"/>
    <n v="67"/>
    <n v="24.32"/>
    <n v="19023.45"/>
    <n v="17394.32"/>
    <n v="10.677060762492863"/>
    <n v="11.68"/>
    <s v="High"/>
    <s v="Valid"/>
  </r>
  <r>
    <x v="83"/>
    <x v="4"/>
    <s v="TikTok Ads"/>
    <x v="2"/>
    <s v="EdTech"/>
    <x v="4"/>
    <n v="11713"/>
    <n v="334"/>
    <n v="2.86E-2"/>
    <n v="1.46"/>
    <n v="487.64"/>
    <n v="13"/>
    <n v="37.51"/>
    <n v="2344.33"/>
    <n v="1856.69"/>
    <n v="3.8075014354851944"/>
    <n v="4.8099999999999996"/>
    <s v="High"/>
    <s v="Valid"/>
  </r>
  <r>
    <x v="76"/>
    <x v="5"/>
    <s v="Meta Ads"/>
    <x v="2"/>
    <s v="E-commerce"/>
    <x v="1"/>
    <n v="26637"/>
    <n v="479"/>
    <n v="1.7999999999999999E-2"/>
    <n v="0.83"/>
    <n v="397.57"/>
    <n v="35"/>
    <n v="11.36"/>
    <n v="1488.52"/>
    <n v="1090.95"/>
    <n v="2.7440450738234778"/>
    <n v="3.74"/>
    <s v="High"/>
    <s v="Valid"/>
  </r>
  <r>
    <x v="354"/>
    <x v="10"/>
    <s v="Google Ads"/>
    <x v="3"/>
    <s v="EdTech"/>
    <x v="5"/>
    <n v="44387"/>
    <n v="1886"/>
    <n v="4.2500000000000003E-2"/>
    <n v="2.81"/>
    <n v="5299.66"/>
    <n v="112"/>
    <n v="47.32"/>
    <n v="16115.2"/>
    <n v="10815.54"/>
    <n v="2.0407988436994073"/>
    <n v="3.04"/>
    <s v="High"/>
    <s v="Valid"/>
  </r>
  <r>
    <x v="240"/>
    <x v="0"/>
    <s v="Meta Ads"/>
    <x v="0"/>
    <s v="E-commerce"/>
    <x v="1"/>
    <n v="91392"/>
    <n v="2705"/>
    <n v="2.9600000000000001E-2"/>
    <n v="2.04"/>
    <n v="5518.2"/>
    <n v="87"/>
    <n v="63.43"/>
    <n v="12147.08"/>
    <n v="6628.88"/>
    <n v="1.2012757783335146"/>
    <n v="2.2000000000000002"/>
    <s v="Medium"/>
    <s v="Valid"/>
  </r>
  <r>
    <x v="228"/>
    <x v="7"/>
    <s v="TikTok Ads"/>
    <x v="0"/>
    <s v="EdTech"/>
    <x v="1"/>
    <n v="31727"/>
    <n v="2233"/>
    <n v="7.0400000000000004E-2"/>
    <n v="0.46"/>
    <n v="1027.18"/>
    <n v="74"/>
    <n v="13.88"/>
    <n v="9946.57"/>
    <n v="8919.39"/>
    <n v="8.6833758445452585"/>
    <n v="9.68"/>
    <s v="High"/>
    <s v="Valid"/>
  </r>
  <r>
    <x v="75"/>
    <x v="4"/>
    <s v="Meta Ads"/>
    <x v="2"/>
    <s v="SaaS"/>
    <x v="3"/>
    <n v="154676"/>
    <n v="1624"/>
    <n v="1.0500000000000001E-2"/>
    <n v="1.69"/>
    <n v="2744.56"/>
    <n v="26"/>
    <n v="105.56"/>
    <n v="1813.36"/>
    <n v="-931.2"/>
    <n v="-0.33928935785699715"/>
    <n v="0.66"/>
    <s v="Low"/>
    <s v="Valid"/>
  </r>
  <r>
    <x v="6"/>
    <x v="4"/>
    <s v="Meta Ads"/>
    <x v="2"/>
    <s v="E-commerce"/>
    <x v="1"/>
    <n v="122710"/>
    <n v="5129"/>
    <n v="4.1799999999999997E-2"/>
    <n v="1.02"/>
    <n v="5231.58"/>
    <n v="157"/>
    <n v="33.32"/>
    <n v="24344.87"/>
    <n v="19113.29"/>
    <n v="3.653445039548282"/>
    <n v="4.6500000000000004"/>
    <s v="High"/>
    <s v="Valid"/>
  </r>
  <r>
    <x v="129"/>
    <x v="9"/>
    <s v="TikTok Ads"/>
    <x v="0"/>
    <s v="EdTech"/>
    <x v="4"/>
    <n v="194117"/>
    <n v="16422"/>
    <n v="8.4599999999999995E-2"/>
    <n v="1.33"/>
    <n v="21841.26"/>
    <n v="1133"/>
    <n v="19.28"/>
    <n v="121361.12"/>
    <n v="99519.86"/>
    <n v="4.55650727110066"/>
    <n v="5.56"/>
    <s v="High"/>
    <s v="Valid"/>
  </r>
  <r>
    <x v="304"/>
    <x v="2"/>
    <s v="TikTok Ads"/>
    <x v="2"/>
    <s v="Healthcare"/>
    <x v="6"/>
    <n v="23043"/>
    <n v="1534"/>
    <n v="6.6600000000000006E-2"/>
    <n v="1.36"/>
    <n v="2086.2399999999998"/>
    <n v="119"/>
    <n v="17.53"/>
    <n v="6284.67"/>
    <n v="4198.43"/>
    <n v="2.012438645601657"/>
    <n v="3.01"/>
    <s v="High"/>
    <s v="Valid"/>
  </r>
  <r>
    <x v="277"/>
    <x v="2"/>
    <s v="Google Ads"/>
    <x v="0"/>
    <s v="Fintech"/>
    <x v="2"/>
    <n v="21198"/>
    <n v="703"/>
    <n v="3.32E-2"/>
    <n v="1.96"/>
    <n v="1377.88"/>
    <n v="28"/>
    <n v="49.21"/>
    <n v="6226.83"/>
    <n v="4848.95"/>
    <n v="3.519138096205765"/>
    <n v="4.5199999999999996"/>
    <s v="High"/>
    <s v="Valid"/>
  </r>
  <r>
    <x v="234"/>
    <x v="1"/>
    <s v="Meta Ads"/>
    <x v="3"/>
    <s v="Healthcare"/>
    <x v="5"/>
    <n v="132208"/>
    <n v="3133"/>
    <n v="2.3699999999999999E-2"/>
    <n v="1.57"/>
    <n v="4918.8100000000004"/>
    <n v="183"/>
    <n v="26.88"/>
    <n v="53669.78"/>
    <n v="48750.97"/>
    <n v="9.9111309442731059"/>
    <n v="10.91"/>
    <s v="High"/>
    <s v="Valid"/>
  </r>
  <r>
    <x v="313"/>
    <x v="2"/>
    <s v="Meta Ads"/>
    <x v="2"/>
    <s v="Fintech"/>
    <x v="5"/>
    <n v="19040"/>
    <n v="784"/>
    <n v="4.1200000000000001E-2"/>
    <n v="1.93"/>
    <n v="1513.12"/>
    <n v="39"/>
    <n v="38.799999999999997"/>
    <n v="5591.9"/>
    <n v="4078.7799999999997"/>
    <n v="2.695609072644602"/>
    <n v="3.7"/>
    <s v="High"/>
    <s v="Valid"/>
  </r>
  <r>
    <x v="308"/>
    <x v="11"/>
    <s v="Google Ads"/>
    <x v="3"/>
    <s v="Healthcare"/>
    <x v="5"/>
    <n v="157270"/>
    <n v="5535"/>
    <n v="3.5200000000000002E-2"/>
    <n v="1"/>
    <n v="5535"/>
    <n v="356"/>
    <n v="15.55"/>
    <n v="86412.59"/>
    <n v="80877.59"/>
    <n v="14.612030713640468"/>
    <n v="15.61"/>
    <s v="High"/>
    <s v="Valid"/>
  </r>
  <r>
    <x v="79"/>
    <x v="0"/>
    <s v="Google Ads"/>
    <x v="1"/>
    <s v="E-commerce"/>
    <x v="1"/>
    <n v="33433"/>
    <n v="1698"/>
    <n v="5.0799999999999998E-2"/>
    <n v="2.93"/>
    <n v="4975.1400000000003"/>
    <n v="60"/>
    <n v="82.92"/>
    <n v="4216.8100000000004"/>
    <n v="-758.32999999999993"/>
    <n v="-0.15242385138910661"/>
    <n v="0.85"/>
    <s v="Low"/>
    <s v="Valid"/>
  </r>
  <r>
    <x v="104"/>
    <x v="11"/>
    <s v="Meta Ads"/>
    <x v="1"/>
    <s v="Fintech"/>
    <x v="3"/>
    <n v="94786"/>
    <n v="2682"/>
    <n v="2.8299999999999999E-2"/>
    <n v="1.5"/>
    <n v="4023"/>
    <n v="155"/>
    <n v="25.95"/>
    <n v="6510.51"/>
    <n v="2487.5100000000002"/>
    <n v="0.61832214765100679"/>
    <n v="1.62"/>
    <s v="Medium"/>
    <s v="Valid"/>
  </r>
  <r>
    <x v="278"/>
    <x v="5"/>
    <s v="Meta Ads"/>
    <x v="3"/>
    <s v="E-commerce"/>
    <x v="6"/>
    <n v="144895"/>
    <n v="2158"/>
    <n v="1.49E-2"/>
    <n v="1.92"/>
    <n v="4143.3599999999997"/>
    <n v="151"/>
    <n v="27.44"/>
    <n v="25541.81"/>
    <n v="21398.45"/>
    <n v="5.1645162380290399"/>
    <n v="6.16"/>
    <s v="High"/>
    <s v="Valid"/>
  </r>
  <r>
    <x v="315"/>
    <x v="9"/>
    <s v="Meta Ads"/>
    <x v="3"/>
    <s v="Fintech"/>
    <x v="3"/>
    <n v="57996"/>
    <n v="1705"/>
    <n v="2.9399999999999999E-2"/>
    <n v="2.04"/>
    <n v="3478.2"/>
    <n v="127"/>
    <n v="27.39"/>
    <n v="26935.06"/>
    <n v="23456.86"/>
    <n v="6.7439652693922145"/>
    <n v="7.74"/>
    <s v="High"/>
    <s v="Valid"/>
  </r>
  <r>
    <x v="212"/>
    <x v="7"/>
    <s v="Google Ads"/>
    <x v="2"/>
    <s v="Healthcare"/>
    <x v="4"/>
    <n v="154631"/>
    <n v="4793"/>
    <n v="3.1E-2"/>
    <n v="3.14"/>
    <n v="15050.02"/>
    <n v="155"/>
    <n v="97.1"/>
    <n v="15403.3"/>
    <n v="353.27999999999884"/>
    <n v="2.3473722958507619E-2"/>
    <n v="1.02"/>
    <s v="Medium"/>
    <s v="Valid"/>
  </r>
  <r>
    <x v="66"/>
    <x v="2"/>
    <s v="Meta Ads"/>
    <x v="1"/>
    <s v="SaaS"/>
    <x v="3"/>
    <n v="56209"/>
    <n v="1405"/>
    <n v="2.5000000000000001E-2"/>
    <n v="2.39"/>
    <n v="3357.95"/>
    <n v="94"/>
    <n v="35.72"/>
    <n v="20195.05"/>
    <n v="16837.099999999999"/>
    <n v="5.0141008651111543"/>
    <n v="6.01"/>
    <s v="High"/>
    <s v="Valid"/>
  </r>
  <r>
    <x v="208"/>
    <x v="10"/>
    <s v="TikTok Ads"/>
    <x v="1"/>
    <s v="SaaS"/>
    <x v="4"/>
    <n v="187411"/>
    <n v="15667"/>
    <n v="8.3599999999999994E-2"/>
    <n v="0.43"/>
    <n v="6736.81"/>
    <n v="996"/>
    <n v="6.76"/>
    <n v="51799.95"/>
    <n v="45063.14"/>
    <n v="6.6890917214527343"/>
    <n v="7.69"/>
    <s v="High"/>
    <s v="Valid"/>
  </r>
  <r>
    <x v="99"/>
    <x v="7"/>
    <s v="Google Ads"/>
    <x v="1"/>
    <s v="Fintech"/>
    <x v="5"/>
    <n v="46583"/>
    <n v="2319"/>
    <n v="4.9799999999999997E-2"/>
    <n v="2.76"/>
    <n v="6400.44"/>
    <n v="50"/>
    <n v="128.01"/>
    <n v="11413.39"/>
    <n v="5012.95"/>
    <n v="0.78321959115310824"/>
    <n v="1.78"/>
    <s v="Medium"/>
    <s v="Valid"/>
  </r>
  <r>
    <x v="161"/>
    <x v="11"/>
    <s v="Meta Ads"/>
    <x v="3"/>
    <s v="E-commerce"/>
    <x v="4"/>
    <n v="17438"/>
    <n v="371"/>
    <n v="2.1299999999999999E-2"/>
    <n v="1.63"/>
    <n v="604.73"/>
    <n v="19"/>
    <n v="31.83"/>
    <n v="902.7"/>
    <n v="297.97000000000003"/>
    <n v="0.49273229375093019"/>
    <n v="1.49"/>
    <s v="Medium"/>
    <s v="Valid"/>
  </r>
  <r>
    <x v="334"/>
    <x v="11"/>
    <s v="Google Ads"/>
    <x v="1"/>
    <s v="SaaS"/>
    <x v="0"/>
    <n v="122784"/>
    <n v="6237"/>
    <n v="5.0799999999999998E-2"/>
    <n v="2.69"/>
    <n v="16777.53"/>
    <n v="134"/>
    <n v="125.21"/>
    <n v="15407.61"/>
    <n v="-1369.9199999999983"/>
    <n v="-8.1652066782178206E-2"/>
    <n v="0.92"/>
    <s v="Low"/>
    <s v="Valid"/>
  </r>
  <r>
    <x v="342"/>
    <x v="7"/>
    <s v="Meta Ads"/>
    <x v="2"/>
    <s v="EdTech"/>
    <x v="3"/>
    <n v="151730"/>
    <n v="2063"/>
    <n v="1.3599999999999999E-2"/>
    <n v="0.74"/>
    <n v="1526.62"/>
    <n v="32"/>
    <n v="47.71"/>
    <n v="6146.93"/>
    <n v="4620.3100000000004"/>
    <n v="3.0264964431227162"/>
    <n v="4.03"/>
    <s v="High"/>
    <s v="Valid"/>
  </r>
  <r>
    <x v="15"/>
    <x v="4"/>
    <s v="Google Ads"/>
    <x v="0"/>
    <s v="Fintech"/>
    <x v="5"/>
    <n v="83498"/>
    <n v="3531"/>
    <n v="4.2299999999999997E-2"/>
    <n v="1.03"/>
    <n v="3636.93"/>
    <n v="234"/>
    <n v="15.54"/>
    <n v="36561.1"/>
    <n v="32924.17"/>
    <n v="9.0527367862455428"/>
    <n v="10.050000000000001"/>
    <s v="High"/>
    <s v="Valid"/>
  </r>
  <r>
    <x v="355"/>
    <x v="3"/>
    <s v="TikTok Ads"/>
    <x v="2"/>
    <s v="Fintech"/>
    <x v="1"/>
    <n v="194060"/>
    <n v="11721"/>
    <n v="6.0400000000000002E-2"/>
    <n v="1.73"/>
    <n v="20277.330000000002"/>
    <n v="504"/>
    <n v="40.229999999999997"/>
    <n v="76238.77"/>
    <n v="55961.440000000002"/>
    <n v="2.759803189078641"/>
    <n v="3.76"/>
    <s v="High"/>
    <s v="Valid"/>
  </r>
  <r>
    <x v="180"/>
    <x v="11"/>
    <s v="Google Ads"/>
    <x v="2"/>
    <s v="E-commerce"/>
    <x v="3"/>
    <n v="30118"/>
    <n v="951"/>
    <n v="3.1600000000000003E-2"/>
    <n v="3.28"/>
    <n v="3119.28"/>
    <n v="30"/>
    <n v="103.98"/>
    <n v="2408.7600000000002"/>
    <n v="-710.52"/>
    <n v="-0.22778333461568051"/>
    <n v="0.77"/>
    <s v="Low"/>
    <s v="Valid"/>
  </r>
  <r>
    <x v="159"/>
    <x v="11"/>
    <s v="Meta Ads"/>
    <x v="0"/>
    <s v="Healthcare"/>
    <x v="2"/>
    <n v="88904"/>
    <n v="1724"/>
    <n v="1.9400000000000001E-2"/>
    <n v="1"/>
    <n v="1724"/>
    <n v="59"/>
    <n v="29.22"/>
    <n v="8894.16"/>
    <n v="7170.16"/>
    <n v="4.1590255220417633"/>
    <n v="5.16"/>
    <s v="High"/>
    <s v="Valid"/>
  </r>
  <r>
    <x v="327"/>
    <x v="9"/>
    <s v="Google Ads"/>
    <x v="3"/>
    <s v="Healthcare"/>
    <x v="6"/>
    <n v="119911"/>
    <n v="4592"/>
    <n v="3.8300000000000001E-2"/>
    <n v="2.83"/>
    <n v="12995.36"/>
    <n v="163"/>
    <n v="79.73"/>
    <n v="24856.01"/>
    <n v="11860.649999999998"/>
    <n v="0.91268345009295604"/>
    <n v="1.91"/>
    <s v="Medium"/>
    <s v="Valid"/>
  </r>
  <r>
    <x v="115"/>
    <x v="8"/>
    <s v="Meta Ads"/>
    <x v="0"/>
    <s v="EdTech"/>
    <x v="1"/>
    <n v="184702"/>
    <n v="5134"/>
    <n v="2.7799999999999998E-2"/>
    <n v="2.0099999999999998"/>
    <n v="10319.34"/>
    <n v="70"/>
    <n v="147.41999999999999"/>
    <n v="16883.490000000002"/>
    <n v="6564.1500000000015"/>
    <n v="0.63610172743605709"/>
    <n v="1.64"/>
    <s v="Medium"/>
    <s v="Valid"/>
  </r>
  <r>
    <x v="88"/>
    <x v="5"/>
    <s v="Meta Ads"/>
    <x v="1"/>
    <s v="Fintech"/>
    <x v="2"/>
    <n v="5209"/>
    <n v="198"/>
    <n v="3.8100000000000002E-2"/>
    <n v="0.7"/>
    <n v="138.6"/>
    <n v="3"/>
    <n v="46.2"/>
    <n v="490.6"/>
    <n v="352"/>
    <n v="2.53968253968254"/>
    <n v="3.54"/>
    <s v="High"/>
    <s v="Valid"/>
  </r>
  <r>
    <x v="237"/>
    <x v="1"/>
    <s v="Meta Ads"/>
    <x v="3"/>
    <s v="E-commerce"/>
    <x v="5"/>
    <n v="88717"/>
    <n v="816"/>
    <n v="9.1999999999999998E-3"/>
    <n v="1.87"/>
    <n v="1525.92"/>
    <n v="46"/>
    <n v="33.17"/>
    <n v="4879.0200000000004"/>
    <n v="3353.1000000000004"/>
    <n v="2.1974284366152879"/>
    <n v="3.2"/>
    <s v="High"/>
    <s v="Valid"/>
  </r>
  <r>
    <x v="157"/>
    <x v="4"/>
    <s v="Google Ads"/>
    <x v="2"/>
    <s v="E-commerce"/>
    <x v="5"/>
    <n v="146788"/>
    <n v="6003"/>
    <n v="4.0899999999999999E-2"/>
    <n v="2.42"/>
    <n v="14527.26"/>
    <n v="476"/>
    <n v="30.52"/>
    <n v="104420.05"/>
    <n v="89892.790000000008"/>
    <n v="6.1878695638406693"/>
    <n v="7.19"/>
    <s v="High"/>
    <s v="Valid"/>
  </r>
  <r>
    <x v="303"/>
    <x v="0"/>
    <s v="Google Ads"/>
    <x v="1"/>
    <s v="SaaS"/>
    <x v="6"/>
    <n v="89052"/>
    <n v="2591"/>
    <n v="2.9100000000000001E-2"/>
    <n v="3.66"/>
    <n v="9483.06"/>
    <n v="190"/>
    <n v="49.91"/>
    <n v="12653.72"/>
    <n v="3170.66"/>
    <n v="0.33434988284372347"/>
    <n v="1.33"/>
    <s v="Medium"/>
    <s v="Valid"/>
  </r>
  <r>
    <x v="121"/>
    <x v="3"/>
    <s v="Google Ads"/>
    <x v="2"/>
    <s v="E-commerce"/>
    <x v="3"/>
    <n v="46971"/>
    <n v="2437"/>
    <n v="5.1900000000000002E-2"/>
    <n v="2.04"/>
    <n v="4971.4799999999996"/>
    <n v="141"/>
    <n v="35.26"/>
    <n v="14817.7"/>
    <n v="9846.2200000000012"/>
    <n v="1.9805410058976405"/>
    <n v="2.98"/>
    <s v="Medium"/>
    <s v="Valid"/>
  </r>
  <r>
    <x v="273"/>
    <x v="7"/>
    <s v="Meta Ads"/>
    <x v="2"/>
    <s v="E-commerce"/>
    <x v="1"/>
    <n v="185419"/>
    <n v="7750"/>
    <n v="4.1799999999999997E-2"/>
    <n v="1.38"/>
    <n v="10695"/>
    <n v="400"/>
    <n v="26.74"/>
    <n v="13470.33"/>
    <n v="2775.33"/>
    <n v="0.2594978962131837"/>
    <n v="1.26"/>
    <s v="Medium"/>
    <s v="Valid"/>
  </r>
  <r>
    <x v="222"/>
    <x v="1"/>
    <s v="Google Ads"/>
    <x v="3"/>
    <s v="EdTech"/>
    <x v="0"/>
    <n v="36391"/>
    <n v="1684"/>
    <n v="4.6300000000000001E-2"/>
    <n v="3.59"/>
    <n v="6045.56"/>
    <n v="18"/>
    <n v="335.86"/>
    <n v="4868.51"/>
    <n v="-1177.0500000000002"/>
    <n v="-0.19469660378856551"/>
    <n v="0.81"/>
    <s v="Low"/>
    <s v="Valid"/>
  </r>
  <r>
    <x v="187"/>
    <x v="5"/>
    <s v="Google Ads"/>
    <x v="3"/>
    <s v="EdTech"/>
    <x v="5"/>
    <n v="169575"/>
    <n v="3730"/>
    <n v="2.1999999999999999E-2"/>
    <n v="2.71"/>
    <n v="10108.299999999999"/>
    <n v="284"/>
    <n v="35.590000000000003"/>
    <n v="8952.89"/>
    <n v="-1155.4099999999999"/>
    <n v="-0.11430309745456703"/>
    <n v="0.89"/>
    <s v="Low"/>
    <s v="Valid"/>
  </r>
  <r>
    <x v="155"/>
    <x v="10"/>
    <s v="Google Ads"/>
    <x v="1"/>
    <s v="E-commerce"/>
    <x v="1"/>
    <n v="146656"/>
    <n v="5719"/>
    <n v="3.9E-2"/>
    <n v="1.75"/>
    <n v="10008.25"/>
    <n v="357"/>
    <n v="28.03"/>
    <n v="62250.35"/>
    <n v="52242.1"/>
    <n v="5.219903579546874"/>
    <n v="6.22"/>
    <s v="High"/>
    <s v="Valid"/>
  </r>
  <r>
    <x v="111"/>
    <x v="8"/>
    <s v="Google Ads"/>
    <x v="3"/>
    <s v="Fintech"/>
    <x v="3"/>
    <n v="116972"/>
    <n v="6269"/>
    <n v="5.3600000000000002E-2"/>
    <n v="2.83"/>
    <n v="17741.27"/>
    <n v="83"/>
    <n v="213.75"/>
    <n v="8852.61"/>
    <n v="-8888.66"/>
    <n v="-0.50101599265441532"/>
    <n v="0.5"/>
    <s v="Low"/>
    <s v="Valid"/>
  </r>
  <r>
    <x v="333"/>
    <x v="6"/>
    <s v="Meta Ads"/>
    <x v="0"/>
    <s v="SaaS"/>
    <x v="4"/>
    <n v="45664"/>
    <n v="516"/>
    <n v="1.1299999999999999E-2"/>
    <n v="1.67"/>
    <n v="861.72"/>
    <n v="34"/>
    <n v="25.34"/>
    <n v="7132.56"/>
    <n v="6270.84"/>
    <n v="7.2771201782481549"/>
    <n v="8.2799999999999994"/>
    <s v="High"/>
    <s v="Valid"/>
  </r>
  <r>
    <x v="91"/>
    <x v="9"/>
    <s v="Meta Ads"/>
    <x v="2"/>
    <s v="SaaS"/>
    <x v="1"/>
    <n v="125759"/>
    <n v="2804"/>
    <n v="2.23E-2"/>
    <n v="1.75"/>
    <n v="4907"/>
    <n v="164"/>
    <n v="29.92"/>
    <n v="46752.65"/>
    <n v="41845.65"/>
    <n v="8.5277460770328108"/>
    <n v="9.5299999999999994"/>
    <s v="High"/>
    <s v="Valid"/>
  </r>
  <r>
    <x v="229"/>
    <x v="11"/>
    <s v="Google Ads"/>
    <x v="2"/>
    <s v="EdTech"/>
    <x v="0"/>
    <n v="26529"/>
    <n v="1106"/>
    <n v="4.1700000000000001E-2"/>
    <n v="1.78"/>
    <n v="1968.68"/>
    <n v="78"/>
    <n v="25.24"/>
    <n v="2995.39"/>
    <n v="1026.7099999999998"/>
    <n v="0.52152203506918327"/>
    <n v="1.52"/>
    <s v="Medium"/>
    <s v="Valid"/>
  </r>
  <r>
    <x v="94"/>
    <x v="9"/>
    <s v="TikTok Ads"/>
    <x v="2"/>
    <s v="EdTech"/>
    <x v="5"/>
    <n v="114863"/>
    <n v="5766"/>
    <n v="5.0200000000000002E-2"/>
    <n v="1.63"/>
    <n v="9398.58"/>
    <n v="89"/>
    <n v="105.6"/>
    <n v="22499.919999999998"/>
    <n v="13101.339999999998"/>
    <n v="1.3939701529379969"/>
    <n v="2.39"/>
    <s v="Medium"/>
    <s v="Valid"/>
  </r>
  <r>
    <x v="348"/>
    <x v="3"/>
    <s v="Meta Ads"/>
    <x v="3"/>
    <s v="Healthcare"/>
    <x v="2"/>
    <n v="171353"/>
    <n v="5534"/>
    <n v="3.2300000000000002E-2"/>
    <n v="1.86"/>
    <n v="10293.24"/>
    <n v="221"/>
    <n v="46.58"/>
    <n v="52725.19"/>
    <n v="42431.950000000004"/>
    <n v="4.1223123137126896"/>
    <n v="5.12"/>
    <s v="High"/>
    <s v="Valid"/>
  </r>
  <r>
    <x v="129"/>
    <x v="9"/>
    <s v="Meta Ads"/>
    <x v="2"/>
    <s v="EdTech"/>
    <x v="1"/>
    <n v="49522"/>
    <n v="1554"/>
    <n v="3.1399999999999997E-2"/>
    <n v="1.71"/>
    <n v="2657.34"/>
    <n v="23"/>
    <n v="115.54"/>
    <n v="1909.73"/>
    <n v="-747.61000000000013"/>
    <n v="-0.28133772870614981"/>
    <n v="0.72"/>
    <s v="Low"/>
    <s v="Valid"/>
  </r>
  <r>
    <x v="343"/>
    <x v="8"/>
    <s v="Google Ads"/>
    <x v="0"/>
    <s v="Healthcare"/>
    <x v="5"/>
    <n v="136135"/>
    <n v="7936"/>
    <n v="5.8299999999999998E-2"/>
    <n v="1.36"/>
    <n v="10792.96"/>
    <n v="406"/>
    <n v="26.58"/>
    <n v="40442.85"/>
    <n v="29649.89"/>
    <n v="2.7471509206000952"/>
    <n v="3.75"/>
    <s v="High"/>
    <s v="Valid"/>
  </r>
  <r>
    <x v="150"/>
    <x v="8"/>
    <s v="Meta Ads"/>
    <x v="1"/>
    <s v="Healthcare"/>
    <x v="1"/>
    <n v="172108"/>
    <n v="6109"/>
    <n v="3.5499999999999997E-2"/>
    <n v="2.2799999999999998"/>
    <n v="13928.52"/>
    <n v="435"/>
    <n v="32.020000000000003"/>
    <n v="13163.33"/>
    <n v="-765.19000000000051"/>
    <n v="-5.493692079273322E-2"/>
    <n v="0.95"/>
    <s v="Low"/>
    <s v="Valid"/>
  </r>
  <r>
    <x v="348"/>
    <x v="3"/>
    <s v="TikTok Ads"/>
    <x v="1"/>
    <s v="EdTech"/>
    <x v="5"/>
    <n v="193151"/>
    <n v="12168"/>
    <n v="6.3E-2"/>
    <n v="1.1299999999999999"/>
    <n v="13749.84"/>
    <n v="612"/>
    <n v="22.47"/>
    <n v="109401"/>
    <n v="95651.16"/>
    <n v="6.9565289487004938"/>
    <n v="7.96"/>
    <s v="High"/>
    <s v="Valid"/>
  </r>
  <r>
    <x v="170"/>
    <x v="1"/>
    <s v="TikTok Ads"/>
    <x v="3"/>
    <s v="EdTech"/>
    <x v="4"/>
    <n v="102519"/>
    <n v="4285"/>
    <n v="4.1799999999999997E-2"/>
    <n v="1.2"/>
    <n v="5142"/>
    <n v="137"/>
    <n v="37.53"/>
    <n v="26733.75"/>
    <n v="21591.75"/>
    <n v="4.1990956826137689"/>
    <n v="5.2"/>
    <s v="High"/>
    <s v="Valid"/>
  </r>
  <r>
    <x v="82"/>
    <x v="7"/>
    <s v="Google Ads"/>
    <x v="2"/>
    <s v="Healthcare"/>
    <x v="3"/>
    <n v="36092"/>
    <n v="1050"/>
    <n v="2.9100000000000001E-2"/>
    <n v="3.68"/>
    <n v="3864"/>
    <n v="34"/>
    <n v="113.65"/>
    <n v="1685.69"/>
    <n v="-2178.31"/>
    <n v="-0.56374482401656312"/>
    <n v="0.44"/>
    <s v="Low"/>
    <s v="Valid"/>
  </r>
  <r>
    <x v="218"/>
    <x v="7"/>
    <s v="TikTok Ads"/>
    <x v="1"/>
    <s v="EdTech"/>
    <x v="6"/>
    <n v="6628"/>
    <n v="261"/>
    <n v="3.95E-2"/>
    <n v="1.28"/>
    <n v="334.08"/>
    <n v="11"/>
    <n v="30.37"/>
    <n v="2224.48"/>
    <n v="1890.4"/>
    <n v="5.65852490421456"/>
    <n v="6.66"/>
    <s v="High"/>
    <s v="Valid"/>
  </r>
  <r>
    <x v="248"/>
    <x v="11"/>
    <s v="Meta Ads"/>
    <x v="1"/>
    <s v="SaaS"/>
    <x v="1"/>
    <n v="28593"/>
    <n v="694"/>
    <n v="2.4299999999999999E-2"/>
    <n v="1.58"/>
    <n v="1096.52"/>
    <n v="7"/>
    <n v="156.65"/>
    <n v="2098"/>
    <n v="1001.48"/>
    <n v="0.91332579433115679"/>
    <n v="1.91"/>
    <s v="Medium"/>
    <s v="Valid"/>
  </r>
  <r>
    <x v="173"/>
    <x v="1"/>
    <s v="Meta Ads"/>
    <x v="0"/>
    <s v="EdTech"/>
    <x v="3"/>
    <n v="186845"/>
    <n v="4204"/>
    <n v="2.2499999999999999E-2"/>
    <n v="1.81"/>
    <n v="7609.24"/>
    <n v="275"/>
    <n v="27.67"/>
    <n v="24004.25"/>
    <n v="16395.010000000002"/>
    <n v="2.1546185952867831"/>
    <n v="3.15"/>
    <s v="High"/>
    <s v="Valid"/>
  </r>
  <r>
    <x v="6"/>
    <x v="4"/>
    <s v="Meta Ads"/>
    <x v="0"/>
    <s v="Fintech"/>
    <x v="2"/>
    <n v="25930"/>
    <n v="609"/>
    <n v="2.35E-2"/>
    <n v="0.55000000000000004"/>
    <n v="334.95"/>
    <n v="7"/>
    <n v="47.85"/>
    <n v="509.29"/>
    <n v="174.34000000000003"/>
    <n v="0.5204955963576654"/>
    <n v="1.52"/>
    <s v="Medium"/>
    <s v="Valid"/>
  </r>
  <r>
    <x v="89"/>
    <x v="3"/>
    <s v="Google Ads"/>
    <x v="3"/>
    <s v="Fintech"/>
    <x v="0"/>
    <n v="114914"/>
    <n v="3803"/>
    <n v="3.3099999999999997E-2"/>
    <n v="2.69"/>
    <n v="10230.07"/>
    <n v="224"/>
    <n v="45.67"/>
    <n v="67007.759999999995"/>
    <n v="56777.689999999995"/>
    <n v="5.550078347459988"/>
    <n v="6.55"/>
    <s v="High"/>
    <s v="Valid"/>
  </r>
  <r>
    <x v="73"/>
    <x v="7"/>
    <s v="Google Ads"/>
    <x v="3"/>
    <s v="EdTech"/>
    <x v="6"/>
    <n v="34652"/>
    <n v="866"/>
    <n v="2.5000000000000001E-2"/>
    <n v="1.57"/>
    <n v="1359.62"/>
    <n v="43"/>
    <n v="31.62"/>
    <n v="2728.57"/>
    <n v="1368.9500000000003"/>
    <n v="1.0068622115002723"/>
    <n v="2.0099999999999998"/>
    <s v="Medium"/>
    <s v="Valid"/>
  </r>
  <r>
    <x v="328"/>
    <x v="2"/>
    <s v="Google Ads"/>
    <x v="3"/>
    <s v="EdTech"/>
    <x v="5"/>
    <n v="136585"/>
    <n v="5668"/>
    <n v="4.1500000000000002E-2"/>
    <n v="2.89"/>
    <n v="16380.52"/>
    <n v="120"/>
    <n v="136.5"/>
    <n v="20065.189999999999"/>
    <n v="3684.6699999999983"/>
    <n v="0.22494218742750524"/>
    <n v="1.22"/>
    <s v="Medium"/>
    <s v="Valid"/>
  </r>
  <r>
    <x v="268"/>
    <x v="6"/>
    <s v="Google Ads"/>
    <x v="3"/>
    <s v="Healthcare"/>
    <x v="4"/>
    <n v="192822"/>
    <n v="6228"/>
    <n v="3.2300000000000002E-2"/>
    <n v="3.35"/>
    <n v="20863.8"/>
    <n v="87"/>
    <n v="239.81"/>
    <n v="18207.05"/>
    <n v="-2656.75"/>
    <n v="-0.1273377812287311"/>
    <n v="0.87"/>
    <s v="Low"/>
    <s v="Valid"/>
  </r>
  <r>
    <x v="19"/>
    <x v="9"/>
    <s v="Google Ads"/>
    <x v="0"/>
    <s v="Healthcare"/>
    <x v="1"/>
    <n v="63738"/>
    <n v="1306"/>
    <n v="2.0500000000000001E-2"/>
    <n v="0.93"/>
    <n v="1214.58"/>
    <n v="87"/>
    <n v="13.96"/>
    <n v="16951.52"/>
    <n v="15736.94"/>
    <n v="12.956692848556704"/>
    <n v="13.96"/>
    <s v="High"/>
    <s v="Valid"/>
  </r>
  <r>
    <x v="66"/>
    <x v="2"/>
    <s v="Google Ads"/>
    <x v="0"/>
    <s v="Fintech"/>
    <x v="5"/>
    <n v="28267"/>
    <n v="1769"/>
    <n v="6.2600000000000003E-2"/>
    <n v="2.59"/>
    <n v="4581.71"/>
    <n v="33"/>
    <n v="138.84"/>
    <n v="1968.12"/>
    <n v="-2613.59"/>
    <n v="-0.57043985760774907"/>
    <n v="0.43"/>
    <s v="Low"/>
    <s v="Valid"/>
  </r>
  <r>
    <x v="76"/>
    <x v="5"/>
    <s v="Meta Ads"/>
    <x v="3"/>
    <s v="Fintech"/>
    <x v="6"/>
    <n v="42606"/>
    <n v="1495"/>
    <n v="3.5099999999999999E-2"/>
    <n v="0.77"/>
    <n v="1151.1500000000001"/>
    <n v="96"/>
    <n v="11.99"/>
    <n v="14890.27"/>
    <n v="13739.12"/>
    <n v="11.935125743821395"/>
    <n v="12.94"/>
    <s v="High"/>
    <s v="Valid"/>
  </r>
  <r>
    <x v="1"/>
    <x v="0"/>
    <s v="TikTok Ads"/>
    <x v="3"/>
    <s v="Healthcare"/>
    <x v="4"/>
    <n v="120409"/>
    <n v="8356"/>
    <n v="6.9400000000000003E-2"/>
    <n v="0.96"/>
    <n v="8021.76"/>
    <n v="663"/>
    <n v="12.1"/>
    <n v="50787.7"/>
    <n v="42765.939999999995"/>
    <n v="5.3312415230572832"/>
    <n v="6.33"/>
    <s v="High"/>
    <s v="Valid"/>
  </r>
  <r>
    <x v="356"/>
    <x v="8"/>
    <s v="TikTok Ads"/>
    <x v="3"/>
    <s v="EdTech"/>
    <x v="3"/>
    <n v="120210"/>
    <n v="6455"/>
    <n v="5.3699999999999998E-2"/>
    <n v="1.78"/>
    <n v="11489.9"/>
    <n v="289"/>
    <n v="39.76"/>
    <n v="23286.47"/>
    <n v="11796.570000000002"/>
    <n v="1.0266903976535915"/>
    <n v="2.0299999999999998"/>
    <s v="Medium"/>
    <s v="Valid"/>
  </r>
  <r>
    <x v="235"/>
    <x v="4"/>
    <s v="Meta Ads"/>
    <x v="0"/>
    <s v="Healthcare"/>
    <x v="0"/>
    <n v="96360"/>
    <n v="3247"/>
    <n v="3.3700000000000001E-2"/>
    <n v="0.43"/>
    <n v="1396.21"/>
    <n v="211"/>
    <n v="6.62"/>
    <n v="50567.51"/>
    <n v="49171.3"/>
    <n v="35.217696478323461"/>
    <n v="36.22"/>
    <s v="High"/>
    <s v="Valid"/>
  </r>
  <r>
    <x v="10"/>
    <x v="5"/>
    <s v="TikTok Ads"/>
    <x v="2"/>
    <s v="EdTech"/>
    <x v="4"/>
    <n v="186006"/>
    <n v="9002"/>
    <n v="4.8399999999999999E-2"/>
    <n v="1.52"/>
    <n v="13683.04"/>
    <n v="266"/>
    <n v="51.44"/>
    <n v="31194.26"/>
    <n v="17511.219999999998"/>
    <n v="1.2797755469544776"/>
    <n v="2.2799999999999998"/>
    <s v="Medium"/>
    <s v="Valid"/>
  </r>
  <r>
    <x v="35"/>
    <x v="3"/>
    <s v="Google Ads"/>
    <x v="2"/>
    <s v="E-commerce"/>
    <x v="3"/>
    <n v="34036"/>
    <n v="2086"/>
    <n v="6.13E-2"/>
    <n v="3.45"/>
    <n v="7196.7"/>
    <n v="110"/>
    <n v="65.42"/>
    <n v="21503.08"/>
    <n v="14306.380000000001"/>
    <n v="1.9879083468812095"/>
    <n v="2.99"/>
    <s v="Medium"/>
    <s v="Valid"/>
  </r>
  <r>
    <x v="280"/>
    <x v="2"/>
    <s v="TikTok Ads"/>
    <x v="2"/>
    <s v="SaaS"/>
    <x v="2"/>
    <n v="116709"/>
    <n v="6640"/>
    <n v="5.6899999999999999E-2"/>
    <n v="1.97"/>
    <n v="13080.8"/>
    <n v="304"/>
    <n v="43.03"/>
    <n v="83458.179999999993"/>
    <n v="70377.37999999999"/>
    <n v="5.3802045746437521"/>
    <n v="6.38"/>
    <s v="High"/>
    <s v="Valid"/>
  </r>
  <r>
    <x v="48"/>
    <x v="1"/>
    <s v="Meta Ads"/>
    <x v="2"/>
    <s v="EdTech"/>
    <x v="1"/>
    <n v="98276"/>
    <n v="2368"/>
    <n v="2.41E-2"/>
    <n v="1.41"/>
    <n v="3338.88"/>
    <n v="115"/>
    <n v="29.03"/>
    <n v="21637.86"/>
    <n v="18298.98"/>
    <n v="5.4805743243243237"/>
    <n v="6.48"/>
    <s v="High"/>
    <s v="Valid"/>
  </r>
  <r>
    <x v="344"/>
    <x v="7"/>
    <s v="Google Ads"/>
    <x v="2"/>
    <s v="EdTech"/>
    <x v="1"/>
    <n v="162353"/>
    <n v="3977"/>
    <n v="2.4500000000000001E-2"/>
    <n v="1.45"/>
    <n v="5766.65"/>
    <n v="57"/>
    <n v="101.17"/>
    <n v="15175.48"/>
    <n v="9408.83"/>
    <n v="1.631593732929864"/>
    <n v="2.63"/>
    <s v="Medium"/>
    <s v="Valid"/>
  </r>
  <r>
    <x v="269"/>
    <x v="9"/>
    <s v="Meta Ads"/>
    <x v="0"/>
    <s v="SaaS"/>
    <x v="1"/>
    <n v="129790"/>
    <n v="5697"/>
    <n v="4.3900000000000002E-2"/>
    <n v="0.52"/>
    <n v="2962.44"/>
    <n v="223"/>
    <n v="13.28"/>
    <n v="58627.34"/>
    <n v="55664.899999999994"/>
    <n v="18.790220223869511"/>
    <n v="19.79"/>
    <s v="High"/>
    <s v="Valid"/>
  </r>
  <r>
    <x v="327"/>
    <x v="9"/>
    <s v="Google Ads"/>
    <x v="1"/>
    <s v="Healthcare"/>
    <x v="5"/>
    <n v="184982"/>
    <n v="4772"/>
    <n v="2.58E-2"/>
    <n v="3.08"/>
    <n v="14697.76"/>
    <n v="141"/>
    <n v="104.24"/>
    <n v="26098.46"/>
    <n v="11400.699999999999"/>
    <n v="0.77567602138012859"/>
    <n v="1.78"/>
    <s v="Medium"/>
    <s v="Valid"/>
  </r>
  <r>
    <x v="41"/>
    <x v="4"/>
    <s v="Google Ads"/>
    <x v="0"/>
    <s v="Fintech"/>
    <x v="1"/>
    <n v="166673"/>
    <n v="4733"/>
    <n v="2.8400000000000002E-2"/>
    <n v="0.84"/>
    <n v="3975.72"/>
    <n v="336"/>
    <n v="11.83"/>
    <n v="98987.51"/>
    <n v="95011.79"/>
    <n v="23.898008411055105"/>
    <n v="24.9"/>
    <s v="High"/>
    <s v="Valid"/>
  </r>
  <r>
    <x v="48"/>
    <x v="1"/>
    <s v="Google Ads"/>
    <x v="1"/>
    <s v="EdTech"/>
    <x v="0"/>
    <n v="109148"/>
    <n v="3951"/>
    <n v="3.6200000000000003E-2"/>
    <n v="1.79"/>
    <n v="7072.29"/>
    <n v="249"/>
    <n v="28.4"/>
    <n v="56329.34"/>
    <n v="49257.049999999996"/>
    <n v="6.9647949956803235"/>
    <n v="7.96"/>
    <s v="High"/>
    <s v="Valid"/>
  </r>
  <r>
    <x v="25"/>
    <x v="9"/>
    <s v="Google Ads"/>
    <x v="1"/>
    <s v="EdTech"/>
    <x v="2"/>
    <n v="173700"/>
    <n v="7208"/>
    <n v="4.1500000000000002E-2"/>
    <n v="2.29"/>
    <n v="16506.32"/>
    <n v="178"/>
    <n v="92.73"/>
    <n v="32171.360000000001"/>
    <n v="15665.04"/>
    <n v="0.94903285529421466"/>
    <n v="1.95"/>
    <s v="Medium"/>
    <s v="Valid"/>
  </r>
  <r>
    <x v="43"/>
    <x v="5"/>
    <s v="Meta Ads"/>
    <x v="1"/>
    <s v="EdTech"/>
    <x v="0"/>
    <n v="173001"/>
    <n v="3477"/>
    <n v="2.01E-2"/>
    <n v="0.95"/>
    <n v="3303.15"/>
    <n v="51"/>
    <n v="64.77"/>
    <n v="11186.61"/>
    <n v="7883.4600000000009"/>
    <n v="2.3866491076699514"/>
    <n v="3.39"/>
    <s v="High"/>
    <s v="Valid"/>
  </r>
  <r>
    <x v="207"/>
    <x v="0"/>
    <s v="Meta Ads"/>
    <x v="0"/>
    <s v="Fintech"/>
    <x v="1"/>
    <n v="56534"/>
    <n v="1079"/>
    <n v="1.9099999999999999E-2"/>
    <n v="0.6"/>
    <n v="647.4"/>
    <n v="27"/>
    <n v="23.98"/>
    <n v="4508.3900000000003"/>
    <n v="3860.9900000000002"/>
    <n v="5.9638399752857589"/>
    <n v="6.96"/>
    <s v="High"/>
    <s v="Valid"/>
  </r>
  <r>
    <x v="91"/>
    <x v="9"/>
    <s v="Google Ads"/>
    <x v="0"/>
    <s v="Healthcare"/>
    <x v="6"/>
    <n v="58520"/>
    <n v="3604"/>
    <n v="6.1600000000000002E-2"/>
    <n v="1.48"/>
    <n v="5333.92"/>
    <n v="265"/>
    <n v="20.13"/>
    <n v="78186.23"/>
    <n v="72852.31"/>
    <n v="13.658305711371748"/>
    <n v="14.66"/>
    <s v="High"/>
    <s v="Valid"/>
  </r>
  <r>
    <x v="99"/>
    <x v="7"/>
    <s v="Google Ads"/>
    <x v="1"/>
    <s v="Healthcare"/>
    <x v="4"/>
    <n v="111071"/>
    <n v="2865"/>
    <n v="2.58E-2"/>
    <n v="2.83"/>
    <n v="8107.95"/>
    <n v="39"/>
    <n v="207.9"/>
    <n v="8971.2800000000007"/>
    <n v="863.33000000000084"/>
    <n v="0.10647944301580559"/>
    <n v="1.1100000000000001"/>
    <s v="Medium"/>
    <s v="Valid"/>
  </r>
  <r>
    <x v="67"/>
    <x v="5"/>
    <s v="Google Ads"/>
    <x v="2"/>
    <s v="SaaS"/>
    <x v="5"/>
    <n v="153750"/>
    <n v="4920"/>
    <n v="3.2000000000000001E-2"/>
    <n v="2.98"/>
    <n v="14661.6"/>
    <n v="117"/>
    <n v="125.31"/>
    <n v="30000.6"/>
    <n v="15338.999999999998"/>
    <n v="1.0462023244393517"/>
    <n v="2.0499999999999998"/>
    <s v="Medium"/>
    <s v="Valid"/>
  </r>
  <r>
    <x v="255"/>
    <x v="8"/>
    <s v="Meta Ads"/>
    <x v="3"/>
    <s v="SaaS"/>
    <x v="2"/>
    <n v="108717"/>
    <n v="1435"/>
    <n v="1.32E-2"/>
    <n v="1.75"/>
    <n v="2511.25"/>
    <n v="108"/>
    <n v="23.25"/>
    <n v="22074.54"/>
    <n v="19563.29"/>
    <n v="7.7902598307615731"/>
    <n v="8.7899999999999991"/>
    <s v="High"/>
    <s v="Valid"/>
  </r>
  <r>
    <x v="55"/>
    <x v="1"/>
    <s v="Google Ads"/>
    <x v="2"/>
    <s v="E-commerce"/>
    <x v="5"/>
    <n v="141455"/>
    <n v="2673"/>
    <n v="1.89E-2"/>
    <n v="2.82"/>
    <n v="7537.86"/>
    <n v="122"/>
    <n v="61.79"/>
    <n v="19810.32"/>
    <n v="12272.46"/>
    <n v="1.6281093042322357"/>
    <n v="2.63"/>
    <s v="Medium"/>
    <s v="Valid"/>
  </r>
  <r>
    <x v="46"/>
    <x v="9"/>
    <s v="Meta Ads"/>
    <x v="0"/>
    <s v="Healthcare"/>
    <x v="2"/>
    <n v="158742"/>
    <n v="5778"/>
    <n v="3.6400000000000002E-2"/>
    <n v="2.17"/>
    <n v="12538.26"/>
    <n v="388"/>
    <n v="32.32"/>
    <n v="68610.11"/>
    <n v="56071.85"/>
    <n v="4.4720599189999248"/>
    <n v="5.47"/>
    <s v="High"/>
    <s v="Valid"/>
  </r>
  <r>
    <x v="244"/>
    <x v="5"/>
    <s v="Meta Ads"/>
    <x v="0"/>
    <s v="E-commerce"/>
    <x v="3"/>
    <n v="26845"/>
    <n v="528"/>
    <n v="1.9699999999999999E-2"/>
    <n v="2.08"/>
    <n v="1098.24"/>
    <n v="11"/>
    <n v="99.84"/>
    <n v="1590.52"/>
    <n v="492.28"/>
    <n v="0.44824446386946382"/>
    <n v="1.45"/>
    <s v="Medium"/>
    <s v="Valid"/>
  </r>
  <r>
    <x v="325"/>
    <x v="3"/>
    <s v="Google Ads"/>
    <x v="1"/>
    <s v="Fintech"/>
    <x v="2"/>
    <n v="92332"/>
    <n v="5336"/>
    <n v="5.7799999999999997E-2"/>
    <n v="0.94"/>
    <n v="5015.84"/>
    <n v="213"/>
    <n v="23.55"/>
    <n v="39347.29"/>
    <n v="34331.449999999997"/>
    <n v="6.8446062872818905"/>
    <n v="7.84"/>
    <s v="High"/>
    <s v="Valid"/>
  </r>
  <r>
    <x v="24"/>
    <x v="7"/>
    <s v="Google Ads"/>
    <x v="0"/>
    <s v="E-commerce"/>
    <x v="5"/>
    <n v="90953"/>
    <n v="4365"/>
    <n v="4.8000000000000001E-2"/>
    <n v="3.04"/>
    <n v="13269.6"/>
    <n v="73"/>
    <n v="181.78"/>
    <n v="19836.75"/>
    <n v="6567.15"/>
    <n v="0.49490188099113758"/>
    <n v="1.49"/>
    <s v="Medium"/>
    <s v="Valid"/>
  </r>
  <r>
    <x v="273"/>
    <x v="7"/>
    <s v="Meta Ads"/>
    <x v="2"/>
    <s v="SaaS"/>
    <x v="4"/>
    <n v="15047"/>
    <n v="368"/>
    <n v="2.4500000000000001E-2"/>
    <n v="1.06"/>
    <n v="390.08"/>
    <n v="27"/>
    <n v="14.45"/>
    <n v="6244.19"/>
    <n v="5854.11"/>
    <n v="15.007460008203445"/>
    <n v="16.010000000000002"/>
    <s v="High"/>
    <s v="Valid"/>
  </r>
  <r>
    <x v="337"/>
    <x v="5"/>
    <s v="Google Ads"/>
    <x v="0"/>
    <s v="Healthcare"/>
    <x v="0"/>
    <n v="57632"/>
    <n v="1256"/>
    <n v="2.18E-2"/>
    <n v="1.75"/>
    <n v="2198"/>
    <n v="20"/>
    <n v="109.9"/>
    <n v="1647.61"/>
    <n v="-550.3900000000001"/>
    <n v="-0.25040491355777983"/>
    <n v="0.75"/>
    <s v="Low"/>
    <s v="Valid"/>
  </r>
  <r>
    <x v="113"/>
    <x v="3"/>
    <s v="TikTok Ads"/>
    <x v="2"/>
    <s v="EdTech"/>
    <x v="0"/>
    <n v="193568"/>
    <n v="12659"/>
    <n v="6.54E-2"/>
    <n v="1.24"/>
    <n v="15697.16"/>
    <n v="366"/>
    <n v="42.89"/>
    <n v="17585.84"/>
    <n v="1888.6800000000003"/>
    <n v="0.12031985403729084"/>
    <n v="1.1200000000000001"/>
    <s v="Medium"/>
    <s v="Valid"/>
  </r>
  <r>
    <x v="95"/>
    <x v="8"/>
    <s v="Google Ads"/>
    <x v="1"/>
    <s v="SaaS"/>
    <x v="3"/>
    <n v="30343"/>
    <n v="743"/>
    <n v="2.4500000000000001E-2"/>
    <n v="3.05"/>
    <n v="2266.15"/>
    <n v="39"/>
    <n v="58.11"/>
    <n v="7450.31"/>
    <n v="5184.16"/>
    <n v="2.2876508615934514"/>
    <n v="3.29"/>
    <s v="High"/>
    <s v="Valid"/>
  </r>
  <r>
    <x v="75"/>
    <x v="4"/>
    <s v="Meta Ads"/>
    <x v="3"/>
    <s v="SaaS"/>
    <x v="3"/>
    <n v="6903"/>
    <n v="225"/>
    <n v="3.2599999999999997E-2"/>
    <n v="1.92"/>
    <n v="432"/>
    <n v="7"/>
    <n v="61.71"/>
    <n v="513.46"/>
    <n v="81.460000000000036"/>
    <n v="0.18856481481481491"/>
    <n v="1.19"/>
    <s v="Medium"/>
    <s v="Valid"/>
  </r>
  <r>
    <x v="106"/>
    <x v="2"/>
    <s v="TikTok Ads"/>
    <x v="3"/>
    <s v="SaaS"/>
    <x v="2"/>
    <n v="194291"/>
    <n v="9248"/>
    <n v="4.7600000000000003E-2"/>
    <n v="1.08"/>
    <n v="9987.84"/>
    <n v="669"/>
    <n v="14.93"/>
    <n v="34771.85"/>
    <n v="24784.01"/>
    <n v="2.4814184047802126"/>
    <n v="3.48"/>
    <s v="High"/>
    <s v="Valid"/>
  </r>
  <r>
    <x v="250"/>
    <x v="4"/>
    <s v="Meta Ads"/>
    <x v="2"/>
    <s v="Healthcare"/>
    <x v="5"/>
    <n v="25704"/>
    <n v="616"/>
    <n v="2.4E-2"/>
    <n v="1"/>
    <n v="616"/>
    <n v="18"/>
    <n v="34.22"/>
    <n v="2381.36"/>
    <n v="1765.3600000000001"/>
    <n v="2.8658441558441559"/>
    <n v="3.87"/>
    <s v="High"/>
    <s v="Valid"/>
  </r>
  <r>
    <x v="213"/>
    <x v="8"/>
    <s v="Google Ads"/>
    <x v="3"/>
    <s v="Healthcare"/>
    <x v="3"/>
    <n v="18696"/>
    <n v="327"/>
    <n v="1.7500000000000002E-2"/>
    <n v="2.61"/>
    <n v="853.47"/>
    <n v="8"/>
    <n v="106.68"/>
    <n v="1284.99"/>
    <n v="431.52"/>
    <n v="0.50560652395514782"/>
    <n v="1.51"/>
    <s v="Medium"/>
    <s v="Valid"/>
  </r>
  <r>
    <x v="313"/>
    <x v="2"/>
    <s v="Meta Ads"/>
    <x v="1"/>
    <s v="EdTech"/>
    <x v="1"/>
    <n v="165408"/>
    <n v="1670"/>
    <n v="1.01E-2"/>
    <n v="1.3"/>
    <n v="2171"/>
    <n v="80"/>
    <n v="27.14"/>
    <n v="9561"/>
    <n v="7390"/>
    <n v="3.4039613081529247"/>
    <n v="4.4000000000000004"/>
    <s v="High"/>
    <s v="Valid"/>
  </r>
  <r>
    <x v="219"/>
    <x v="5"/>
    <s v="Google Ads"/>
    <x v="0"/>
    <s v="E-commerce"/>
    <x v="6"/>
    <n v="191372"/>
    <n v="11711"/>
    <n v="6.1199999999999997E-2"/>
    <n v="2.48"/>
    <n v="29043.279999999999"/>
    <n v="335"/>
    <n v="86.7"/>
    <n v="75028.42"/>
    <n v="45985.14"/>
    <n v="1.5833314969934527"/>
    <n v="2.58"/>
    <s v="Medium"/>
    <s v="Valid"/>
  </r>
  <r>
    <x v="82"/>
    <x v="7"/>
    <s v="Meta Ads"/>
    <x v="3"/>
    <s v="EdTech"/>
    <x v="2"/>
    <n v="71247"/>
    <n v="1888"/>
    <n v="2.6499999999999999E-2"/>
    <n v="0.47"/>
    <n v="887.36"/>
    <n v="57"/>
    <n v="15.57"/>
    <n v="9045.86"/>
    <n v="8158.5000000000009"/>
    <n v="9.1941263974035348"/>
    <n v="10.19"/>
    <s v="High"/>
    <s v="Valid"/>
  </r>
  <r>
    <x v="88"/>
    <x v="5"/>
    <s v="TikTok Ads"/>
    <x v="0"/>
    <s v="Fintech"/>
    <x v="0"/>
    <n v="132294"/>
    <n v="7527"/>
    <n v="5.6899999999999999E-2"/>
    <n v="0.9"/>
    <n v="6774.3"/>
    <n v="262"/>
    <n v="25.86"/>
    <n v="50030.33"/>
    <n v="43256.03"/>
    <n v="6.3853136117384821"/>
    <n v="7.39"/>
    <s v="High"/>
    <s v="Valid"/>
  </r>
  <r>
    <x v="320"/>
    <x v="9"/>
    <s v="TikTok Ads"/>
    <x v="3"/>
    <s v="E-commerce"/>
    <x v="3"/>
    <n v="66086"/>
    <n v="3317"/>
    <n v="5.0200000000000002E-2"/>
    <n v="0.33"/>
    <n v="1094.6099999999999"/>
    <n v="206"/>
    <n v="5.31"/>
    <n v="51119.73"/>
    <n v="50025.120000000003"/>
    <n v="45.701318277742764"/>
    <n v="46.7"/>
    <s v="High"/>
    <s v="Valid"/>
  </r>
  <r>
    <x v="162"/>
    <x v="9"/>
    <s v="Google Ads"/>
    <x v="0"/>
    <s v="Healthcare"/>
    <x v="1"/>
    <n v="186232"/>
    <n v="9292"/>
    <n v="4.99E-2"/>
    <n v="2.4"/>
    <n v="22300.799999999999"/>
    <n v="265"/>
    <n v="84.15"/>
    <n v="67766.02"/>
    <n v="45465.22"/>
    <n v="2.0387259649878033"/>
    <n v="3.04"/>
    <s v="High"/>
    <s v="Valid"/>
  </r>
  <r>
    <x v="17"/>
    <x v="6"/>
    <s v="TikTok Ads"/>
    <x v="2"/>
    <s v="Healthcare"/>
    <x v="5"/>
    <n v="145225"/>
    <n v="5562"/>
    <n v="3.8300000000000001E-2"/>
    <n v="0.84"/>
    <n v="4672.08"/>
    <n v="378"/>
    <n v="12.36"/>
    <n v="102053.93"/>
    <n v="97381.849999999991"/>
    <n v="20.843360986969401"/>
    <n v="21.84"/>
    <s v="High"/>
    <s v="Valid"/>
  </r>
  <r>
    <x v="158"/>
    <x v="8"/>
    <s v="Google Ads"/>
    <x v="0"/>
    <s v="SaaS"/>
    <x v="3"/>
    <n v="15470"/>
    <n v="529"/>
    <n v="3.4200000000000001E-2"/>
    <n v="1.2"/>
    <n v="634.79999999999995"/>
    <n v="5"/>
    <n v="126.96"/>
    <n v="1223.76"/>
    <n v="588.96"/>
    <n v="0.92778827977315703"/>
    <n v="1.93"/>
    <s v="Medium"/>
    <s v="Valid"/>
  </r>
  <r>
    <x v="7"/>
    <x v="5"/>
    <s v="Google Ads"/>
    <x v="3"/>
    <s v="Healthcare"/>
    <x v="6"/>
    <n v="91814"/>
    <n v="2607"/>
    <n v="2.8400000000000002E-2"/>
    <n v="2.48"/>
    <n v="6465.36"/>
    <n v="129"/>
    <n v="50.12"/>
    <n v="25405.84"/>
    <n v="18940.48"/>
    <n v="2.9295321528886249"/>
    <n v="3.93"/>
    <s v="High"/>
    <s v="Valid"/>
  </r>
  <r>
    <x v="229"/>
    <x v="11"/>
    <s v="Google Ads"/>
    <x v="3"/>
    <s v="EdTech"/>
    <x v="6"/>
    <n v="96087"/>
    <n v="3238"/>
    <n v="3.3700000000000001E-2"/>
    <n v="3.04"/>
    <n v="9843.52"/>
    <n v="45"/>
    <n v="218.74"/>
    <n v="7783"/>
    <n v="-2060.5200000000004"/>
    <n v="-0.20932755762166383"/>
    <n v="0.79"/>
    <s v="Low"/>
    <s v="Valid"/>
  </r>
  <r>
    <x v="287"/>
    <x v="11"/>
    <s v="Google Ads"/>
    <x v="2"/>
    <s v="Fintech"/>
    <x v="3"/>
    <n v="92943"/>
    <n v="5037"/>
    <n v="5.4199999999999998E-2"/>
    <n v="2.2599999999999998"/>
    <n v="11383.62"/>
    <n v="232"/>
    <n v="49.07"/>
    <n v="64994.16"/>
    <n v="53610.54"/>
    <n v="4.7094456772098852"/>
    <n v="5.71"/>
    <s v="High"/>
    <s v="Valid"/>
  </r>
  <r>
    <x v="346"/>
    <x v="5"/>
    <s v="Meta Ads"/>
    <x v="3"/>
    <s v="SaaS"/>
    <x v="5"/>
    <n v="36411"/>
    <n v="873"/>
    <n v="2.4E-2"/>
    <n v="2.0299999999999998"/>
    <n v="1772.19"/>
    <n v="47"/>
    <n v="37.71"/>
    <n v="13565.96"/>
    <n v="11793.769999999999"/>
    <n v="6.6549128479451971"/>
    <n v="7.65"/>
    <s v="High"/>
    <s v="Valid"/>
  </r>
  <r>
    <x v="190"/>
    <x v="4"/>
    <s v="Meta Ads"/>
    <x v="1"/>
    <s v="EdTech"/>
    <x v="2"/>
    <n v="145170"/>
    <n v="4688"/>
    <n v="3.2300000000000002E-2"/>
    <n v="1.75"/>
    <n v="8204"/>
    <n v="106"/>
    <n v="77.400000000000006"/>
    <n v="30413.14"/>
    <n v="22209.14"/>
    <n v="2.7071111652852267"/>
    <n v="3.71"/>
    <s v="High"/>
    <s v="Valid"/>
  </r>
  <r>
    <x v="283"/>
    <x v="11"/>
    <s v="Google Ads"/>
    <x v="1"/>
    <s v="E-commerce"/>
    <x v="3"/>
    <n v="146428"/>
    <n v="2796"/>
    <n v="1.9099999999999999E-2"/>
    <n v="2.2400000000000002"/>
    <n v="6263.04"/>
    <n v="164"/>
    <n v="38.19"/>
    <n v="33829.22"/>
    <n v="27566.18"/>
    <n v="4.4014057071326382"/>
    <n v="5.4"/>
    <s v="High"/>
    <s v="Valid"/>
  </r>
  <r>
    <x v="137"/>
    <x v="4"/>
    <s v="Google Ads"/>
    <x v="0"/>
    <s v="Fintech"/>
    <x v="3"/>
    <n v="151772"/>
    <n v="6237"/>
    <n v="4.1099999999999998E-2"/>
    <n v="1.02"/>
    <n v="6361.74"/>
    <n v="302"/>
    <n v="21.07"/>
    <n v="77929.210000000006"/>
    <n v="71567.47"/>
    <n v="11.249669115682188"/>
    <n v="12.25"/>
    <s v="High"/>
    <s v="Valid"/>
  </r>
  <r>
    <x v="93"/>
    <x v="0"/>
    <s v="TikTok Ads"/>
    <x v="0"/>
    <s v="E-commerce"/>
    <x v="2"/>
    <n v="179561"/>
    <n v="8600"/>
    <n v="4.7899999999999998E-2"/>
    <n v="1.44"/>
    <n v="12384"/>
    <n v="212"/>
    <n v="58.42"/>
    <n v="34386.07"/>
    <n v="22002.07"/>
    <n v="1.7766529392764858"/>
    <n v="2.78"/>
    <s v="Medium"/>
    <s v="Valid"/>
  </r>
  <r>
    <x v="11"/>
    <x v="7"/>
    <s v="Google Ads"/>
    <x v="0"/>
    <s v="EdTech"/>
    <x v="0"/>
    <n v="100381"/>
    <n v="5691"/>
    <n v="5.67E-2"/>
    <n v="0.83"/>
    <n v="4723.53"/>
    <n v="321"/>
    <n v="14.72"/>
    <n v="58283.85"/>
    <n v="53560.32"/>
    <n v="11.339045163257142"/>
    <n v="12.34"/>
    <s v="High"/>
    <s v="Valid"/>
  </r>
  <r>
    <x v="162"/>
    <x v="9"/>
    <s v="TikTok Ads"/>
    <x v="3"/>
    <s v="E-commerce"/>
    <x v="5"/>
    <n v="180552"/>
    <n v="6030"/>
    <n v="3.3399999999999999E-2"/>
    <n v="1.7"/>
    <n v="10251"/>
    <n v="383"/>
    <n v="26.77"/>
    <n v="23539.41"/>
    <n v="13288.41"/>
    <n v="1.2963037752414399"/>
    <n v="2.2999999999999998"/>
    <s v="Medium"/>
    <s v="Valid"/>
  </r>
  <r>
    <x v="247"/>
    <x v="10"/>
    <s v="TikTok Ads"/>
    <x v="3"/>
    <s v="EdTech"/>
    <x v="2"/>
    <n v="163328"/>
    <n v="4981"/>
    <n v="3.0499999999999999E-2"/>
    <n v="1.21"/>
    <n v="6027.01"/>
    <n v="142"/>
    <n v="42.44"/>
    <n v="21158.33"/>
    <n v="15131.320000000002"/>
    <n v="2.5105848505311923"/>
    <n v="3.51"/>
    <s v="High"/>
    <s v="Valid"/>
  </r>
  <r>
    <x v="173"/>
    <x v="1"/>
    <s v="TikTok Ads"/>
    <x v="3"/>
    <s v="EdTech"/>
    <x v="2"/>
    <n v="93635"/>
    <n v="4363"/>
    <n v="4.6600000000000003E-2"/>
    <n v="1.36"/>
    <n v="5933.68"/>
    <n v="117"/>
    <n v="50.72"/>
    <n v="29999.39"/>
    <n v="24065.71"/>
    <n v="4.0557815723126289"/>
    <n v="5.0599999999999996"/>
    <s v="High"/>
    <s v="Valid"/>
  </r>
  <r>
    <x v="320"/>
    <x v="9"/>
    <s v="Google Ads"/>
    <x v="3"/>
    <s v="SaaS"/>
    <x v="0"/>
    <n v="133526"/>
    <n v="4633"/>
    <n v="3.4700000000000002E-2"/>
    <n v="3.07"/>
    <n v="14223.31"/>
    <n v="340"/>
    <n v="41.83"/>
    <n v="62193.85"/>
    <n v="47970.54"/>
    <n v="3.3726706371442372"/>
    <n v="4.37"/>
    <s v="High"/>
    <s v="Valid"/>
  </r>
  <r>
    <x v="314"/>
    <x v="2"/>
    <s v="TikTok Ads"/>
    <x v="1"/>
    <s v="E-commerce"/>
    <x v="4"/>
    <n v="48475"/>
    <n v="3160"/>
    <n v="6.5199999999999994E-2"/>
    <n v="0.76"/>
    <n v="2401.6"/>
    <n v="124"/>
    <n v="19.37"/>
    <n v="19990.89"/>
    <n v="17589.29"/>
    <n v="7.3239881745503004"/>
    <n v="8.32"/>
    <s v="High"/>
    <s v="Valid"/>
  </r>
  <r>
    <x v="9"/>
    <x v="6"/>
    <s v="TikTok Ads"/>
    <x v="1"/>
    <s v="Fintech"/>
    <x v="5"/>
    <n v="195722"/>
    <n v="12624"/>
    <n v="6.4500000000000002E-2"/>
    <n v="2.0099999999999998"/>
    <n v="25374.240000000002"/>
    <n v="755"/>
    <n v="33.61"/>
    <n v="129016.77"/>
    <n v="103642.53"/>
    <n v="4.0845570153037096"/>
    <n v="5.08"/>
    <s v="High"/>
    <s v="Valid"/>
  </r>
  <r>
    <x v="356"/>
    <x v="8"/>
    <s v="Google Ads"/>
    <x v="0"/>
    <s v="Healthcare"/>
    <x v="1"/>
    <n v="106277"/>
    <n v="6961"/>
    <n v="6.5500000000000003E-2"/>
    <n v="2.96"/>
    <n v="20604.560000000001"/>
    <n v="180"/>
    <n v="114.47"/>
    <n v="42397.440000000002"/>
    <n v="21792.880000000001"/>
    <n v="1.0576726705156527"/>
    <n v="2.06"/>
    <s v="Medium"/>
    <s v="Valid"/>
  </r>
  <r>
    <x v="1"/>
    <x v="0"/>
    <s v="Google Ads"/>
    <x v="2"/>
    <s v="Fintech"/>
    <x v="6"/>
    <n v="153953"/>
    <n v="5095"/>
    <n v="3.3099999999999997E-2"/>
    <n v="2.86"/>
    <n v="14571.7"/>
    <n v="110"/>
    <n v="132.47"/>
    <n v="30634.7"/>
    <n v="16063"/>
    <n v="1.102342211272535"/>
    <n v="2.1"/>
    <s v="Medium"/>
    <s v="Valid"/>
  </r>
  <r>
    <x v="154"/>
    <x v="7"/>
    <s v="Meta Ads"/>
    <x v="1"/>
    <s v="Healthcare"/>
    <x v="3"/>
    <n v="142135"/>
    <n v="2387"/>
    <n v="1.6799999999999999E-2"/>
    <n v="1.92"/>
    <n v="4583.04"/>
    <n v="98"/>
    <n v="46.77"/>
    <n v="25385.35"/>
    <n v="20802.309999999998"/>
    <n v="4.5389763126658282"/>
    <n v="5.54"/>
    <s v="High"/>
    <s v="Valid"/>
  </r>
  <r>
    <x v="116"/>
    <x v="6"/>
    <s v="Google Ads"/>
    <x v="2"/>
    <s v="EdTech"/>
    <x v="4"/>
    <n v="107891"/>
    <n v="3733"/>
    <n v="3.4599999999999999E-2"/>
    <n v="2.31"/>
    <n v="8623.23"/>
    <n v="148"/>
    <n v="58.27"/>
    <n v="15202.91"/>
    <n v="6579.68"/>
    <n v="0.76301803384578637"/>
    <n v="1.76"/>
    <s v="Medium"/>
    <s v="Valid"/>
  </r>
  <r>
    <x v="351"/>
    <x v="11"/>
    <s v="TikTok Ads"/>
    <x v="1"/>
    <s v="SaaS"/>
    <x v="2"/>
    <n v="191380"/>
    <n v="8171"/>
    <n v="4.2700000000000002E-2"/>
    <n v="0.5"/>
    <n v="4085.5"/>
    <n v="572"/>
    <n v="7.14"/>
    <n v="155778.92000000001"/>
    <n v="151693.42000000001"/>
    <n v="37.129707502141727"/>
    <n v="38.130000000000003"/>
    <s v="High"/>
    <s v="Valid"/>
  </r>
  <r>
    <x v="193"/>
    <x v="4"/>
    <s v="Meta Ads"/>
    <x v="0"/>
    <s v="Healthcare"/>
    <x v="1"/>
    <n v="123372"/>
    <n v="3355"/>
    <n v="2.7199999999999998E-2"/>
    <n v="2.2999999999999998"/>
    <n v="7716.5"/>
    <n v="224"/>
    <n v="34.450000000000003"/>
    <n v="57352.38"/>
    <n v="49635.88"/>
    <n v="6.4324343938314001"/>
    <n v="7.43"/>
    <s v="High"/>
    <s v="Valid"/>
  </r>
  <r>
    <x v="112"/>
    <x v="9"/>
    <s v="Google Ads"/>
    <x v="0"/>
    <s v="E-commerce"/>
    <x v="0"/>
    <n v="104464"/>
    <n v="4314"/>
    <n v="4.1300000000000003E-2"/>
    <n v="2.2599999999999998"/>
    <n v="9749.64"/>
    <n v="82"/>
    <n v="118.9"/>
    <n v="10226.11"/>
    <n v="476.47000000000116"/>
    <n v="4.8870522398775873E-2"/>
    <n v="1.05"/>
    <s v="Medium"/>
    <s v="Valid"/>
  </r>
  <r>
    <x v="173"/>
    <x v="1"/>
    <s v="Google Ads"/>
    <x v="1"/>
    <s v="SaaS"/>
    <x v="1"/>
    <n v="113502"/>
    <n v="2235"/>
    <n v="1.9699999999999999E-2"/>
    <n v="1.21"/>
    <n v="2704.35"/>
    <n v="34"/>
    <n v="79.540000000000006"/>
    <n v="6126.9"/>
    <n v="3422.5499999999997"/>
    <n v="1.2655721337844583"/>
    <n v="2.27"/>
    <s v="Medium"/>
    <s v="Valid"/>
  </r>
  <r>
    <x v="350"/>
    <x v="7"/>
    <s v="Google Ads"/>
    <x v="2"/>
    <s v="Healthcare"/>
    <x v="6"/>
    <n v="95196"/>
    <n v="3170"/>
    <n v="3.3300000000000003E-2"/>
    <n v="1.05"/>
    <n v="3328.5"/>
    <n v="170"/>
    <n v="19.579999999999998"/>
    <n v="13047.52"/>
    <n v="9719.02"/>
    <n v="2.9199399128736672"/>
    <n v="3.92"/>
    <s v="High"/>
    <s v="Valid"/>
  </r>
  <r>
    <x v="232"/>
    <x v="0"/>
    <s v="Google Ads"/>
    <x v="3"/>
    <s v="Healthcare"/>
    <x v="1"/>
    <n v="86362"/>
    <n v="2547"/>
    <n v="2.9499999999999998E-2"/>
    <n v="1.41"/>
    <n v="3591.27"/>
    <n v="164"/>
    <n v="21.9"/>
    <n v="33307.300000000003"/>
    <n v="29716.030000000002"/>
    <n v="8.2745184851041564"/>
    <n v="9.27"/>
    <s v="High"/>
    <s v="Valid"/>
  </r>
  <r>
    <x v="192"/>
    <x v="1"/>
    <s v="Google Ads"/>
    <x v="0"/>
    <s v="E-commerce"/>
    <x v="2"/>
    <n v="78532"/>
    <n v="4735"/>
    <n v="6.0299999999999999E-2"/>
    <n v="2.82"/>
    <n v="13352.7"/>
    <n v="310"/>
    <n v="43.07"/>
    <n v="45765.16"/>
    <n v="32412.460000000003"/>
    <n v="2.4274086888794026"/>
    <n v="3.43"/>
    <s v="High"/>
    <s v="Valid"/>
  </r>
  <r>
    <x v="289"/>
    <x v="11"/>
    <s v="Google Ads"/>
    <x v="2"/>
    <s v="Healthcare"/>
    <x v="4"/>
    <n v="184081"/>
    <n v="5135"/>
    <n v="2.7900000000000001E-2"/>
    <n v="2.1800000000000002"/>
    <n v="11194.3"/>
    <n v="96"/>
    <n v="116.61"/>
    <n v="24545.05"/>
    <n v="13350.75"/>
    <n v="1.1926382176643471"/>
    <n v="2.19"/>
    <s v="Medium"/>
    <s v="Valid"/>
  </r>
  <r>
    <x v="105"/>
    <x v="0"/>
    <s v="Meta Ads"/>
    <x v="3"/>
    <s v="Healthcare"/>
    <x v="4"/>
    <n v="93966"/>
    <n v="2104"/>
    <n v="2.24E-2"/>
    <n v="0.97"/>
    <n v="2040.88"/>
    <n v="157"/>
    <n v="13"/>
    <n v="6975.9"/>
    <n v="4935.0199999999995"/>
    <n v="2.4180843557680998"/>
    <n v="3.42"/>
    <s v="High"/>
    <s v="Valid"/>
  </r>
  <r>
    <x v="353"/>
    <x v="10"/>
    <s v="Google Ads"/>
    <x v="1"/>
    <s v="SaaS"/>
    <x v="0"/>
    <n v="28667"/>
    <n v="1338"/>
    <n v="4.6699999999999998E-2"/>
    <n v="2.9"/>
    <n v="3880.2"/>
    <n v="24"/>
    <n v="161.66999999999999"/>
    <n v="3421.56"/>
    <n v="-458.63999999999987"/>
    <n v="-0.11820009277872272"/>
    <n v="0.88"/>
    <s v="Low"/>
    <s v="Valid"/>
  </r>
  <r>
    <x v="0"/>
    <x v="0"/>
    <s v="Google Ads"/>
    <x v="3"/>
    <s v="Healthcare"/>
    <x v="6"/>
    <n v="154239"/>
    <n v="7465"/>
    <n v="4.8399999999999999E-2"/>
    <n v="3.2"/>
    <n v="23888"/>
    <n v="484"/>
    <n v="49.36"/>
    <n v="25632.04"/>
    <n v="1744.0400000000009"/>
    <n v="7.3009042196918991E-2"/>
    <n v="1.07"/>
    <s v="Medium"/>
    <s v="Valid"/>
  </r>
  <r>
    <x v="7"/>
    <x v="5"/>
    <s v="Meta Ads"/>
    <x v="1"/>
    <s v="Fintech"/>
    <x v="0"/>
    <n v="103576"/>
    <n v="1263"/>
    <n v="1.2200000000000001E-2"/>
    <n v="0.47"/>
    <n v="593.61"/>
    <n v="22"/>
    <n v="26.98"/>
    <n v="5190.25"/>
    <n v="4596.6400000000003"/>
    <n v="7.7435353178012507"/>
    <n v="8.74"/>
    <s v="High"/>
    <s v="Valid"/>
  </r>
  <r>
    <x v="136"/>
    <x v="7"/>
    <s v="TikTok Ads"/>
    <x v="1"/>
    <s v="EdTech"/>
    <x v="5"/>
    <n v="111154"/>
    <n v="5124"/>
    <n v="4.6100000000000002E-2"/>
    <n v="0.89"/>
    <n v="4560.3599999999997"/>
    <n v="368"/>
    <n v="12.39"/>
    <n v="82164.399999999994"/>
    <n v="77604.039999999994"/>
    <n v="17.017086370374269"/>
    <n v="18.02"/>
    <s v="High"/>
    <s v="Valid"/>
  </r>
  <r>
    <x v="113"/>
    <x v="3"/>
    <s v="Google Ads"/>
    <x v="0"/>
    <s v="E-commerce"/>
    <x v="2"/>
    <n v="104456"/>
    <n v="6403"/>
    <n v="6.13E-2"/>
    <n v="2.11"/>
    <n v="13510.33"/>
    <n v="440"/>
    <n v="30.71"/>
    <n v="111130.68"/>
    <n v="97620.349999999991"/>
    <n v="7.2256081087582604"/>
    <n v="8.23"/>
    <s v="High"/>
    <s v="Valid"/>
  </r>
  <r>
    <x v="120"/>
    <x v="3"/>
    <s v="Meta Ads"/>
    <x v="3"/>
    <s v="SaaS"/>
    <x v="0"/>
    <n v="173307"/>
    <n v="3292"/>
    <n v="1.9E-2"/>
    <n v="1.03"/>
    <n v="3390.76"/>
    <n v="74"/>
    <n v="45.82"/>
    <n v="21574.44"/>
    <n v="18183.68"/>
    <n v="5.3627151435076499"/>
    <n v="6.36"/>
    <s v="High"/>
    <s v="Valid"/>
  </r>
  <r>
    <x v="194"/>
    <x v="11"/>
    <s v="Google Ads"/>
    <x v="3"/>
    <s v="Fintech"/>
    <x v="6"/>
    <n v="197459"/>
    <n v="5667"/>
    <n v="2.87E-2"/>
    <n v="3.56"/>
    <n v="20174.52"/>
    <n v="105"/>
    <n v="192.14"/>
    <n v="17723.39"/>
    <n v="-2451.130000000001"/>
    <n v="-0.12149632308476241"/>
    <n v="0.88"/>
    <s v="Low"/>
    <s v="Valid"/>
  </r>
  <r>
    <x v="218"/>
    <x v="7"/>
    <s v="TikTok Ads"/>
    <x v="1"/>
    <s v="EdTech"/>
    <x v="1"/>
    <n v="154676"/>
    <n v="5970"/>
    <n v="3.8600000000000002E-2"/>
    <n v="1.0900000000000001"/>
    <n v="6507.3"/>
    <n v="107"/>
    <n v="60.82"/>
    <n v="14099.39"/>
    <n v="7592.0899999999992"/>
    <n v="1.1667035483226529"/>
    <n v="2.17"/>
    <s v="Medium"/>
    <s v="Valid"/>
  </r>
  <r>
    <x v="282"/>
    <x v="5"/>
    <s v="Meta Ads"/>
    <x v="1"/>
    <s v="Fintech"/>
    <x v="5"/>
    <n v="138528"/>
    <n v="3698"/>
    <n v="2.6700000000000002E-2"/>
    <n v="2.27"/>
    <n v="8394.4599999999991"/>
    <n v="264"/>
    <n v="31.8"/>
    <n v="34788.99"/>
    <n v="26394.53"/>
    <n v="3.1442796796935122"/>
    <n v="4.1399999999999997"/>
    <s v="High"/>
    <s v="Valid"/>
  </r>
  <r>
    <x v="174"/>
    <x v="4"/>
    <s v="Google Ads"/>
    <x v="3"/>
    <s v="SaaS"/>
    <x v="4"/>
    <n v="188490"/>
    <n v="6879"/>
    <n v="3.6499999999999998E-2"/>
    <n v="2.84"/>
    <n v="19536.36"/>
    <n v="279"/>
    <n v="70.02"/>
    <n v="18268.77"/>
    <n v="-1267.5900000000001"/>
    <n v="-6.4883632365496963E-2"/>
    <n v="0.94"/>
    <s v="Low"/>
    <s v="Valid"/>
  </r>
  <r>
    <x v="178"/>
    <x v="7"/>
    <s v="TikTok Ads"/>
    <x v="3"/>
    <s v="SaaS"/>
    <x v="2"/>
    <n v="155929"/>
    <n v="6408"/>
    <n v="4.1099999999999998E-2"/>
    <n v="0.97"/>
    <n v="6215.76"/>
    <n v="481"/>
    <n v="12.92"/>
    <n v="51123.92"/>
    <n v="44908.159999999996"/>
    <n v="7.2248864177510059"/>
    <n v="8.2200000000000006"/>
    <s v="High"/>
    <s v="Valid"/>
  </r>
  <r>
    <x v="213"/>
    <x v="8"/>
    <s v="Google Ads"/>
    <x v="3"/>
    <s v="EdTech"/>
    <x v="4"/>
    <n v="177220"/>
    <n v="4607"/>
    <n v="2.5999999999999999E-2"/>
    <n v="2.3199999999999998"/>
    <n v="10688.24"/>
    <n v="114"/>
    <n v="93.76"/>
    <n v="9297.0300000000007"/>
    <n v="-1391.2099999999991"/>
    <n v="-0.13016268347267643"/>
    <n v="0.87"/>
    <s v="Low"/>
    <s v="Valid"/>
  </r>
  <r>
    <x v="357"/>
    <x v="3"/>
    <s v="Meta Ads"/>
    <x v="1"/>
    <s v="E-commerce"/>
    <x v="4"/>
    <n v="188552"/>
    <n v="6373"/>
    <n v="3.3799999999999997E-2"/>
    <n v="0.65"/>
    <n v="4142.45"/>
    <n v="129"/>
    <n v="32.11"/>
    <n v="8973.49"/>
    <n v="4831.04"/>
    <n v="1.1662277154823837"/>
    <n v="2.17"/>
    <s v="Medium"/>
    <s v="Valid"/>
  </r>
  <r>
    <x v="118"/>
    <x v="7"/>
    <s v="Google Ads"/>
    <x v="1"/>
    <s v="E-commerce"/>
    <x v="4"/>
    <n v="136460"/>
    <n v="4462"/>
    <n v="3.27E-2"/>
    <n v="0.88"/>
    <n v="3926.56"/>
    <n v="322"/>
    <n v="12.19"/>
    <n v="59937.98"/>
    <n v="56011.420000000006"/>
    <n v="14.264755918666722"/>
    <n v="15.26"/>
    <s v="High"/>
    <s v="Valid"/>
  </r>
  <r>
    <x v="358"/>
    <x v="3"/>
    <s v="TikTok Ads"/>
    <x v="3"/>
    <s v="Healthcare"/>
    <x v="4"/>
    <n v="124614"/>
    <n v="4573"/>
    <n v="3.6700000000000003E-2"/>
    <n v="0.28999999999999998"/>
    <n v="1326.17"/>
    <n v="240"/>
    <n v="5.53"/>
    <n v="46988.2"/>
    <n v="45662.03"/>
    <n v="34.43150576472096"/>
    <n v="35.43"/>
    <s v="High"/>
    <s v="Valid"/>
  </r>
  <r>
    <x v="78"/>
    <x v="5"/>
    <s v="Meta Ads"/>
    <x v="1"/>
    <s v="SaaS"/>
    <x v="5"/>
    <n v="28359"/>
    <n v="612"/>
    <n v="2.1600000000000001E-2"/>
    <n v="0.75"/>
    <n v="459"/>
    <n v="30"/>
    <n v="15.3"/>
    <n v="6591.07"/>
    <n v="6132.07"/>
    <n v="13.359629629629628"/>
    <n v="14.36"/>
    <s v="High"/>
    <s v="Valid"/>
  </r>
  <r>
    <x v="192"/>
    <x v="1"/>
    <s v="Meta Ads"/>
    <x v="0"/>
    <s v="E-commerce"/>
    <x v="2"/>
    <n v="81759"/>
    <n v="1316"/>
    <n v="1.61E-2"/>
    <n v="0.9"/>
    <n v="1184.4000000000001"/>
    <n v="46"/>
    <n v="25.75"/>
    <n v="6171.89"/>
    <n v="4987.49"/>
    <n v="4.2109844647078685"/>
    <n v="5.21"/>
    <s v="High"/>
    <s v="Valid"/>
  </r>
  <r>
    <x v="7"/>
    <x v="5"/>
    <s v="Meta Ads"/>
    <x v="1"/>
    <s v="E-commerce"/>
    <x v="3"/>
    <n v="131230"/>
    <n v="2139"/>
    <n v="1.6299999999999999E-2"/>
    <n v="2.23"/>
    <n v="4769.97"/>
    <n v="105"/>
    <n v="45.43"/>
    <n v="24738.73"/>
    <n v="19968.759999999998"/>
    <n v="4.1863491803931678"/>
    <n v="5.19"/>
    <s v="High"/>
    <s v="Valid"/>
  </r>
  <r>
    <x v="331"/>
    <x v="1"/>
    <s v="TikTok Ads"/>
    <x v="0"/>
    <s v="E-commerce"/>
    <x v="4"/>
    <n v="49659"/>
    <n v="2413"/>
    <n v="4.8599999999999997E-2"/>
    <n v="1.45"/>
    <n v="3498.85"/>
    <n v="191"/>
    <n v="18.32"/>
    <n v="38157.72"/>
    <n v="34658.870000000003"/>
    <n v="9.9057890449719199"/>
    <n v="10.91"/>
    <s v="High"/>
    <s v="Valid"/>
  </r>
  <r>
    <x v="110"/>
    <x v="2"/>
    <s v="TikTok Ads"/>
    <x v="3"/>
    <s v="Fintech"/>
    <x v="3"/>
    <n v="103029"/>
    <n v="6830"/>
    <n v="6.6299999999999998E-2"/>
    <n v="0.52"/>
    <n v="3551.6"/>
    <n v="148"/>
    <n v="24"/>
    <n v="14545.74"/>
    <n v="10994.14"/>
    <n v="3.0955456695573824"/>
    <n v="4.0999999999999996"/>
    <s v="High"/>
    <s v="Valid"/>
  </r>
  <r>
    <x v="331"/>
    <x v="1"/>
    <s v="TikTok Ads"/>
    <x v="2"/>
    <s v="Healthcare"/>
    <x v="4"/>
    <n v="52368"/>
    <n v="3351"/>
    <n v="6.4000000000000001E-2"/>
    <n v="0.61"/>
    <n v="2044.11"/>
    <n v="117"/>
    <n v="17.47"/>
    <n v="12829.28"/>
    <n v="10785.17"/>
    <n v="5.2762180117508359"/>
    <n v="6.28"/>
    <s v="High"/>
    <s v="Valid"/>
  </r>
  <r>
    <x v="2"/>
    <x v="1"/>
    <s v="TikTok Ads"/>
    <x v="1"/>
    <s v="EdTech"/>
    <x v="4"/>
    <n v="144585"/>
    <n v="8357"/>
    <n v="5.7799999999999997E-2"/>
    <n v="0.52"/>
    <n v="4345.6400000000003"/>
    <n v="412"/>
    <n v="10.55"/>
    <n v="78373.31"/>
    <n v="74027.67"/>
    <n v="17.034929262433149"/>
    <n v="18.03"/>
    <s v="High"/>
    <s v="Valid"/>
  </r>
  <r>
    <x v="127"/>
    <x v="11"/>
    <s v="TikTok Ads"/>
    <x v="2"/>
    <s v="Fintech"/>
    <x v="1"/>
    <n v="40308"/>
    <n v="3853"/>
    <n v="9.5600000000000004E-2"/>
    <n v="1.0900000000000001"/>
    <n v="4199.7700000000004"/>
    <n v="291"/>
    <n v="14.43"/>
    <n v="33059.93"/>
    <n v="28860.16"/>
    <n v="6.8718429818775784"/>
    <n v="7.87"/>
    <s v="High"/>
    <s v="Valid"/>
  </r>
  <r>
    <x v="233"/>
    <x v="4"/>
    <s v="TikTok Ads"/>
    <x v="0"/>
    <s v="E-commerce"/>
    <x v="3"/>
    <n v="43635"/>
    <n v="2469"/>
    <n v="5.6599999999999998E-2"/>
    <n v="1.21"/>
    <n v="2987.49"/>
    <n v="133"/>
    <n v="22.46"/>
    <n v="19667.27"/>
    <n v="16679.78"/>
    <n v="5.583208646723504"/>
    <n v="6.58"/>
    <s v="High"/>
    <s v="Valid"/>
  </r>
  <r>
    <x v="233"/>
    <x v="4"/>
    <s v="Meta Ads"/>
    <x v="0"/>
    <s v="EdTech"/>
    <x v="5"/>
    <n v="164074"/>
    <n v="6152"/>
    <n v="3.7499999999999999E-2"/>
    <n v="0.95"/>
    <n v="5844.4"/>
    <n v="360"/>
    <n v="16.23"/>
    <n v="47241.24"/>
    <n v="41396.839999999997"/>
    <n v="7.0831633700636507"/>
    <n v="8.08"/>
    <s v="High"/>
    <s v="Valid"/>
  </r>
  <r>
    <x v="14"/>
    <x v="4"/>
    <s v="Meta Ads"/>
    <x v="2"/>
    <s v="Healthcare"/>
    <x v="4"/>
    <n v="107300"/>
    <n v="2693"/>
    <n v="2.5100000000000001E-2"/>
    <n v="0.56999999999999995"/>
    <n v="1535.01"/>
    <n v="153"/>
    <n v="10.029999999999999"/>
    <n v="18121.16"/>
    <n v="16586.150000000001"/>
    <n v="10.805239053817241"/>
    <n v="11.81"/>
    <s v="High"/>
    <s v="Valid"/>
  </r>
  <r>
    <x v="231"/>
    <x v="6"/>
    <s v="Meta Ads"/>
    <x v="3"/>
    <s v="EdTech"/>
    <x v="5"/>
    <n v="177443"/>
    <n v="4400"/>
    <n v="2.4799999999999999E-2"/>
    <n v="2.17"/>
    <n v="9548"/>
    <n v="231"/>
    <n v="41.33"/>
    <n v="43094.26"/>
    <n v="33546.26"/>
    <n v="3.5134331797235023"/>
    <n v="4.51"/>
    <s v="High"/>
    <s v="Valid"/>
  </r>
  <r>
    <x v="322"/>
    <x v="5"/>
    <s v="TikTok Ads"/>
    <x v="2"/>
    <s v="EdTech"/>
    <x v="0"/>
    <n v="141268"/>
    <n v="7402"/>
    <n v="5.2400000000000002E-2"/>
    <n v="1.24"/>
    <n v="9178.48"/>
    <n v="335"/>
    <n v="27.4"/>
    <n v="31326.97"/>
    <n v="22148.49"/>
    <n v="2.4130890953621953"/>
    <n v="3.41"/>
    <s v="High"/>
    <s v="Valid"/>
  </r>
  <r>
    <x v="12"/>
    <x v="8"/>
    <s v="TikTok Ads"/>
    <x v="3"/>
    <s v="EdTech"/>
    <x v="3"/>
    <n v="145631"/>
    <n v="4194"/>
    <n v="2.8799999999999999E-2"/>
    <n v="0.84"/>
    <n v="3522.96"/>
    <n v="59"/>
    <n v="59.71"/>
    <n v="15427.34"/>
    <n v="11904.380000000001"/>
    <n v="3.379084633376479"/>
    <n v="4.38"/>
    <s v="High"/>
    <s v="Valid"/>
  </r>
  <r>
    <x v="134"/>
    <x v="6"/>
    <s v="TikTok Ads"/>
    <x v="0"/>
    <s v="EdTech"/>
    <x v="4"/>
    <n v="191041"/>
    <n v="7393"/>
    <n v="3.8699999999999998E-2"/>
    <n v="0.53"/>
    <n v="3918.29"/>
    <n v="446"/>
    <n v="8.7899999999999991"/>
    <n v="15789.02"/>
    <n v="11870.73"/>
    <n v="3.0295690211801576"/>
    <n v="4.03"/>
    <s v="High"/>
    <s v="Valid"/>
  </r>
  <r>
    <x v="9"/>
    <x v="6"/>
    <s v="TikTok Ads"/>
    <x v="1"/>
    <s v="Healthcare"/>
    <x v="1"/>
    <n v="72145"/>
    <n v="3058"/>
    <n v="4.24E-2"/>
    <n v="0.77"/>
    <n v="2354.66"/>
    <n v="78"/>
    <n v="30.19"/>
    <n v="7543.67"/>
    <n v="5189.01"/>
    <n v="2.2037194329542271"/>
    <n v="3.2"/>
    <s v="High"/>
    <s v="Valid"/>
  </r>
  <r>
    <x v="318"/>
    <x v="11"/>
    <s v="Meta Ads"/>
    <x v="1"/>
    <s v="SaaS"/>
    <x v="0"/>
    <n v="113447"/>
    <n v="1826"/>
    <n v="1.61E-2"/>
    <n v="1.73"/>
    <n v="3158.98"/>
    <n v="24"/>
    <n v="131.62"/>
    <n v="4477.79"/>
    <n v="1318.81"/>
    <n v="0.41747969281223685"/>
    <n v="1.42"/>
    <s v="Medium"/>
    <s v="Valid"/>
  </r>
  <r>
    <x v="275"/>
    <x v="9"/>
    <s v="TikTok Ads"/>
    <x v="0"/>
    <s v="Healthcare"/>
    <x v="5"/>
    <n v="195512"/>
    <n v="8328"/>
    <n v="4.2599999999999999E-2"/>
    <n v="1.63"/>
    <n v="13574.64"/>
    <n v="198"/>
    <n v="68.56"/>
    <n v="14486.58"/>
    <n v="911.94000000000051"/>
    <n v="6.7179682113116854E-2"/>
    <n v="1.07"/>
    <s v="Medium"/>
    <s v="Valid"/>
  </r>
  <r>
    <x v="237"/>
    <x v="1"/>
    <s v="Meta Ads"/>
    <x v="0"/>
    <s v="SaaS"/>
    <x v="2"/>
    <n v="149446"/>
    <n v="6456"/>
    <n v="4.3200000000000002E-2"/>
    <n v="2.19"/>
    <n v="14138.64"/>
    <n v="397"/>
    <n v="35.61"/>
    <n v="118768.88"/>
    <n v="104630.24"/>
    <n v="7.4003044140030445"/>
    <n v="8.4"/>
    <s v="High"/>
    <s v="Valid"/>
  </r>
  <r>
    <x v="288"/>
    <x v="7"/>
    <s v="TikTok Ads"/>
    <x v="1"/>
    <s v="SaaS"/>
    <x v="3"/>
    <n v="154307"/>
    <n v="9212"/>
    <n v="5.9700000000000003E-2"/>
    <n v="1.3"/>
    <n v="11975.6"/>
    <n v="700"/>
    <n v="17.11"/>
    <n v="61706.239999999998"/>
    <n v="49730.64"/>
    <n v="4.152663749624236"/>
    <n v="5.15"/>
    <s v="High"/>
    <s v="Valid"/>
  </r>
  <r>
    <x v="27"/>
    <x v="6"/>
    <s v="Meta Ads"/>
    <x v="3"/>
    <s v="Healthcare"/>
    <x v="5"/>
    <n v="149675"/>
    <n v="3143"/>
    <n v="2.1000000000000001E-2"/>
    <n v="1.55"/>
    <n v="4871.6499999999996"/>
    <n v="147"/>
    <n v="33.14"/>
    <n v="33184.47"/>
    <n v="28312.82"/>
    <n v="5.8117516652468879"/>
    <n v="6.81"/>
    <s v="High"/>
    <s v="Valid"/>
  </r>
  <r>
    <x v="7"/>
    <x v="5"/>
    <s v="TikTok Ads"/>
    <x v="2"/>
    <s v="Healthcare"/>
    <x v="0"/>
    <n v="184065"/>
    <n v="6350"/>
    <n v="3.4500000000000003E-2"/>
    <n v="1.34"/>
    <n v="8509"/>
    <n v="273"/>
    <n v="31.17"/>
    <n v="39093.51"/>
    <n v="30584.510000000002"/>
    <n v="3.5943718415795045"/>
    <n v="4.59"/>
    <s v="High"/>
    <s v="Valid"/>
  </r>
  <r>
    <x v="149"/>
    <x v="3"/>
    <s v="TikTok Ads"/>
    <x v="0"/>
    <s v="EdTech"/>
    <x v="3"/>
    <n v="64484"/>
    <n v="2966"/>
    <n v="4.5999999999999999E-2"/>
    <n v="1.25"/>
    <n v="3707.5"/>
    <n v="227"/>
    <n v="16.329999999999998"/>
    <n v="27232.61"/>
    <n v="23525.11"/>
    <n v="6.3452757923128793"/>
    <n v="7.35"/>
    <s v="High"/>
    <s v="Valid"/>
  </r>
  <r>
    <x v="185"/>
    <x v="10"/>
    <s v="Meta Ads"/>
    <x v="1"/>
    <s v="EdTech"/>
    <x v="0"/>
    <n v="148088"/>
    <n v="4561"/>
    <n v="3.0800000000000001E-2"/>
    <n v="1.36"/>
    <n v="6202.96"/>
    <n v="173"/>
    <n v="35.86"/>
    <n v="48056.97"/>
    <n v="41854.01"/>
    <n v="6.7474254227014203"/>
    <n v="7.75"/>
    <s v="High"/>
    <s v="Valid"/>
  </r>
  <r>
    <x v="350"/>
    <x v="7"/>
    <s v="Google Ads"/>
    <x v="3"/>
    <s v="SaaS"/>
    <x v="5"/>
    <n v="28068"/>
    <n v="990"/>
    <n v="3.5299999999999998E-2"/>
    <n v="1.01"/>
    <n v="999.9"/>
    <n v="28"/>
    <n v="35.71"/>
    <n v="5661.1"/>
    <n v="4661.2000000000007"/>
    <n v="4.6616661666166621"/>
    <n v="5.66"/>
    <s v="High"/>
    <s v="Valid"/>
  </r>
  <r>
    <x v="248"/>
    <x v="11"/>
    <s v="TikTok Ads"/>
    <x v="0"/>
    <s v="Healthcare"/>
    <x v="2"/>
    <n v="131385"/>
    <n v="6910"/>
    <n v="5.2600000000000001E-2"/>
    <n v="0.34"/>
    <n v="2349.4"/>
    <n v="206"/>
    <n v="11.4"/>
    <n v="6729.96"/>
    <n v="4380.5599999999995"/>
    <n v="1.864544138929088"/>
    <n v="2.86"/>
    <s v="Medium"/>
    <s v="Valid"/>
  </r>
  <r>
    <x v="51"/>
    <x v="8"/>
    <s v="TikTok Ads"/>
    <x v="0"/>
    <s v="EdTech"/>
    <x v="0"/>
    <n v="77882"/>
    <n v="3029"/>
    <n v="3.8899999999999997E-2"/>
    <n v="0.47"/>
    <n v="1423.63"/>
    <n v="228"/>
    <n v="6.24"/>
    <n v="44433.62"/>
    <n v="43009.990000000005"/>
    <n v="30.211494559681942"/>
    <n v="31.21"/>
    <s v="High"/>
    <s v="Valid"/>
  </r>
  <r>
    <x v="99"/>
    <x v="7"/>
    <s v="TikTok Ads"/>
    <x v="2"/>
    <s v="Healthcare"/>
    <x v="0"/>
    <n v="90066"/>
    <n v="6025"/>
    <n v="6.6900000000000001E-2"/>
    <n v="1.77"/>
    <n v="10664.25"/>
    <n v="417"/>
    <n v="25.57"/>
    <n v="40275.46"/>
    <n v="29611.21"/>
    <n v="2.7766800290690861"/>
    <n v="3.78"/>
    <s v="High"/>
    <s v="Valid"/>
  </r>
  <r>
    <x v="85"/>
    <x v="10"/>
    <s v="Meta Ads"/>
    <x v="2"/>
    <s v="E-commerce"/>
    <x v="5"/>
    <n v="186775"/>
    <n v="2409"/>
    <n v="1.29E-2"/>
    <n v="0.69"/>
    <n v="1662.21"/>
    <n v="107"/>
    <n v="15.53"/>
    <n v="10079.709999999999"/>
    <n v="8417.5"/>
    <n v="5.0640412462925859"/>
    <n v="6.06"/>
    <s v="High"/>
    <s v="Valid"/>
  </r>
  <r>
    <x v="78"/>
    <x v="5"/>
    <s v="Google Ads"/>
    <x v="1"/>
    <s v="Fintech"/>
    <x v="5"/>
    <n v="57328"/>
    <n v="2161"/>
    <n v="3.7699999999999997E-2"/>
    <n v="1.53"/>
    <n v="3306.33"/>
    <n v="99"/>
    <n v="33.4"/>
    <n v="17903.97"/>
    <n v="14597.640000000001"/>
    <n v="4.4150583880011984"/>
    <n v="5.42"/>
    <s v="High"/>
    <s v="Valid"/>
  </r>
  <r>
    <x v="4"/>
    <x v="2"/>
    <s v="Google Ads"/>
    <x v="1"/>
    <s v="SaaS"/>
    <x v="5"/>
    <n v="87570"/>
    <n v="3415"/>
    <n v="3.9E-2"/>
    <n v="2.57"/>
    <n v="8776.5499999999993"/>
    <n v="236"/>
    <n v="37.19"/>
    <n v="46705.85"/>
    <n v="37929.300000000003"/>
    <n v="4.3216639795819551"/>
    <n v="5.32"/>
    <s v="High"/>
    <s v="Valid"/>
  </r>
  <r>
    <x v="297"/>
    <x v="1"/>
    <s v="Meta Ads"/>
    <x v="1"/>
    <s v="SaaS"/>
    <x v="0"/>
    <n v="54864"/>
    <n v="1876"/>
    <n v="3.4200000000000001E-2"/>
    <n v="1.52"/>
    <n v="2851.52"/>
    <n v="121"/>
    <n v="23.57"/>
    <n v="23640.39"/>
    <n v="20788.87"/>
    <n v="7.2904521097519916"/>
    <n v="8.2899999999999991"/>
    <s v="High"/>
    <s v="Valid"/>
  </r>
  <r>
    <x v="231"/>
    <x v="6"/>
    <s v="Google Ads"/>
    <x v="3"/>
    <s v="SaaS"/>
    <x v="6"/>
    <n v="91861"/>
    <n v="2535"/>
    <n v="2.76E-2"/>
    <n v="1.24"/>
    <n v="3143.4"/>
    <n v="137"/>
    <n v="22.94"/>
    <n v="8299.82"/>
    <n v="5156.42"/>
    <n v="1.6403957498250301"/>
    <n v="2.64"/>
    <s v="Medium"/>
    <s v="Valid"/>
  </r>
  <r>
    <x v="100"/>
    <x v="1"/>
    <s v="Meta Ads"/>
    <x v="0"/>
    <s v="E-commerce"/>
    <x v="6"/>
    <n v="16920"/>
    <n v="389"/>
    <n v="2.3E-2"/>
    <n v="1.23"/>
    <n v="478.47"/>
    <n v="15"/>
    <n v="31.9"/>
    <n v="3222.58"/>
    <n v="2744.1099999999997"/>
    <n v="5.7351767090935679"/>
    <n v="6.74"/>
    <s v="High"/>
    <s v="Valid"/>
  </r>
  <r>
    <x v="41"/>
    <x v="4"/>
    <s v="Meta Ads"/>
    <x v="2"/>
    <s v="Healthcare"/>
    <x v="5"/>
    <n v="117421"/>
    <n v="3428"/>
    <n v="2.92E-2"/>
    <n v="0.61"/>
    <n v="2091.08"/>
    <n v="99"/>
    <n v="21.12"/>
    <n v="25079.21"/>
    <n v="22988.129999999997"/>
    <n v="10.993424450523174"/>
    <n v="11.99"/>
    <s v="High"/>
    <s v="Valid"/>
  </r>
  <r>
    <x v="332"/>
    <x v="1"/>
    <s v="Google Ads"/>
    <x v="3"/>
    <s v="EdTech"/>
    <x v="1"/>
    <n v="146332"/>
    <n v="7184"/>
    <n v="4.9099999999999998E-2"/>
    <n v="2.8"/>
    <n v="20115.2"/>
    <n v="366"/>
    <n v="54.96"/>
    <n v="40775.67"/>
    <n v="20660.469999999998"/>
    <n v="1.0271073615972"/>
    <n v="2.0299999999999998"/>
    <s v="Medium"/>
    <s v="Valid"/>
  </r>
  <r>
    <x v="56"/>
    <x v="0"/>
    <s v="Meta Ads"/>
    <x v="2"/>
    <s v="SaaS"/>
    <x v="2"/>
    <n v="144993"/>
    <n v="2783"/>
    <n v="1.9199999999999998E-2"/>
    <n v="1.47"/>
    <n v="4091.01"/>
    <n v="120"/>
    <n v="34.090000000000003"/>
    <n v="10562.14"/>
    <n v="6471.1299999999992"/>
    <n v="1.5817927602230253"/>
    <n v="2.58"/>
    <s v="Medium"/>
    <s v="Valid"/>
  </r>
  <r>
    <x v="185"/>
    <x v="10"/>
    <s v="Google Ads"/>
    <x v="3"/>
    <s v="Fintech"/>
    <x v="4"/>
    <n v="35702"/>
    <n v="999"/>
    <n v="2.8000000000000001E-2"/>
    <n v="1.58"/>
    <n v="1578.42"/>
    <n v="15"/>
    <n v="105.23"/>
    <n v="2820.45"/>
    <n v="1242.0299999999997"/>
    <n v="0.78688181852738792"/>
    <n v="1.79"/>
    <s v="Medium"/>
    <s v="Valid"/>
  </r>
  <r>
    <x v="218"/>
    <x v="7"/>
    <s v="Google Ads"/>
    <x v="2"/>
    <s v="Healthcare"/>
    <x v="3"/>
    <n v="184976"/>
    <n v="6270"/>
    <n v="3.39E-2"/>
    <n v="2.66"/>
    <n v="16678.2"/>
    <n v="412"/>
    <n v="40.479999999999997"/>
    <n v="40433.910000000003"/>
    <n v="23755.710000000003"/>
    <n v="1.4243569449940643"/>
    <n v="2.42"/>
    <s v="Medium"/>
    <s v="Valid"/>
  </r>
  <r>
    <x v="138"/>
    <x v="1"/>
    <s v="Google Ads"/>
    <x v="0"/>
    <s v="E-commerce"/>
    <x v="0"/>
    <n v="119235"/>
    <n v="5258"/>
    <n v="4.41E-2"/>
    <n v="1.1000000000000001"/>
    <n v="5783.8"/>
    <n v="141"/>
    <n v="41.02"/>
    <n v="24150.02"/>
    <n v="18366.22"/>
    <n v="3.1754590407690446"/>
    <n v="4.18"/>
    <s v="High"/>
    <s v="Valid"/>
  </r>
  <r>
    <x v="6"/>
    <x v="4"/>
    <s v="Google Ads"/>
    <x v="2"/>
    <s v="EdTech"/>
    <x v="5"/>
    <n v="127211"/>
    <n v="3968"/>
    <n v="3.1199999999999999E-2"/>
    <n v="2.63"/>
    <n v="10435.84"/>
    <n v="194"/>
    <n v="53.79"/>
    <n v="37337.18"/>
    <n v="26901.34"/>
    <n v="2.577783867901386"/>
    <n v="3.58"/>
    <s v="High"/>
    <s v="Valid"/>
  </r>
  <r>
    <x v="171"/>
    <x v="9"/>
    <s v="TikTok Ads"/>
    <x v="1"/>
    <s v="Fintech"/>
    <x v="2"/>
    <n v="27584"/>
    <n v="1561"/>
    <n v="5.6599999999999998E-2"/>
    <n v="0.94"/>
    <n v="1467.34"/>
    <n v="93"/>
    <n v="15.78"/>
    <n v="19425.98"/>
    <n v="17958.64"/>
    <n v="12.238908501097225"/>
    <n v="13.24"/>
    <s v="High"/>
    <s v="Valid"/>
  </r>
  <r>
    <x v="111"/>
    <x v="8"/>
    <s v="Google Ads"/>
    <x v="2"/>
    <s v="SaaS"/>
    <x v="3"/>
    <n v="194928"/>
    <n v="9161"/>
    <n v="4.7E-2"/>
    <n v="1.88"/>
    <n v="17222.68"/>
    <n v="571"/>
    <n v="30.16"/>
    <n v="17839.23"/>
    <n v="616.54999999999927"/>
    <n v="3.5798725866125321E-2"/>
    <n v="1.04"/>
    <s v="Medium"/>
    <s v="Valid"/>
  </r>
  <r>
    <x v="89"/>
    <x v="3"/>
    <s v="Google Ads"/>
    <x v="0"/>
    <s v="E-commerce"/>
    <x v="6"/>
    <n v="90349"/>
    <n v="5420"/>
    <n v="0.06"/>
    <n v="3.02"/>
    <n v="16368.4"/>
    <n v="105"/>
    <n v="155.88999999999999"/>
    <n v="16913.07"/>
    <n v="544.67000000000007"/>
    <n v="3.327570196231764E-2"/>
    <n v="1.03"/>
    <s v="Medium"/>
    <s v="Valid"/>
  </r>
  <r>
    <x v="125"/>
    <x v="10"/>
    <s v="TikTok Ads"/>
    <x v="1"/>
    <s v="EdTech"/>
    <x v="3"/>
    <n v="170011"/>
    <n v="10149"/>
    <n v="5.9700000000000003E-2"/>
    <n v="0.55000000000000004"/>
    <n v="5581.95"/>
    <n v="110"/>
    <n v="50.74"/>
    <n v="29617.759999999998"/>
    <n v="24035.809999999998"/>
    <n v="4.3059880507707877"/>
    <n v="5.31"/>
    <s v="High"/>
    <s v="Valid"/>
  </r>
  <r>
    <x v="157"/>
    <x v="4"/>
    <s v="Google Ads"/>
    <x v="3"/>
    <s v="Healthcare"/>
    <x v="2"/>
    <n v="54158"/>
    <n v="3374"/>
    <n v="6.2300000000000001E-2"/>
    <n v="0.81"/>
    <n v="2732.94"/>
    <n v="55"/>
    <n v="49.69"/>
    <n v="5839.17"/>
    <n v="3106.23"/>
    <n v="1.1365891677094997"/>
    <n v="2.14"/>
    <s v="Medium"/>
    <s v="Valid"/>
  </r>
  <r>
    <x v="3"/>
    <x v="0"/>
    <s v="Meta Ads"/>
    <x v="3"/>
    <s v="SaaS"/>
    <x v="1"/>
    <n v="143485"/>
    <n v="3945"/>
    <n v="2.75E-2"/>
    <n v="0.71"/>
    <n v="2800.95"/>
    <n v="187"/>
    <n v="14.98"/>
    <n v="30765.32"/>
    <n v="27964.37"/>
    <n v="9.9838876095610427"/>
    <n v="10.98"/>
    <s v="High"/>
    <s v="Valid"/>
  </r>
  <r>
    <x v="106"/>
    <x v="2"/>
    <s v="Google Ads"/>
    <x v="1"/>
    <s v="Fintech"/>
    <x v="4"/>
    <n v="165470"/>
    <n v="4136"/>
    <n v="2.5000000000000001E-2"/>
    <n v="0.82"/>
    <n v="3391.52"/>
    <n v="56"/>
    <n v="60.56"/>
    <n v="12113.24"/>
    <n v="8721.7199999999993"/>
    <n v="2.5716257017502473"/>
    <n v="3.57"/>
    <s v="High"/>
    <s v="Valid"/>
  </r>
  <r>
    <x v="150"/>
    <x v="8"/>
    <s v="Meta Ads"/>
    <x v="0"/>
    <s v="EdTech"/>
    <x v="2"/>
    <n v="112596"/>
    <n v="2668"/>
    <n v="2.3699999999999999E-2"/>
    <n v="1.2"/>
    <n v="3201.6"/>
    <n v="39"/>
    <n v="82.09"/>
    <n v="10899.61"/>
    <n v="7698.01"/>
    <n v="2.4044259120439779"/>
    <n v="3.4"/>
    <s v="High"/>
    <s v="Valid"/>
  </r>
  <r>
    <x v="247"/>
    <x v="10"/>
    <s v="Google Ads"/>
    <x v="1"/>
    <s v="EdTech"/>
    <x v="4"/>
    <n v="82604"/>
    <n v="5146"/>
    <n v="6.2300000000000001E-2"/>
    <n v="2.88"/>
    <n v="14820.48"/>
    <n v="75"/>
    <n v="197.61"/>
    <n v="11977.45"/>
    <n v="-2843.0299999999988"/>
    <n v="-0.19183116876106571"/>
    <n v="0.81"/>
    <s v="Low"/>
    <s v="Valid"/>
  </r>
  <r>
    <x v="166"/>
    <x v="1"/>
    <s v="Google Ads"/>
    <x v="3"/>
    <s v="Healthcare"/>
    <x v="0"/>
    <n v="162454"/>
    <n v="4337"/>
    <n v="2.6700000000000002E-2"/>
    <n v="1.57"/>
    <n v="6809.09"/>
    <n v="329"/>
    <n v="20.7"/>
    <n v="13568.06"/>
    <n v="6758.9699999999993"/>
    <n v="0.99263925135370501"/>
    <n v="1.99"/>
    <s v="Medium"/>
    <s v="Valid"/>
  </r>
  <r>
    <x v="186"/>
    <x v="3"/>
    <s v="TikTok Ads"/>
    <x v="2"/>
    <s v="E-commerce"/>
    <x v="1"/>
    <n v="143667"/>
    <n v="6852"/>
    <n v="4.7699999999999999E-2"/>
    <n v="1.1299999999999999"/>
    <n v="7742.76"/>
    <n v="142"/>
    <n v="54.53"/>
    <n v="19589.64"/>
    <n v="11846.88"/>
    <n v="1.5300590487113122"/>
    <n v="2.5299999999999998"/>
    <s v="Medium"/>
    <s v="Valid"/>
  </r>
  <r>
    <x v="313"/>
    <x v="2"/>
    <s v="Google Ads"/>
    <x v="1"/>
    <s v="Healthcare"/>
    <x v="6"/>
    <n v="83702"/>
    <n v="3900"/>
    <n v="4.6600000000000003E-2"/>
    <n v="2.1800000000000002"/>
    <n v="8502"/>
    <n v="60"/>
    <n v="141.69999999999999"/>
    <n v="11812.78"/>
    <n v="3310.7800000000007"/>
    <n v="0.38941190308162793"/>
    <n v="1.39"/>
    <s v="Medium"/>
    <s v="Valid"/>
  </r>
  <r>
    <x v="336"/>
    <x v="2"/>
    <s v="TikTok Ads"/>
    <x v="1"/>
    <s v="Fintech"/>
    <x v="2"/>
    <n v="41497"/>
    <n v="3299"/>
    <n v="7.9500000000000001E-2"/>
    <n v="0.65"/>
    <n v="2144.35"/>
    <n v="112"/>
    <n v="19.149999999999999"/>
    <n v="6822.75"/>
    <n v="4678.3999999999996"/>
    <n v="2.1817333924032924"/>
    <n v="3.18"/>
    <s v="High"/>
    <s v="Valid"/>
  </r>
  <r>
    <x v="12"/>
    <x v="8"/>
    <s v="Google Ads"/>
    <x v="0"/>
    <s v="Fintech"/>
    <x v="0"/>
    <n v="88442"/>
    <n v="2485"/>
    <n v="2.81E-2"/>
    <n v="2.89"/>
    <n v="7181.65"/>
    <n v="69"/>
    <n v="104.08"/>
    <n v="12989.18"/>
    <n v="5807.5300000000007"/>
    <n v="0.80866235475134562"/>
    <n v="1.81"/>
    <s v="Medium"/>
    <s v="Valid"/>
  </r>
  <r>
    <x v="277"/>
    <x v="2"/>
    <s v="Google Ads"/>
    <x v="2"/>
    <s v="SaaS"/>
    <x v="0"/>
    <n v="143723"/>
    <n v="4254"/>
    <n v="2.9600000000000001E-2"/>
    <n v="1.1399999999999999"/>
    <n v="4849.5600000000004"/>
    <n v="281"/>
    <n v="17.260000000000002"/>
    <n v="41783.61"/>
    <n v="36934.050000000003"/>
    <n v="7.6159589735976043"/>
    <n v="8.6199999999999992"/>
    <s v="High"/>
    <s v="Valid"/>
  </r>
  <r>
    <x v="5"/>
    <x v="3"/>
    <s v="Meta Ads"/>
    <x v="0"/>
    <s v="SaaS"/>
    <x v="1"/>
    <n v="30392"/>
    <n v="1325"/>
    <n v="4.36E-2"/>
    <n v="1.31"/>
    <n v="1735.75"/>
    <n v="101"/>
    <n v="17.190000000000001"/>
    <n v="3539.63"/>
    <n v="1803.88"/>
    <n v="1.0392510442171972"/>
    <n v="2.04"/>
    <s v="Medium"/>
    <s v="Valid"/>
  </r>
  <r>
    <x v="259"/>
    <x v="8"/>
    <s v="Google Ads"/>
    <x v="1"/>
    <s v="E-commerce"/>
    <x v="5"/>
    <n v="94412"/>
    <n v="4786"/>
    <n v="5.0700000000000002E-2"/>
    <n v="1.29"/>
    <n v="6173.94"/>
    <n v="343"/>
    <n v="18"/>
    <n v="93767.6"/>
    <n v="87593.66"/>
    <n v="14.187643546908459"/>
    <n v="15.19"/>
    <s v="High"/>
    <s v="Valid"/>
  </r>
  <r>
    <x v="95"/>
    <x v="8"/>
    <s v="Google Ads"/>
    <x v="1"/>
    <s v="EdTech"/>
    <x v="1"/>
    <n v="56305"/>
    <n v="1644"/>
    <n v="2.92E-2"/>
    <n v="1.65"/>
    <n v="2712.6"/>
    <n v="126"/>
    <n v="21.53"/>
    <n v="24269.48"/>
    <n v="21556.880000000001"/>
    <n v="7.9469438914694397"/>
    <n v="8.9499999999999993"/>
    <s v="High"/>
    <s v="Valid"/>
  </r>
  <r>
    <x v="226"/>
    <x v="7"/>
    <s v="TikTok Ads"/>
    <x v="3"/>
    <s v="SaaS"/>
    <x v="3"/>
    <n v="142456"/>
    <n v="9943"/>
    <n v="6.9800000000000001E-2"/>
    <n v="0.91"/>
    <n v="9048.1299999999992"/>
    <n v="266"/>
    <n v="34.020000000000003"/>
    <n v="72736.17"/>
    <n v="63688.04"/>
    <n v="7.0388069136937697"/>
    <n v="8.0399999999999991"/>
    <s v="High"/>
    <s v="Valid"/>
  </r>
  <r>
    <x v="25"/>
    <x v="9"/>
    <s v="Meta Ads"/>
    <x v="3"/>
    <s v="EdTech"/>
    <x v="6"/>
    <n v="27169"/>
    <n v="546"/>
    <n v="2.01E-2"/>
    <n v="1.08"/>
    <n v="589.67999999999995"/>
    <n v="15"/>
    <n v="39.31"/>
    <n v="1578.78"/>
    <n v="989.1"/>
    <n v="1.6773504273504276"/>
    <n v="2.68"/>
    <s v="Medium"/>
    <s v="Valid"/>
  </r>
  <r>
    <x v="118"/>
    <x v="7"/>
    <s v="Google Ads"/>
    <x v="1"/>
    <s v="SaaS"/>
    <x v="3"/>
    <n v="127179"/>
    <n v="5125"/>
    <n v="4.0300000000000002E-2"/>
    <n v="2.2200000000000002"/>
    <n v="11377.5"/>
    <n v="87"/>
    <n v="130.78"/>
    <n v="5905.23"/>
    <n v="-5472.27"/>
    <n v="-0.48097297297297303"/>
    <n v="0.52"/>
    <s v="Low"/>
    <s v="Valid"/>
  </r>
  <r>
    <x v="183"/>
    <x v="10"/>
    <s v="Google Ads"/>
    <x v="2"/>
    <s v="Fintech"/>
    <x v="2"/>
    <n v="20797"/>
    <n v="846"/>
    <n v="4.07E-2"/>
    <n v="1.08"/>
    <n v="913.68"/>
    <n v="56"/>
    <n v="16.32"/>
    <n v="11660.97"/>
    <n v="10747.289999999999"/>
    <n v="11.762641187286578"/>
    <n v="12.76"/>
    <s v="High"/>
    <s v="Valid"/>
  </r>
  <r>
    <x v="14"/>
    <x v="4"/>
    <s v="Meta Ads"/>
    <x v="2"/>
    <s v="E-commerce"/>
    <x v="2"/>
    <n v="188201"/>
    <n v="5627"/>
    <n v="2.9899999999999999E-2"/>
    <n v="1.88"/>
    <n v="10578.76"/>
    <n v="77"/>
    <n v="137.38999999999999"/>
    <n v="14242.93"/>
    <n v="3664.17"/>
    <n v="0.34637046307884856"/>
    <n v="1.35"/>
    <s v="Medium"/>
    <s v="Valid"/>
  </r>
  <r>
    <x v="173"/>
    <x v="1"/>
    <s v="TikTok Ads"/>
    <x v="2"/>
    <s v="E-commerce"/>
    <x v="4"/>
    <n v="77726"/>
    <n v="2557"/>
    <n v="3.2899999999999999E-2"/>
    <n v="0.49"/>
    <n v="1252.93"/>
    <n v="37"/>
    <n v="33.86"/>
    <n v="2932.31"/>
    <n v="1679.3799999999999"/>
    <n v="1.3403621910242389"/>
    <n v="2.34"/>
    <s v="Medium"/>
    <s v="Valid"/>
  </r>
  <r>
    <x v="194"/>
    <x v="11"/>
    <s v="Meta Ads"/>
    <x v="0"/>
    <s v="EdTech"/>
    <x v="6"/>
    <n v="23123"/>
    <n v="286"/>
    <n v="1.24E-2"/>
    <n v="1.21"/>
    <n v="346.06"/>
    <n v="3"/>
    <n v="115.35"/>
    <n v="585.70000000000005"/>
    <n v="239.64000000000004"/>
    <n v="0.69248107264636205"/>
    <n v="1.69"/>
    <s v="Medium"/>
    <s v="Valid"/>
  </r>
  <r>
    <x v="224"/>
    <x v="5"/>
    <s v="Google Ads"/>
    <x v="0"/>
    <s v="SaaS"/>
    <x v="4"/>
    <n v="86689"/>
    <n v="3727"/>
    <n v="4.2999999999999997E-2"/>
    <n v="1.1599999999999999"/>
    <n v="4323.32"/>
    <n v="276"/>
    <n v="15.66"/>
    <n v="76876.240000000005"/>
    <n v="72552.920000000013"/>
    <n v="16.781760313832891"/>
    <n v="17.78"/>
    <s v="High"/>
    <s v="Valid"/>
  </r>
  <r>
    <x v="44"/>
    <x v="8"/>
    <s v="Google Ads"/>
    <x v="0"/>
    <s v="Healthcare"/>
    <x v="2"/>
    <n v="159251"/>
    <n v="9172"/>
    <n v="5.7599999999999998E-2"/>
    <n v="2.84"/>
    <n v="26048.48"/>
    <n v="407"/>
    <n v="64"/>
    <n v="30602.6"/>
    <n v="4554.119999999999"/>
    <n v="0.1748324662321947"/>
    <n v="1.17"/>
    <s v="Medium"/>
    <s v="Valid"/>
  </r>
  <r>
    <x v="175"/>
    <x v="0"/>
    <s v="Meta Ads"/>
    <x v="3"/>
    <s v="E-commerce"/>
    <x v="1"/>
    <n v="70180"/>
    <n v="736"/>
    <n v="1.0500000000000001E-2"/>
    <n v="1.4"/>
    <n v="1030.4000000000001"/>
    <n v="45"/>
    <n v="22.9"/>
    <n v="2168.7199999999998"/>
    <n v="1138.3199999999997"/>
    <n v="1.1047360248447202"/>
    <n v="2.1"/>
    <s v="Medium"/>
    <s v="Valid"/>
  </r>
  <r>
    <x v="135"/>
    <x v="7"/>
    <s v="Google Ads"/>
    <x v="1"/>
    <s v="Fintech"/>
    <x v="4"/>
    <n v="83466"/>
    <n v="4089"/>
    <n v="4.9000000000000002E-2"/>
    <n v="2.2599999999999998"/>
    <n v="9241.14"/>
    <n v="108"/>
    <n v="85.57"/>
    <n v="12521.2"/>
    <n v="3280.0600000000013"/>
    <n v="0.35494105705573137"/>
    <n v="1.35"/>
    <s v="Medium"/>
    <s v="Valid"/>
  </r>
  <r>
    <x v="9"/>
    <x v="6"/>
    <s v="Meta Ads"/>
    <x v="3"/>
    <s v="SaaS"/>
    <x v="5"/>
    <n v="137602"/>
    <n v="2641"/>
    <n v="1.9199999999999998E-2"/>
    <n v="0.59"/>
    <n v="1558.19"/>
    <n v="179"/>
    <n v="8.6999999999999993"/>
    <n v="52473.54"/>
    <n v="50915.35"/>
    <n v="32.675957360783983"/>
    <n v="33.68"/>
    <s v="High"/>
    <s v="Valid"/>
  </r>
  <r>
    <x v="288"/>
    <x v="7"/>
    <s v="TikTok Ads"/>
    <x v="1"/>
    <s v="SaaS"/>
    <x v="0"/>
    <n v="64222"/>
    <n v="2067"/>
    <n v="3.2199999999999999E-2"/>
    <n v="1.89"/>
    <n v="3906.63"/>
    <n v="68"/>
    <n v="57.45"/>
    <n v="14851.97"/>
    <n v="10945.34"/>
    <n v="2.8017344872690786"/>
    <n v="3.8"/>
    <s v="High"/>
    <s v="Valid"/>
  </r>
  <r>
    <x v="125"/>
    <x v="10"/>
    <s v="TikTok Ads"/>
    <x v="2"/>
    <s v="Healthcare"/>
    <x v="5"/>
    <n v="116739"/>
    <n v="4319"/>
    <n v="3.6999999999999998E-2"/>
    <n v="0.34"/>
    <n v="1468.46"/>
    <n v="306"/>
    <n v="4.8"/>
    <n v="46873.98"/>
    <n v="45405.520000000004"/>
    <n v="30.920501750132793"/>
    <n v="31.92"/>
    <s v="High"/>
    <s v="Valid"/>
  </r>
  <r>
    <x v="19"/>
    <x v="9"/>
    <s v="Meta Ads"/>
    <x v="2"/>
    <s v="Healthcare"/>
    <x v="2"/>
    <n v="50869"/>
    <n v="890"/>
    <n v="1.7500000000000002E-2"/>
    <n v="1.08"/>
    <n v="961.2"/>
    <n v="61"/>
    <n v="15.76"/>
    <n v="16803.54"/>
    <n v="15842.34"/>
    <n v="16.48183520599251"/>
    <n v="17.48"/>
    <s v="High"/>
    <s v="Valid"/>
  </r>
  <r>
    <x v="347"/>
    <x v="9"/>
    <s v="Meta Ads"/>
    <x v="0"/>
    <s v="EdTech"/>
    <x v="3"/>
    <n v="127155"/>
    <n v="3089"/>
    <n v="2.4299999999999999E-2"/>
    <n v="1.25"/>
    <n v="3861.25"/>
    <n v="95"/>
    <n v="40.64"/>
    <n v="23894.639999999999"/>
    <n v="20033.39"/>
    <n v="5.1883172547750078"/>
    <n v="6.19"/>
    <s v="High"/>
    <s v="Valid"/>
  </r>
  <r>
    <x v="62"/>
    <x v="11"/>
    <s v="Google Ads"/>
    <x v="1"/>
    <s v="EdTech"/>
    <x v="3"/>
    <n v="162883"/>
    <n v="8974"/>
    <n v="5.5100000000000003E-2"/>
    <n v="2.38"/>
    <n v="21358.12"/>
    <n v="292"/>
    <n v="73.14"/>
    <n v="80812.08"/>
    <n v="59453.960000000006"/>
    <n v="2.7836700983045328"/>
    <n v="3.78"/>
    <s v="High"/>
    <s v="Valid"/>
  </r>
  <r>
    <x v="148"/>
    <x v="0"/>
    <s v="TikTok Ads"/>
    <x v="0"/>
    <s v="SaaS"/>
    <x v="4"/>
    <n v="115716"/>
    <n v="7394"/>
    <n v="6.3899999999999998E-2"/>
    <n v="1.1599999999999999"/>
    <n v="8577.0400000000009"/>
    <n v="242"/>
    <n v="35.44"/>
    <n v="49142.559999999998"/>
    <n v="40565.519999999997"/>
    <n v="4.7295477227575002"/>
    <n v="5.73"/>
    <s v="High"/>
    <s v="Valid"/>
  </r>
  <r>
    <x v="305"/>
    <x v="1"/>
    <s v="Google Ads"/>
    <x v="1"/>
    <s v="EdTech"/>
    <x v="2"/>
    <n v="40306"/>
    <n v="1176"/>
    <n v="2.92E-2"/>
    <n v="0.85"/>
    <n v="999.6"/>
    <n v="41"/>
    <n v="24.38"/>
    <n v="11838.48"/>
    <n v="10838.88"/>
    <n v="10.843217286914765"/>
    <n v="11.84"/>
    <s v="High"/>
    <s v="Valid"/>
  </r>
  <r>
    <x v="13"/>
    <x v="2"/>
    <s v="TikTok Ads"/>
    <x v="0"/>
    <s v="Fintech"/>
    <x v="4"/>
    <n v="138025"/>
    <n v="9192"/>
    <n v="6.6600000000000006E-2"/>
    <n v="0.64"/>
    <n v="5882.88"/>
    <n v="420"/>
    <n v="14.01"/>
    <n v="38810.35"/>
    <n v="32927.47"/>
    <n v="5.5971683937119234"/>
    <n v="6.6"/>
    <s v="High"/>
    <s v="Valid"/>
  </r>
  <r>
    <x v="217"/>
    <x v="2"/>
    <s v="Meta Ads"/>
    <x v="1"/>
    <s v="SaaS"/>
    <x v="5"/>
    <n v="145510"/>
    <n v="5805"/>
    <n v="3.9899999999999998E-2"/>
    <n v="1.04"/>
    <n v="6037.2"/>
    <n v="166"/>
    <n v="36.369999999999997"/>
    <n v="30713.7"/>
    <n v="24676.5"/>
    <n v="4.0874080699662096"/>
    <n v="5.09"/>
    <s v="High"/>
    <s v="Valid"/>
  </r>
  <r>
    <x v="154"/>
    <x v="7"/>
    <s v="TikTok Ads"/>
    <x v="3"/>
    <s v="Fintech"/>
    <x v="2"/>
    <n v="168297"/>
    <n v="10535"/>
    <n v="6.2600000000000003E-2"/>
    <n v="1.4"/>
    <n v="14749"/>
    <n v="561"/>
    <n v="26.29"/>
    <n v="30094.65"/>
    <n v="15345.650000000001"/>
    <n v="1.0404535900739034"/>
    <n v="2.04"/>
    <s v="Medium"/>
    <s v="Valid"/>
  </r>
  <r>
    <x v="20"/>
    <x v="9"/>
    <s v="Meta Ads"/>
    <x v="0"/>
    <s v="E-commerce"/>
    <x v="6"/>
    <n v="66157"/>
    <n v="1687"/>
    <n v="2.5499999999999998E-2"/>
    <n v="1.3"/>
    <n v="2193.1"/>
    <n v="41"/>
    <n v="53.49"/>
    <n v="5082.9399999999996"/>
    <n v="2889.8399999999997"/>
    <n v="1.3176964114723451"/>
    <n v="2.3199999999999998"/>
    <s v="Medium"/>
    <s v="Valid"/>
  </r>
  <r>
    <x v="62"/>
    <x v="11"/>
    <s v="Meta Ads"/>
    <x v="2"/>
    <s v="Fintech"/>
    <x v="5"/>
    <n v="115003"/>
    <n v="2921"/>
    <n v="2.5399999999999999E-2"/>
    <n v="0.4"/>
    <n v="1168.4000000000001"/>
    <n v="36"/>
    <n v="32.46"/>
    <n v="4203.1899999999996"/>
    <n v="3034.7899999999995"/>
    <n v="2.5973895926052717"/>
    <n v="3.6"/>
    <s v="High"/>
    <s v="Valid"/>
  </r>
  <r>
    <x v="93"/>
    <x v="0"/>
    <s v="Meta Ads"/>
    <x v="2"/>
    <s v="Healthcare"/>
    <x v="2"/>
    <n v="173292"/>
    <n v="7330"/>
    <n v="4.2299999999999997E-2"/>
    <n v="1.88"/>
    <n v="13780.4"/>
    <n v="355"/>
    <n v="38.82"/>
    <n v="66981.679999999993"/>
    <n v="53201.279999999992"/>
    <n v="3.8606484572291073"/>
    <n v="4.8600000000000003"/>
    <s v="High"/>
    <s v="Valid"/>
  </r>
  <r>
    <x v="79"/>
    <x v="0"/>
    <s v="Meta Ads"/>
    <x v="1"/>
    <s v="EdTech"/>
    <x v="3"/>
    <n v="94440"/>
    <n v="2219"/>
    <n v="2.35E-2"/>
    <n v="1.93"/>
    <n v="4282.67"/>
    <n v="156"/>
    <n v="27.45"/>
    <n v="39424.239999999998"/>
    <n v="35141.57"/>
    <n v="8.205528326954914"/>
    <n v="9.2100000000000009"/>
    <s v="High"/>
    <s v="Valid"/>
  </r>
  <r>
    <x v="69"/>
    <x v="1"/>
    <s v="Meta Ads"/>
    <x v="1"/>
    <s v="Healthcare"/>
    <x v="5"/>
    <n v="93003"/>
    <n v="1283"/>
    <n v="1.38E-2"/>
    <n v="1.76"/>
    <n v="2258.08"/>
    <n v="49"/>
    <n v="46.08"/>
    <n v="1614.11"/>
    <n v="-643.97"/>
    <n v="-0.28518475873308302"/>
    <n v="0.71"/>
    <s v="Low"/>
    <s v="Valid"/>
  </r>
  <r>
    <x v="341"/>
    <x v="2"/>
    <s v="TikTok Ads"/>
    <x v="1"/>
    <s v="E-commerce"/>
    <x v="2"/>
    <n v="112294"/>
    <n v="9039"/>
    <n v="8.0500000000000002E-2"/>
    <n v="0.99"/>
    <n v="8948.61"/>
    <n v="99"/>
    <n v="90.39"/>
    <n v="20435.34"/>
    <n v="11486.73"/>
    <n v="1.2836328770613534"/>
    <n v="2.2799999999999998"/>
    <s v="Medium"/>
    <s v="Valid"/>
  </r>
  <r>
    <x v="115"/>
    <x v="8"/>
    <s v="Meta Ads"/>
    <x v="3"/>
    <s v="SaaS"/>
    <x v="2"/>
    <n v="165321"/>
    <n v="4447"/>
    <n v="2.69E-2"/>
    <n v="1.56"/>
    <n v="6937.32"/>
    <n v="301"/>
    <n v="23.05"/>
    <n v="23975.23"/>
    <n v="17037.91"/>
    <n v="2.4559786776449695"/>
    <n v="3.46"/>
    <s v="High"/>
    <s v="Valid"/>
  </r>
  <r>
    <x v="317"/>
    <x v="6"/>
    <s v="TikTok Ads"/>
    <x v="1"/>
    <s v="Healthcare"/>
    <x v="2"/>
    <n v="137895"/>
    <n v="5901"/>
    <n v="4.2799999999999998E-2"/>
    <n v="1.34"/>
    <n v="7907.34"/>
    <n v="379"/>
    <n v="20.86"/>
    <n v="86835.97"/>
    <n v="78928.63"/>
    <n v="9.9816916940462921"/>
    <n v="10.98"/>
    <s v="High"/>
    <s v="Valid"/>
  </r>
  <r>
    <x v="29"/>
    <x v="2"/>
    <s v="TikTok Ads"/>
    <x v="3"/>
    <s v="E-commerce"/>
    <x v="3"/>
    <n v="7978"/>
    <n v="557"/>
    <n v="6.9900000000000004E-2"/>
    <n v="0.61"/>
    <n v="339.77"/>
    <n v="34"/>
    <n v="9.99"/>
    <n v="6686.61"/>
    <n v="6346.84"/>
    <n v="18.67981281455102"/>
    <n v="19.68"/>
    <s v="High"/>
    <s v="Valid"/>
  </r>
  <r>
    <x v="177"/>
    <x v="2"/>
    <s v="TikTok Ads"/>
    <x v="3"/>
    <s v="Fintech"/>
    <x v="3"/>
    <n v="113994"/>
    <n v="4320"/>
    <n v="3.7900000000000003E-2"/>
    <n v="0.77"/>
    <n v="3326.4"/>
    <n v="142"/>
    <n v="23.43"/>
    <n v="25985.24"/>
    <n v="22658.84"/>
    <n v="6.8118205868205868"/>
    <n v="7.81"/>
    <s v="High"/>
    <s v="Valid"/>
  </r>
  <r>
    <x v="313"/>
    <x v="2"/>
    <s v="Google Ads"/>
    <x v="0"/>
    <s v="EdTech"/>
    <x v="0"/>
    <n v="90794"/>
    <n v="5638"/>
    <n v="6.2100000000000002E-2"/>
    <n v="3.1"/>
    <n v="17477.8"/>
    <n v="217"/>
    <n v="80.540000000000006"/>
    <n v="54642.18"/>
    <n v="37164.380000000005"/>
    <n v="2.1263763173854837"/>
    <n v="3.13"/>
    <s v="High"/>
    <s v="Valid"/>
  </r>
  <r>
    <x v="140"/>
    <x v="9"/>
    <s v="Meta Ads"/>
    <x v="3"/>
    <s v="Healthcare"/>
    <x v="6"/>
    <n v="118694"/>
    <n v="2338"/>
    <n v="1.9699999999999999E-2"/>
    <n v="2.2599999999999998"/>
    <n v="5283.88"/>
    <n v="76"/>
    <n v="69.52"/>
    <n v="6774.6"/>
    <n v="1490.7200000000003"/>
    <n v="0.28212601345980609"/>
    <n v="1.28"/>
    <s v="Medium"/>
    <s v="Valid"/>
  </r>
  <r>
    <x v="242"/>
    <x v="10"/>
    <s v="Google Ads"/>
    <x v="2"/>
    <s v="Healthcare"/>
    <x v="0"/>
    <n v="99805"/>
    <n v="1936"/>
    <n v="1.9400000000000001E-2"/>
    <n v="1.4"/>
    <n v="2710.4"/>
    <n v="112"/>
    <n v="24.2"/>
    <n v="29346.97"/>
    <n v="26636.57"/>
    <n v="9.8275420602125152"/>
    <n v="10.83"/>
    <s v="High"/>
    <s v="Valid"/>
  </r>
  <r>
    <x v="303"/>
    <x v="0"/>
    <s v="Google Ads"/>
    <x v="0"/>
    <s v="Fintech"/>
    <x v="4"/>
    <n v="187156"/>
    <n v="3986"/>
    <n v="2.1299999999999999E-2"/>
    <n v="2.39"/>
    <n v="9526.5400000000009"/>
    <n v="269"/>
    <n v="35.409999999999997"/>
    <n v="34393.230000000003"/>
    <n v="24866.690000000002"/>
    <n v="2.6102540901523534"/>
    <n v="3.61"/>
    <s v="High"/>
    <s v="Valid"/>
  </r>
  <r>
    <x v="246"/>
    <x v="4"/>
    <s v="TikTok Ads"/>
    <x v="1"/>
    <s v="EdTech"/>
    <x v="0"/>
    <n v="120152"/>
    <n v="4613"/>
    <n v="3.8399999999999997E-2"/>
    <n v="0.97"/>
    <n v="4474.6099999999997"/>
    <n v="108"/>
    <n v="41.43"/>
    <n v="27205.77"/>
    <n v="22731.16"/>
    <n v="5.0800315558227425"/>
    <n v="6.08"/>
    <s v="High"/>
    <s v="Valid"/>
  </r>
  <r>
    <x v="171"/>
    <x v="9"/>
    <s v="Google Ads"/>
    <x v="0"/>
    <s v="Fintech"/>
    <x v="1"/>
    <n v="117458"/>
    <n v="6824"/>
    <n v="5.8099999999999999E-2"/>
    <n v="2.0099999999999998"/>
    <n v="13716.24"/>
    <n v="251"/>
    <n v="54.65"/>
    <n v="12200.18"/>
    <n v="-1516.0599999999995"/>
    <n v="-0.11053029110018485"/>
    <n v="0.89"/>
    <s v="Low"/>
    <s v="Valid"/>
  </r>
  <r>
    <x v="352"/>
    <x v="1"/>
    <s v="Meta Ads"/>
    <x v="1"/>
    <s v="EdTech"/>
    <x v="6"/>
    <n v="35398"/>
    <n v="1044"/>
    <n v="2.9499999999999998E-2"/>
    <n v="0.45"/>
    <n v="469.8"/>
    <n v="20"/>
    <n v="23.49"/>
    <n v="1596.24"/>
    <n v="1126.44"/>
    <n v="2.3977011494252873"/>
    <n v="3.4"/>
    <s v="High"/>
    <s v="Valid"/>
  </r>
  <r>
    <x v="230"/>
    <x v="11"/>
    <s v="TikTok Ads"/>
    <x v="1"/>
    <s v="Healthcare"/>
    <x v="5"/>
    <n v="98386"/>
    <n v="7556"/>
    <n v="7.6799999999999993E-2"/>
    <n v="0.35"/>
    <n v="2644.6"/>
    <n v="385"/>
    <n v="6.87"/>
    <n v="43735.3"/>
    <n v="41090.700000000004"/>
    <n v="15.53758602435151"/>
    <n v="16.54"/>
    <s v="High"/>
    <s v="Valid"/>
  </r>
  <r>
    <x v="157"/>
    <x v="4"/>
    <s v="Meta Ads"/>
    <x v="1"/>
    <s v="E-commerce"/>
    <x v="4"/>
    <n v="70133"/>
    <n v="2293"/>
    <n v="3.27E-2"/>
    <n v="1.04"/>
    <n v="2384.7199999999998"/>
    <n v="75"/>
    <n v="31.8"/>
    <n v="14249.95"/>
    <n v="11865.230000000001"/>
    <n v="4.9755233318796348"/>
    <n v="5.98"/>
    <s v="High"/>
    <s v="Valid"/>
  </r>
  <r>
    <x v="249"/>
    <x v="1"/>
    <s v="Google Ads"/>
    <x v="1"/>
    <s v="SaaS"/>
    <x v="2"/>
    <n v="30169"/>
    <n v="1523"/>
    <n v="5.0500000000000003E-2"/>
    <n v="1.44"/>
    <n v="2193.12"/>
    <n v="34"/>
    <n v="64.5"/>
    <n v="8282.7099999999991"/>
    <n v="6089.5899999999992"/>
    <n v="2.7766788867002261"/>
    <n v="3.78"/>
    <s v="High"/>
    <s v="Valid"/>
  </r>
  <r>
    <x v="98"/>
    <x v="0"/>
    <s v="Google Ads"/>
    <x v="0"/>
    <s v="EdTech"/>
    <x v="3"/>
    <n v="122959"/>
    <n v="3553"/>
    <n v="2.8899999999999999E-2"/>
    <n v="1.67"/>
    <n v="5933.51"/>
    <n v="133"/>
    <n v="44.61"/>
    <n v="11079.66"/>
    <n v="5146.1499999999996"/>
    <n v="0.86730282750007992"/>
    <n v="1.87"/>
    <s v="Medium"/>
    <s v="Valid"/>
  </r>
  <r>
    <x v="337"/>
    <x v="5"/>
    <s v="Meta Ads"/>
    <x v="0"/>
    <s v="Healthcare"/>
    <x v="6"/>
    <n v="73083"/>
    <n v="3040"/>
    <n v="4.1599999999999998E-2"/>
    <n v="0.6"/>
    <n v="1824"/>
    <n v="203"/>
    <n v="8.99"/>
    <n v="29701.35"/>
    <n v="27877.35"/>
    <n v="15.283634868421052"/>
    <n v="16.28"/>
    <s v="High"/>
    <s v="Valid"/>
  </r>
  <r>
    <x v="255"/>
    <x v="8"/>
    <s v="Meta Ads"/>
    <x v="3"/>
    <s v="Fintech"/>
    <x v="5"/>
    <n v="113889"/>
    <n v="4623"/>
    <n v="4.0599999999999997E-2"/>
    <n v="1.19"/>
    <n v="5501.37"/>
    <n v="362"/>
    <n v="15.2"/>
    <n v="19216.96"/>
    <n v="13715.59"/>
    <n v="2.4931226221832019"/>
    <n v="3.49"/>
    <s v="High"/>
    <s v="Valid"/>
  </r>
  <r>
    <x v="54"/>
    <x v="1"/>
    <s v="Meta Ads"/>
    <x v="0"/>
    <s v="Healthcare"/>
    <x v="6"/>
    <n v="57203"/>
    <n v="1029"/>
    <n v="1.7999999999999999E-2"/>
    <n v="0.87"/>
    <n v="895.23"/>
    <n v="11"/>
    <n v="81.38"/>
    <n v="1505.4"/>
    <n v="610.17000000000007"/>
    <n v="0.68157903555510879"/>
    <n v="1.68"/>
    <s v="Medium"/>
    <s v="Valid"/>
  </r>
  <r>
    <x v="198"/>
    <x v="10"/>
    <s v="TikTok Ads"/>
    <x v="3"/>
    <s v="SaaS"/>
    <x v="0"/>
    <n v="36562"/>
    <n v="1257"/>
    <n v="3.44E-2"/>
    <n v="0.43"/>
    <n v="540.51"/>
    <n v="74"/>
    <n v="7.3"/>
    <n v="11838.52"/>
    <n v="11298.01"/>
    <n v="20.902499491221256"/>
    <n v="21.9"/>
    <s v="High"/>
    <s v="Valid"/>
  </r>
  <r>
    <x v="86"/>
    <x v="9"/>
    <s v="Google Ads"/>
    <x v="0"/>
    <s v="EdTech"/>
    <x v="2"/>
    <n v="177256"/>
    <n v="4059"/>
    <n v="2.29E-2"/>
    <n v="2.19"/>
    <n v="8889.2099999999991"/>
    <n v="138"/>
    <n v="64.41"/>
    <n v="32140.46"/>
    <n v="23251.25"/>
    <n v="2.6156711338802889"/>
    <n v="3.62"/>
    <s v="High"/>
    <s v="Valid"/>
  </r>
  <r>
    <x v="277"/>
    <x v="2"/>
    <s v="TikTok Ads"/>
    <x v="2"/>
    <s v="SaaS"/>
    <x v="5"/>
    <n v="179036"/>
    <n v="11046"/>
    <n v="6.1699999999999998E-2"/>
    <n v="0.87"/>
    <n v="9610.02"/>
    <n v="787"/>
    <n v="12.21"/>
    <n v="127296.84"/>
    <n v="117686.81999999999"/>
    <n v="12.246261714335661"/>
    <n v="13.25"/>
    <s v="High"/>
    <s v="Valid"/>
  </r>
  <r>
    <x v="295"/>
    <x v="10"/>
    <s v="Google Ads"/>
    <x v="3"/>
    <s v="EdTech"/>
    <x v="3"/>
    <n v="87481"/>
    <n v="4181"/>
    <n v="4.7800000000000002E-2"/>
    <n v="2.88"/>
    <n v="12041.28"/>
    <n v="104"/>
    <n v="115.78"/>
    <n v="28643.42"/>
    <n v="16602.14"/>
    <n v="1.3787687023306492"/>
    <n v="2.38"/>
    <s v="Medium"/>
    <s v="Valid"/>
  </r>
  <r>
    <x v="352"/>
    <x v="1"/>
    <s v="TikTok Ads"/>
    <x v="2"/>
    <s v="E-commerce"/>
    <x v="5"/>
    <n v="130645"/>
    <n v="8243"/>
    <n v="6.3100000000000003E-2"/>
    <n v="0.95"/>
    <n v="7830.85"/>
    <n v="356"/>
    <n v="22"/>
    <n v="16420.599999999999"/>
    <n v="8589.7499999999982"/>
    <n v="1.0969115740947659"/>
    <n v="2.1"/>
    <s v="Medium"/>
    <s v="Valid"/>
  </r>
  <r>
    <x v="291"/>
    <x v="6"/>
    <s v="Google Ads"/>
    <x v="0"/>
    <s v="SaaS"/>
    <x v="5"/>
    <n v="121089"/>
    <n v="3499"/>
    <n v="2.8899999999999999E-2"/>
    <n v="0.93"/>
    <n v="3254.07"/>
    <n v="185"/>
    <n v="17.59"/>
    <n v="28042.42"/>
    <n v="24788.35"/>
    <n v="7.6176449799789179"/>
    <n v="8.6199999999999992"/>
    <s v="High"/>
    <s v="Valid"/>
  </r>
  <r>
    <x v="239"/>
    <x v="8"/>
    <s v="Google Ads"/>
    <x v="0"/>
    <s v="EdTech"/>
    <x v="4"/>
    <n v="15589"/>
    <n v="285"/>
    <n v="1.83E-2"/>
    <n v="1.18"/>
    <n v="336.3"/>
    <n v="10"/>
    <n v="33.630000000000003"/>
    <n v="1359.76"/>
    <n v="1023.46"/>
    <n v="3.0432946773713945"/>
    <n v="4.04"/>
    <s v="High"/>
    <s v="Valid"/>
  </r>
  <r>
    <x v="193"/>
    <x v="4"/>
    <s v="TikTok Ads"/>
    <x v="0"/>
    <s v="Fintech"/>
    <x v="3"/>
    <n v="101411"/>
    <n v="9370"/>
    <n v="9.2399999999999996E-2"/>
    <n v="0.81"/>
    <n v="7589.7"/>
    <n v="523"/>
    <n v="14.51"/>
    <n v="26633.21"/>
    <n v="19043.509999999998"/>
    <n v="2.5091255253830846"/>
    <n v="3.51"/>
    <s v="High"/>
    <s v="Valid"/>
  </r>
  <r>
    <x v="283"/>
    <x v="11"/>
    <s v="Google Ads"/>
    <x v="2"/>
    <s v="E-commerce"/>
    <x v="1"/>
    <n v="142045"/>
    <n v="9161"/>
    <n v="6.4500000000000002E-2"/>
    <n v="2.39"/>
    <n v="21894.79"/>
    <n v="525"/>
    <n v="41.7"/>
    <n v="131680.16"/>
    <n v="109785.37"/>
    <n v="5.0142234750824279"/>
    <n v="6.01"/>
    <s v="High"/>
    <s v="Valid"/>
  </r>
  <r>
    <x v="191"/>
    <x v="10"/>
    <s v="Meta Ads"/>
    <x v="2"/>
    <s v="Healthcare"/>
    <x v="1"/>
    <n v="42236"/>
    <n v="1013"/>
    <n v="2.4E-2"/>
    <n v="1.43"/>
    <n v="1448.59"/>
    <n v="29"/>
    <n v="49.95"/>
    <n v="4720.08"/>
    <n v="3271.49"/>
    <n v="2.2583960955135685"/>
    <n v="3.26"/>
    <s v="High"/>
    <s v="Valid"/>
  </r>
  <r>
    <x v="26"/>
    <x v="8"/>
    <s v="Meta Ads"/>
    <x v="2"/>
    <s v="E-commerce"/>
    <x v="4"/>
    <n v="75628"/>
    <n v="794"/>
    <n v="1.0500000000000001E-2"/>
    <n v="0.5"/>
    <n v="397"/>
    <n v="49"/>
    <n v="8.1"/>
    <n v="3639.22"/>
    <n v="3242.22"/>
    <n v="8.1668010075566748"/>
    <n v="9.17"/>
    <s v="High"/>
    <s v="Valid"/>
  </r>
  <r>
    <x v="262"/>
    <x v="9"/>
    <s v="TikTok Ads"/>
    <x v="1"/>
    <s v="Fintech"/>
    <x v="3"/>
    <n v="116184"/>
    <n v="4089"/>
    <n v="3.5200000000000002E-2"/>
    <n v="0.34"/>
    <n v="1390.26"/>
    <n v="263"/>
    <n v="5.29"/>
    <n v="54249.41"/>
    <n v="52859.15"/>
    <n v="38.021053615870414"/>
    <n v="39.020000000000003"/>
    <s v="High"/>
    <s v="Valid"/>
  </r>
  <r>
    <x v="292"/>
    <x v="3"/>
    <s v="Google Ads"/>
    <x v="1"/>
    <s v="E-commerce"/>
    <x v="2"/>
    <n v="121465"/>
    <n v="5575"/>
    <n v="4.5900000000000003E-2"/>
    <n v="1.64"/>
    <n v="9143"/>
    <n v="273"/>
    <n v="33.49"/>
    <n v="28769.59"/>
    <n v="19626.59"/>
    <n v="2.1466247402384337"/>
    <n v="3.15"/>
    <s v="High"/>
    <s v="Valid"/>
  </r>
  <r>
    <x v="312"/>
    <x v="0"/>
    <s v="Google Ads"/>
    <x v="1"/>
    <s v="Fintech"/>
    <x v="1"/>
    <n v="108510"/>
    <n v="3721"/>
    <n v="3.4299999999999997E-2"/>
    <n v="1.41"/>
    <n v="5246.61"/>
    <n v="116"/>
    <n v="45.23"/>
    <n v="23480.01"/>
    <n v="18233.399999999998"/>
    <n v="3.4752726045961104"/>
    <n v="4.4800000000000004"/>
    <s v="High"/>
    <s v="Valid"/>
  </r>
  <r>
    <x v="287"/>
    <x v="11"/>
    <s v="Meta Ads"/>
    <x v="2"/>
    <s v="Healthcare"/>
    <x v="4"/>
    <n v="199650"/>
    <n v="4152"/>
    <n v="2.0799999999999999E-2"/>
    <n v="0.78"/>
    <n v="3238.56"/>
    <n v="165"/>
    <n v="19.63"/>
    <n v="10558.75"/>
    <n v="7320.1900000000005"/>
    <n v="2.2603224890074602"/>
    <n v="3.26"/>
    <s v="High"/>
    <s v="Valid"/>
  </r>
  <r>
    <x v="87"/>
    <x v="10"/>
    <s v="Google Ads"/>
    <x v="2"/>
    <s v="SaaS"/>
    <x v="2"/>
    <n v="73734"/>
    <n v="1990"/>
    <n v="2.7E-2"/>
    <n v="0.82"/>
    <n v="1631.8"/>
    <n v="143"/>
    <n v="11.41"/>
    <n v="16954.02"/>
    <n v="15322.220000000001"/>
    <n v="9.3897659026841538"/>
    <n v="10.39"/>
    <s v="High"/>
    <s v="Valid"/>
  </r>
  <r>
    <x v="194"/>
    <x v="11"/>
    <s v="Meta Ads"/>
    <x v="2"/>
    <s v="E-commerce"/>
    <x v="4"/>
    <n v="149532"/>
    <n v="5069"/>
    <n v="3.39E-2"/>
    <n v="2.39"/>
    <n v="12114.91"/>
    <n v="397"/>
    <n v="30.52"/>
    <n v="95392.09"/>
    <n v="83277.179999999993"/>
    <n v="6.8739412839220426"/>
    <n v="7.87"/>
    <s v="High"/>
    <s v="Valid"/>
  </r>
  <r>
    <x v="232"/>
    <x v="0"/>
    <s v="Google Ads"/>
    <x v="0"/>
    <s v="Fintech"/>
    <x v="5"/>
    <n v="79432"/>
    <n v="4130"/>
    <n v="5.1999999999999998E-2"/>
    <n v="2.29"/>
    <n v="9457.7000000000007"/>
    <n v="311"/>
    <n v="30.41"/>
    <n v="59366.41"/>
    <n v="49908.710000000006"/>
    <n v="5.2770451589709975"/>
    <n v="6.28"/>
    <s v="High"/>
    <s v="Valid"/>
  </r>
  <r>
    <x v="358"/>
    <x v="3"/>
    <s v="TikTok Ads"/>
    <x v="3"/>
    <s v="Fintech"/>
    <x v="4"/>
    <n v="192583"/>
    <n v="11285"/>
    <n v="5.8599999999999999E-2"/>
    <n v="1.63"/>
    <n v="18394.55"/>
    <n v="562"/>
    <n v="32.729999999999997"/>
    <n v="124224.31"/>
    <n v="105829.75999999999"/>
    <n v="5.7533215001182416"/>
    <n v="6.75"/>
    <s v="High"/>
    <s v="Valid"/>
  </r>
  <r>
    <x v="161"/>
    <x v="11"/>
    <s v="Meta Ads"/>
    <x v="1"/>
    <s v="SaaS"/>
    <x v="6"/>
    <n v="79266"/>
    <n v="2425"/>
    <n v="3.0599999999999999E-2"/>
    <n v="0.72"/>
    <n v="1746"/>
    <n v="104"/>
    <n v="16.79"/>
    <n v="20287.27"/>
    <n v="18541.27"/>
    <n v="10.619284077892326"/>
    <n v="11.62"/>
    <s v="High"/>
    <s v="Valid"/>
  </r>
  <r>
    <x v="209"/>
    <x v="2"/>
    <s v="Google Ads"/>
    <x v="1"/>
    <s v="Fintech"/>
    <x v="6"/>
    <n v="33695"/>
    <n v="1277"/>
    <n v="3.7900000000000003E-2"/>
    <n v="2.88"/>
    <n v="3677.76"/>
    <n v="89"/>
    <n v="41.32"/>
    <n v="25041.09"/>
    <n v="21363.33"/>
    <n v="5.8087885016966849"/>
    <n v="6.81"/>
    <s v="High"/>
    <s v="Valid"/>
  </r>
  <r>
    <x v="289"/>
    <x v="11"/>
    <s v="TikTok Ads"/>
    <x v="0"/>
    <s v="Fintech"/>
    <x v="5"/>
    <n v="92030"/>
    <n v="6267"/>
    <n v="6.8099999999999994E-2"/>
    <n v="0.57999999999999996"/>
    <n v="3634.86"/>
    <n v="136"/>
    <n v="26.73"/>
    <n v="11204.78"/>
    <n v="7569.92"/>
    <n v="2.0825891506137788"/>
    <n v="3.08"/>
    <s v="High"/>
    <s v="Valid"/>
  </r>
  <r>
    <x v="143"/>
    <x v="6"/>
    <s v="Google Ads"/>
    <x v="0"/>
    <s v="Healthcare"/>
    <x v="5"/>
    <n v="26259"/>
    <n v="669"/>
    <n v="2.5499999999999998E-2"/>
    <n v="1.41"/>
    <n v="943.29"/>
    <n v="22"/>
    <n v="42.88"/>
    <n v="2731.41"/>
    <n v="1788.12"/>
    <n v="1.8956206468848391"/>
    <n v="2.9"/>
    <s v="Medium"/>
    <s v="Valid"/>
  </r>
  <r>
    <x v="78"/>
    <x v="5"/>
    <s v="Google Ads"/>
    <x v="1"/>
    <s v="Fintech"/>
    <x v="1"/>
    <n v="99447"/>
    <n v="5917"/>
    <n v="5.9499999999999997E-2"/>
    <n v="1.05"/>
    <n v="6212.85"/>
    <n v="195"/>
    <n v="31.86"/>
    <n v="28481.71"/>
    <n v="22268.86"/>
    <n v="3.5843228148112378"/>
    <n v="4.58"/>
    <s v="High"/>
    <s v="Valid"/>
  </r>
  <r>
    <x v="333"/>
    <x v="6"/>
    <s v="Meta Ads"/>
    <x v="2"/>
    <s v="Healthcare"/>
    <x v="0"/>
    <n v="170910"/>
    <n v="3315"/>
    <n v="1.9400000000000001E-2"/>
    <n v="0.5"/>
    <n v="1657.5"/>
    <n v="167"/>
    <n v="9.93"/>
    <n v="41334.160000000003"/>
    <n v="39676.660000000003"/>
    <n v="23.937653092006034"/>
    <n v="24.94"/>
    <s v="High"/>
    <s v="Valid"/>
  </r>
  <r>
    <x v="318"/>
    <x v="11"/>
    <s v="Meta Ads"/>
    <x v="1"/>
    <s v="Healthcare"/>
    <x v="2"/>
    <n v="180259"/>
    <n v="2072"/>
    <n v="1.15E-2"/>
    <n v="1.37"/>
    <n v="2838.64"/>
    <n v="136"/>
    <n v="20.87"/>
    <n v="10032.66"/>
    <n v="7194.02"/>
    <n v="2.5343192514725366"/>
    <n v="3.53"/>
    <s v="High"/>
    <s v="Valid"/>
  </r>
  <r>
    <x v="277"/>
    <x v="2"/>
    <s v="Meta Ads"/>
    <x v="1"/>
    <s v="Healthcare"/>
    <x v="0"/>
    <n v="146964"/>
    <n v="5246"/>
    <n v="3.5700000000000003E-2"/>
    <n v="1.99"/>
    <n v="10439.540000000001"/>
    <n v="131"/>
    <n v="79.69"/>
    <n v="7261.59"/>
    <n v="-3177.9500000000007"/>
    <n v="-0.30441475390678135"/>
    <n v="0.7"/>
    <s v="Low"/>
    <s v="Valid"/>
  </r>
  <r>
    <x v="99"/>
    <x v="7"/>
    <s v="Meta Ads"/>
    <x v="3"/>
    <s v="EdTech"/>
    <x v="3"/>
    <n v="153057"/>
    <n v="2969"/>
    <n v="1.9400000000000001E-2"/>
    <n v="2.2400000000000002"/>
    <n v="6650.56"/>
    <n v="148"/>
    <n v="44.94"/>
    <n v="28216.02"/>
    <n v="21565.46"/>
    <n v="3.24265325025261"/>
    <n v="4.24"/>
    <s v="High"/>
    <s v="Valid"/>
  </r>
  <r>
    <x v="262"/>
    <x v="9"/>
    <s v="Google Ads"/>
    <x v="0"/>
    <s v="SaaS"/>
    <x v="1"/>
    <n v="78635"/>
    <n v="2587"/>
    <n v="3.2899999999999999E-2"/>
    <n v="2.35"/>
    <n v="6079.45"/>
    <n v="106"/>
    <n v="57.35"/>
    <n v="21303.72"/>
    <n v="15224.27"/>
    <n v="2.5042183092220514"/>
    <n v="3.5"/>
    <s v="High"/>
    <s v="Valid"/>
  </r>
  <r>
    <x v="30"/>
    <x v="6"/>
    <s v="Meta Ads"/>
    <x v="3"/>
    <s v="Healthcare"/>
    <x v="0"/>
    <n v="54031"/>
    <n v="2215"/>
    <n v="4.1000000000000002E-2"/>
    <n v="1.66"/>
    <n v="3676.9"/>
    <n v="157"/>
    <n v="23.42"/>
    <n v="22778.62"/>
    <n v="19101.719999999998"/>
    <n v="5.1950610568685569"/>
    <n v="6.2"/>
    <s v="High"/>
    <s v="Valid"/>
  </r>
  <r>
    <x v="300"/>
    <x v="7"/>
    <s v="Google Ads"/>
    <x v="1"/>
    <s v="SaaS"/>
    <x v="3"/>
    <n v="162743"/>
    <n v="8723"/>
    <n v="5.3600000000000002E-2"/>
    <n v="1.77"/>
    <n v="15439.71"/>
    <n v="106"/>
    <n v="145.66"/>
    <n v="20056.78"/>
    <n v="4617.07"/>
    <n v="0.2990386477466222"/>
    <n v="1.3"/>
    <s v="Medium"/>
    <s v="Valid"/>
  </r>
  <r>
    <x v="246"/>
    <x v="4"/>
    <s v="Google Ads"/>
    <x v="3"/>
    <s v="Healthcare"/>
    <x v="4"/>
    <n v="144494"/>
    <n v="8409"/>
    <n v="5.8200000000000002E-2"/>
    <n v="3.04"/>
    <n v="25563.360000000001"/>
    <n v="93"/>
    <n v="274.87"/>
    <n v="20233.22"/>
    <n v="-5330.1399999999994"/>
    <n v="-0.20850701942154706"/>
    <n v="0.79"/>
    <s v="Low"/>
    <s v="Valid"/>
  </r>
  <r>
    <x v="102"/>
    <x v="6"/>
    <s v="Google Ads"/>
    <x v="0"/>
    <s v="Fintech"/>
    <x v="6"/>
    <n v="112549"/>
    <n v="6640"/>
    <n v="5.8999999999999997E-2"/>
    <n v="3.67"/>
    <n v="24368.799999999999"/>
    <n v="374"/>
    <n v="65.16"/>
    <n v="21696.69"/>
    <n v="-2672.1100000000006"/>
    <n v="-0.1096529168444897"/>
    <n v="0.89"/>
    <s v="Low"/>
    <s v="Valid"/>
  </r>
  <r>
    <x v="162"/>
    <x v="9"/>
    <s v="Google Ads"/>
    <x v="0"/>
    <s v="E-commerce"/>
    <x v="2"/>
    <n v="148994"/>
    <n v="7509"/>
    <n v="5.04E-2"/>
    <n v="3.46"/>
    <n v="25981.14"/>
    <n v="588"/>
    <n v="44.19"/>
    <n v="82753.509999999995"/>
    <n v="56772.369999999995"/>
    <n v="2.1851377576195654"/>
    <n v="3.19"/>
    <s v="High"/>
    <s v="Valid"/>
  </r>
  <r>
    <x v="291"/>
    <x v="6"/>
    <s v="Google Ads"/>
    <x v="3"/>
    <s v="Fintech"/>
    <x v="4"/>
    <n v="87373"/>
    <n v="3643"/>
    <n v="4.1700000000000001E-2"/>
    <n v="1.05"/>
    <n v="3825.15"/>
    <n v="289"/>
    <n v="13.24"/>
    <n v="35842.03"/>
    <n v="32016.879999999997"/>
    <n v="8.3700979046573334"/>
    <n v="9.3699999999999992"/>
    <s v="High"/>
    <s v="Valid"/>
  </r>
  <r>
    <x v="227"/>
    <x v="5"/>
    <s v="TikTok Ads"/>
    <x v="2"/>
    <s v="E-commerce"/>
    <x v="6"/>
    <n v="41200"/>
    <n v="1763"/>
    <n v="4.2799999999999998E-2"/>
    <n v="1.78"/>
    <n v="3138.14"/>
    <n v="101"/>
    <n v="31.07"/>
    <n v="27614.2"/>
    <n v="24476.06"/>
    <n v="7.7995436787396359"/>
    <n v="8.8000000000000007"/>
    <s v="High"/>
    <s v="Valid"/>
  </r>
  <r>
    <x v="162"/>
    <x v="9"/>
    <s v="Google Ads"/>
    <x v="0"/>
    <s v="Fintech"/>
    <x v="5"/>
    <n v="51986"/>
    <n v="1996"/>
    <n v="3.8399999999999997E-2"/>
    <n v="1.53"/>
    <n v="3053.88"/>
    <n v="82"/>
    <n v="37.24"/>
    <n v="20819.66"/>
    <n v="17765.78"/>
    <n v="5.8174453482127646"/>
    <n v="6.82"/>
    <s v="High"/>
    <s v="Valid"/>
  </r>
  <r>
    <x v="5"/>
    <x v="3"/>
    <s v="Meta Ads"/>
    <x v="0"/>
    <s v="Fintech"/>
    <x v="3"/>
    <n v="190392"/>
    <n v="6016"/>
    <n v="3.1600000000000003E-2"/>
    <n v="2.29"/>
    <n v="13776.64"/>
    <n v="165"/>
    <n v="83.49"/>
    <n v="35908.75"/>
    <n v="22132.11"/>
    <n v="1.6064954880144942"/>
    <n v="2.61"/>
    <s v="Medium"/>
    <s v="Valid"/>
  </r>
  <r>
    <x v="132"/>
    <x v="9"/>
    <s v="TikTok Ads"/>
    <x v="2"/>
    <s v="E-commerce"/>
    <x v="3"/>
    <n v="137817"/>
    <n v="8654"/>
    <n v="6.2799999999999995E-2"/>
    <n v="1.52"/>
    <n v="13154.08"/>
    <n v="392"/>
    <n v="33.56"/>
    <n v="54000.95"/>
    <n v="40846.869999999995"/>
    <n v="3.1052623976743332"/>
    <n v="4.1100000000000003"/>
    <s v="High"/>
    <s v="Valid"/>
  </r>
  <r>
    <x v="109"/>
    <x v="0"/>
    <s v="TikTok Ads"/>
    <x v="1"/>
    <s v="Fintech"/>
    <x v="2"/>
    <n v="153145"/>
    <n v="7197"/>
    <n v="4.7E-2"/>
    <n v="1.02"/>
    <n v="7340.94"/>
    <n v="89"/>
    <n v="82.48"/>
    <n v="6214.05"/>
    <n v="-1126.8899999999994"/>
    <n v="-0.15350758894637465"/>
    <n v="0.85"/>
    <s v="Low"/>
    <s v="Valid"/>
  </r>
  <r>
    <x v="40"/>
    <x v="11"/>
    <s v="Google Ads"/>
    <x v="2"/>
    <s v="E-commerce"/>
    <x v="2"/>
    <n v="20718"/>
    <n v="426"/>
    <n v="2.06E-2"/>
    <n v="2.65"/>
    <n v="1128.9000000000001"/>
    <n v="22"/>
    <n v="51.31"/>
    <n v="1505.14"/>
    <n v="376.24"/>
    <n v="0.33328018425015499"/>
    <n v="1.33"/>
    <s v="Medium"/>
    <s v="Valid"/>
  </r>
  <r>
    <x v="1"/>
    <x v="0"/>
    <s v="TikTok Ads"/>
    <x v="2"/>
    <s v="Fintech"/>
    <x v="3"/>
    <n v="5059"/>
    <n v="415"/>
    <n v="8.2199999999999995E-2"/>
    <n v="0.73"/>
    <n v="302.95"/>
    <n v="4"/>
    <n v="75.739999999999995"/>
    <n v="798.87"/>
    <n v="495.92"/>
    <n v="1.636969796996204"/>
    <n v="2.64"/>
    <s v="Medium"/>
    <s v="Valid"/>
  </r>
  <r>
    <x v="66"/>
    <x v="2"/>
    <s v="TikTok Ads"/>
    <x v="0"/>
    <s v="SaaS"/>
    <x v="2"/>
    <n v="96045"/>
    <n v="5820"/>
    <n v="6.0600000000000001E-2"/>
    <n v="0.31"/>
    <n v="1804.2"/>
    <n v="235"/>
    <n v="7.68"/>
    <n v="47063.54"/>
    <n v="45259.340000000004"/>
    <n v="25.085544839818205"/>
    <n v="26.09"/>
    <s v="High"/>
    <s v="Valid"/>
  </r>
  <r>
    <x v="202"/>
    <x v="8"/>
    <s v="Google Ads"/>
    <x v="3"/>
    <s v="E-commerce"/>
    <x v="0"/>
    <n v="12644"/>
    <n v="572"/>
    <n v="4.53E-2"/>
    <n v="2.2200000000000002"/>
    <n v="1269.8399999999999"/>
    <n v="36"/>
    <n v="35.270000000000003"/>
    <n v="7362.94"/>
    <n v="6093.0999999999995"/>
    <n v="4.7983210483210481"/>
    <n v="5.8"/>
    <s v="High"/>
    <s v="Valid"/>
  </r>
  <r>
    <x v="223"/>
    <x v="10"/>
    <s v="Google Ads"/>
    <x v="1"/>
    <s v="EdTech"/>
    <x v="4"/>
    <n v="91901"/>
    <n v="3326"/>
    <n v="3.6200000000000003E-2"/>
    <n v="2.58"/>
    <n v="8581.08"/>
    <n v="261"/>
    <n v="32.880000000000003"/>
    <n v="77117.41"/>
    <n v="68536.33"/>
    <n v="7.9869119038629171"/>
    <n v="8.99"/>
    <s v="High"/>
    <s v="Valid"/>
  </r>
  <r>
    <x v="230"/>
    <x v="11"/>
    <s v="Google Ads"/>
    <x v="0"/>
    <s v="Fintech"/>
    <x v="4"/>
    <n v="120431"/>
    <n v="6262"/>
    <n v="5.1999999999999998E-2"/>
    <n v="2.77"/>
    <n v="17345.740000000002"/>
    <n v="188"/>
    <n v="92.26"/>
    <n v="8830.89"/>
    <n v="-8514.8500000000022"/>
    <n v="-0.49088998220888824"/>
    <n v="0.51"/>
    <s v="Low"/>
    <s v="Valid"/>
  </r>
  <r>
    <x v="139"/>
    <x v="0"/>
    <s v="Google Ads"/>
    <x v="0"/>
    <s v="Fintech"/>
    <x v="3"/>
    <n v="7948"/>
    <n v="289"/>
    <n v="3.6400000000000002E-2"/>
    <n v="2.0699999999999998"/>
    <n v="598.23"/>
    <n v="6"/>
    <n v="99.7"/>
    <n v="1368.08"/>
    <n v="769.84999999999991"/>
    <n v="1.2868796282366313"/>
    <n v="2.29"/>
    <s v="Medium"/>
    <s v="Valid"/>
  </r>
  <r>
    <x v="6"/>
    <x v="4"/>
    <s v="Meta Ads"/>
    <x v="1"/>
    <s v="E-commerce"/>
    <x v="0"/>
    <n v="108924"/>
    <n v="2134"/>
    <n v="1.9599999999999999E-2"/>
    <n v="0.41"/>
    <n v="874.94"/>
    <n v="85"/>
    <n v="10.29"/>
    <n v="7418.36"/>
    <n v="6543.42"/>
    <n v="7.4787071113447778"/>
    <n v="8.48"/>
    <s v="High"/>
    <s v="Valid"/>
  </r>
  <r>
    <x v="230"/>
    <x v="11"/>
    <s v="Google Ads"/>
    <x v="0"/>
    <s v="SaaS"/>
    <x v="3"/>
    <n v="66402"/>
    <n v="2695"/>
    <n v="4.0599999999999997E-2"/>
    <n v="1.86"/>
    <n v="5012.7"/>
    <n v="199"/>
    <n v="25.19"/>
    <n v="14266.46"/>
    <n v="9253.7599999999984"/>
    <n v="1.8460629999800504"/>
    <n v="2.85"/>
    <s v="Medium"/>
    <s v="Valid"/>
  </r>
  <r>
    <x v="23"/>
    <x v="4"/>
    <s v="Google Ads"/>
    <x v="3"/>
    <s v="EdTech"/>
    <x v="4"/>
    <n v="96676"/>
    <n v="5326"/>
    <n v="5.5100000000000003E-2"/>
    <n v="1.67"/>
    <n v="8894.42"/>
    <n v="355"/>
    <n v="25.05"/>
    <n v="14113.5"/>
    <n v="5219.08"/>
    <n v="0.58678137528922625"/>
    <n v="1.59"/>
    <s v="Medium"/>
    <s v="Valid"/>
  </r>
  <r>
    <x v="346"/>
    <x v="5"/>
    <s v="Meta Ads"/>
    <x v="0"/>
    <s v="Fintech"/>
    <x v="2"/>
    <n v="10108"/>
    <n v="320"/>
    <n v="3.1699999999999999E-2"/>
    <n v="0.51"/>
    <n v="163.19999999999999"/>
    <n v="8"/>
    <n v="20.399999999999999"/>
    <n v="624.20000000000005"/>
    <n v="461.00000000000006"/>
    <n v="2.8247549019607847"/>
    <n v="3.82"/>
    <s v="High"/>
    <s v="Valid"/>
  </r>
  <r>
    <x v="230"/>
    <x v="11"/>
    <s v="Google Ads"/>
    <x v="0"/>
    <s v="SaaS"/>
    <x v="1"/>
    <n v="23936"/>
    <n v="1211"/>
    <n v="5.0599999999999999E-2"/>
    <n v="2.7"/>
    <n v="3269.7"/>
    <n v="49"/>
    <n v="66.73"/>
    <n v="7236.18"/>
    <n v="3966.4800000000005"/>
    <n v="1.2131021194605012"/>
    <n v="2.21"/>
    <s v="Medium"/>
    <s v="Valid"/>
  </r>
  <r>
    <x v="95"/>
    <x v="8"/>
    <s v="Meta Ads"/>
    <x v="3"/>
    <s v="SaaS"/>
    <x v="5"/>
    <n v="157455"/>
    <n v="3810"/>
    <n v="2.4199999999999999E-2"/>
    <n v="1.24"/>
    <n v="4724.3999999999996"/>
    <n v="244"/>
    <n v="19.36"/>
    <n v="55928.06"/>
    <n v="51203.659999999996"/>
    <n v="10.838129709592753"/>
    <n v="11.84"/>
    <s v="High"/>
    <s v="Valid"/>
  </r>
  <r>
    <x v="197"/>
    <x v="11"/>
    <s v="Google Ads"/>
    <x v="2"/>
    <s v="Fintech"/>
    <x v="6"/>
    <n v="165805"/>
    <n v="9832"/>
    <n v="5.9299999999999999E-2"/>
    <n v="2.76"/>
    <n v="27136.32"/>
    <n v="509"/>
    <n v="53.31"/>
    <n v="143237.84"/>
    <n v="116101.51999999999"/>
    <n v="4.2784548531267319"/>
    <n v="5.28"/>
    <s v="High"/>
    <s v="Valid"/>
  </r>
  <r>
    <x v="145"/>
    <x v="3"/>
    <s v="Meta Ads"/>
    <x v="0"/>
    <s v="Fintech"/>
    <x v="2"/>
    <n v="69385"/>
    <n v="2650"/>
    <n v="3.8199999999999998E-2"/>
    <n v="1.7"/>
    <n v="4505"/>
    <n v="160"/>
    <n v="28.16"/>
    <n v="32080.73"/>
    <n v="27575.73"/>
    <n v="6.121138734739179"/>
    <n v="7.12"/>
    <s v="High"/>
    <s v="Valid"/>
  </r>
  <r>
    <x v="43"/>
    <x v="5"/>
    <s v="TikTok Ads"/>
    <x v="1"/>
    <s v="Healthcare"/>
    <x v="6"/>
    <n v="89944"/>
    <n v="2644"/>
    <n v="2.9399999999999999E-2"/>
    <n v="0.31"/>
    <n v="819.64"/>
    <n v="80"/>
    <n v="10.25"/>
    <n v="12715.09"/>
    <n v="11895.45"/>
    <n v="14.513017910302086"/>
    <n v="15.51"/>
    <s v="High"/>
    <s v="Valid"/>
  </r>
  <r>
    <x v="187"/>
    <x v="5"/>
    <s v="Meta Ads"/>
    <x v="0"/>
    <s v="SaaS"/>
    <x v="5"/>
    <n v="62603"/>
    <n v="1396"/>
    <n v="2.23E-2"/>
    <n v="1.5"/>
    <n v="2094"/>
    <n v="17"/>
    <n v="123.18"/>
    <n v="2988.24"/>
    <n v="894.23999999999978"/>
    <n v="0.42704871060171912"/>
    <n v="1.43"/>
    <s v="Medium"/>
    <s v="Valid"/>
  </r>
  <r>
    <x v="108"/>
    <x v="0"/>
    <s v="Meta Ads"/>
    <x v="2"/>
    <s v="EdTech"/>
    <x v="2"/>
    <n v="62284"/>
    <n v="1413"/>
    <n v="2.2700000000000001E-2"/>
    <n v="1.06"/>
    <n v="1497.78"/>
    <n v="88"/>
    <n v="17.02"/>
    <n v="10561.64"/>
    <n v="9063.8599999999988"/>
    <n v="6.0515295971370957"/>
    <n v="7.05"/>
    <s v="High"/>
    <s v="Valid"/>
  </r>
  <r>
    <x v="102"/>
    <x v="6"/>
    <s v="Meta Ads"/>
    <x v="1"/>
    <s v="EdTech"/>
    <x v="2"/>
    <n v="172812"/>
    <n v="2972"/>
    <n v="1.72E-2"/>
    <n v="0.99"/>
    <n v="2942.28"/>
    <n v="178"/>
    <n v="16.53"/>
    <n v="47180.83"/>
    <n v="44238.55"/>
    <n v="15.035465693271885"/>
    <n v="16.04"/>
    <s v="High"/>
    <s v="Valid"/>
  </r>
  <r>
    <x v="93"/>
    <x v="0"/>
    <s v="Google Ads"/>
    <x v="0"/>
    <s v="Healthcare"/>
    <x v="0"/>
    <n v="82764"/>
    <n v="2276"/>
    <n v="2.75E-2"/>
    <n v="0.91"/>
    <n v="2071.16"/>
    <n v="130"/>
    <n v="15.93"/>
    <n v="22792.2"/>
    <n v="20721.04"/>
    <n v="10.004557832325847"/>
    <n v="11"/>
    <s v="High"/>
    <s v="Valid"/>
  </r>
  <r>
    <x v="219"/>
    <x v="5"/>
    <s v="Meta Ads"/>
    <x v="0"/>
    <s v="E-commerce"/>
    <x v="5"/>
    <n v="133260"/>
    <n v="2611"/>
    <n v="1.9599999999999999E-2"/>
    <n v="2.08"/>
    <n v="5430.88"/>
    <n v="108"/>
    <n v="50.29"/>
    <n v="16755.509999999998"/>
    <n v="11324.629999999997"/>
    <n v="2.0852292814424178"/>
    <n v="3.09"/>
    <s v="High"/>
    <s v="Valid"/>
  </r>
  <r>
    <x v="125"/>
    <x v="10"/>
    <s v="Google Ads"/>
    <x v="0"/>
    <s v="Fintech"/>
    <x v="6"/>
    <n v="188420"/>
    <n v="9364"/>
    <n v="4.9700000000000001E-2"/>
    <n v="2.65"/>
    <n v="24814.6"/>
    <n v="324"/>
    <n v="76.59"/>
    <n v="68719.44"/>
    <n v="43904.840000000004"/>
    <n v="1.7693148388448738"/>
    <n v="2.77"/>
    <s v="Medium"/>
    <s v="Valid"/>
  </r>
  <r>
    <x v="50"/>
    <x v="2"/>
    <s v="Google Ads"/>
    <x v="2"/>
    <s v="Fintech"/>
    <x v="1"/>
    <n v="89431"/>
    <n v="3300"/>
    <n v="3.6900000000000002E-2"/>
    <n v="1.47"/>
    <n v="4851"/>
    <n v="56"/>
    <n v="86.62"/>
    <n v="9891.8799999999992"/>
    <n v="5040.8799999999992"/>
    <n v="1.0391424448567304"/>
    <n v="2.04"/>
    <s v="Medium"/>
    <s v="Valid"/>
  </r>
  <r>
    <x v="144"/>
    <x v="0"/>
    <s v="Google Ads"/>
    <x v="3"/>
    <s v="E-commerce"/>
    <x v="2"/>
    <n v="52897"/>
    <n v="1883"/>
    <n v="3.56E-2"/>
    <n v="2.77"/>
    <n v="5215.91"/>
    <n v="108"/>
    <n v="48.3"/>
    <n v="5473.28"/>
    <n v="257.36999999999989"/>
    <n v="4.9343259373723837E-2"/>
    <n v="1.05"/>
    <s v="Medium"/>
    <s v="Valid"/>
  </r>
  <r>
    <x v="77"/>
    <x v="1"/>
    <s v="Google Ads"/>
    <x v="2"/>
    <s v="SaaS"/>
    <x v="1"/>
    <n v="83334"/>
    <n v="3341"/>
    <n v="4.0099999999999997E-2"/>
    <n v="1.73"/>
    <n v="5779.93"/>
    <n v="256"/>
    <n v="22.58"/>
    <n v="32514.9"/>
    <n v="26734.97"/>
    <n v="4.6254833536046283"/>
    <n v="5.63"/>
    <s v="High"/>
    <s v="Valid"/>
  </r>
  <r>
    <x v="165"/>
    <x v="3"/>
    <s v="TikTok Ads"/>
    <x v="2"/>
    <s v="SaaS"/>
    <x v="2"/>
    <n v="180721"/>
    <n v="9379"/>
    <n v="5.1900000000000002E-2"/>
    <n v="1.3"/>
    <n v="12192.7"/>
    <n v="286"/>
    <n v="42.63"/>
    <n v="52558.42"/>
    <n v="40365.72"/>
    <n v="3.310646534401732"/>
    <n v="4.3099999999999996"/>
    <s v="High"/>
    <s v="Valid"/>
  </r>
  <r>
    <x v="339"/>
    <x v="9"/>
    <s v="TikTok Ads"/>
    <x v="3"/>
    <s v="Healthcare"/>
    <x v="6"/>
    <n v="195759"/>
    <n v="7262"/>
    <n v="3.7100000000000001E-2"/>
    <n v="0.47"/>
    <n v="3413.14"/>
    <n v="75"/>
    <n v="45.51"/>
    <n v="16681.830000000002"/>
    <n v="13268.690000000002"/>
    <n v="3.8875317156635831"/>
    <n v="4.8899999999999997"/>
    <s v="High"/>
    <s v="Valid"/>
  </r>
  <r>
    <x v="87"/>
    <x v="10"/>
    <s v="Google Ads"/>
    <x v="1"/>
    <s v="SaaS"/>
    <x v="2"/>
    <n v="158514"/>
    <n v="4565"/>
    <n v="2.8799999999999999E-2"/>
    <n v="2.14"/>
    <n v="9769.1"/>
    <n v="235"/>
    <n v="41.57"/>
    <n v="15388.32"/>
    <n v="5619.2199999999993"/>
    <n v="0.57520344760520403"/>
    <n v="1.58"/>
    <s v="Medium"/>
    <s v="Valid"/>
  </r>
  <r>
    <x v="44"/>
    <x v="8"/>
    <s v="Meta Ads"/>
    <x v="1"/>
    <s v="SaaS"/>
    <x v="2"/>
    <n v="82948"/>
    <n v="2347"/>
    <n v="2.8299999999999999E-2"/>
    <n v="2.31"/>
    <n v="5421.57"/>
    <n v="65"/>
    <n v="83.41"/>
    <n v="10510.94"/>
    <n v="5089.3700000000008"/>
    <n v="0.93872623612717365"/>
    <n v="1.94"/>
    <s v="Medium"/>
    <s v="Valid"/>
  </r>
  <r>
    <x v="341"/>
    <x v="2"/>
    <s v="Google Ads"/>
    <x v="1"/>
    <s v="SaaS"/>
    <x v="4"/>
    <n v="44420"/>
    <n v="1066"/>
    <n v="2.4E-2"/>
    <n v="3.64"/>
    <n v="3880.24"/>
    <n v="44"/>
    <n v="88.19"/>
    <n v="2655.91"/>
    <n v="-1224.33"/>
    <n v="-0.31552945178648745"/>
    <n v="0.68"/>
    <s v="Low"/>
    <s v="Valid"/>
  </r>
  <r>
    <x v="209"/>
    <x v="2"/>
    <s v="TikTok Ads"/>
    <x v="0"/>
    <s v="Fintech"/>
    <x v="0"/>
    <n v="57006"/>
    <n v="2981"/>
    <n v="5.2299999999999999E-2"/>
    <n v="1.1000000000000001"/>
    <n v="3279.1"/>
    <n v="192"/>
    <n v="17.079999999999998"/>
    <n v="40566.370000000003"/>
    <n v="37287.270000000004"/>
    <n v="11.371190265621665"/>
    <n v="12.37"/>
    <s v="High"/>
    <s v="Valid"/>
  </r>
  <r>
    <x v="285"/>
    <x v="4"/>
    <s v="Meta Ads"/>
    <x v="1"/>
    <s v="SaaS"/>
    <x v="2"/>
    <n v="37588"/>
    <n v="1191"/>
    <n v="3.1699999999999999E-2"/>
    <n v="1.96"/>
    <n v="2334.36"/>
    <n v="48"/>
    <n v="48.63"/>
    <n v="13381.03"/>
    <n v="11046.67"/>
    <n v="4.7322049726691686"/>
    <n v="5.73"/>
    <s v="High"/>
    <s v="Valid"/>
  </r>
  <r>
    <x v="341"/>
    <x v="2"/>
    <s v="TikTok Ads"/>
    <x v="2"/>
    <s v="Healthcare"/>
    <x v="6"/>
    <n v="196605"/>
    <n v="14922"/>
    <n v="7.5899999999999995E-2"/>
    <n v="1.76"/>
    <n v="26262.720000000001"/>
    <n v="757"/>
    <n v="34.69"/>
    <n v="181823.28"/>
    <n v="155560.56"/>
    <n v="5.9232463354900018"/>
    <n v="6.92"/>
    <s v="High"/>
    <s v="Valid"/>
  </r>
  <r>
    <x v="227"/>
    <x v="5"/>
    <s v="Meta Ads"/>
    <x v="1"/>
    <s v="Fintech"/>
    <x v="3"/>
    <n v="59376"/>
    <n v="564"/>
    <n v="9.4999999999999998E-3"/>
    <n v="0.64"/>
    <n v="360.96"/>
    <n v="25"/>
    <n v="14.44"/>
    <n v="4065.83"/>
    <n v="3704.87"/>
    <n v="10.263935062056738"/>
    <n v="11.26"/>
    <s v="High"/>
    <s v="Valid"/>
  </r>
  <r>
    <x v="95"/>
    <x v="8"/>
    <s v="Meta Ads"/>
    <x v="1"/>
    <s v="E-commerce"/>
    <x v="5"/>
    <n v="15865"/>
    <n v="528"/>
    <n v="3.3300000000000003E-2"/>
    <n v="1.88"/>
    <n v="992.64"/>
    <n v="39"/>
    <n v="25.45"/>
    <n v="3165.22"/>
    <n v="2172.58"/>
    <n v="2.1886887491940681"/>
    <n v="3.19"/>
    <s v="High"/>
    <s v="Valid"/>
  </r>
  <r>
    <x v="27"/>
    <x v="6"/>
    <s v="Google Ads"/>
    <x v="1"/>
    <s v="EdTech"/>
    <x v="0"/>
    <n v="80511"/>
    <n v="3622"/>
    <n v="4.4999999999999998E-2"/>
    <n v="3.32"/>
    <n v="12025.04"/>
    <n v="140"/>
    <n v="85.89"/>
    <n v="31780.44"/>
    <n v="19755.399999999998"/>
    <n v="1.6428552420615645"/>
    <n v="2.64"/>
    <s v="Medium"/>
    <s v="Valid"/>
  </r>
  <r>
    <x v="249"/>
    <x v="1"/>
    <s v="Google Ads"/>
    <x v="2"/>
    <s v="E-commerce"/>
    <x v="1"/>
    <n v="143944"/>
    <n v="7873"/>
    <n v="5.4699999999999999E-2"/>
    <n v="2.11"/>
    <n v="16612.03"/>
    <n v="513"/>
    <n v="32.380000000000003"/>
    <n v="65899.820000000007"/>
    <n v="49287.790000000008"/>
    <n v="2.9669937990721191"/>
    <n v="3.97"/>
    <s v="High"/>
    <s v="Valid"/>
  </r>
  <r>
    <x v="125"/>
    <x v="10"/>
    <s v="Meta Ads"/>
    <x v="0"/>
    <s v="SaaS"/>
    <x v="1"/>
    <n v="44612"/>
    <n v="811"/>
    <n v="1.8200000000000001E-2"/>
    <n v="2"/>
    <n v="1622"/>
    <n v="23"/>
    <n v="70.52"/>
    <n v="1008.1"/>
    <n v="-613.9"/>
    <n v="-0.37848335388409371"/>
    <n v="0.62"/>
    <s v="Low"/>
    <s v="Valid"/>
  </r>
  <r>
    <x v="9"/>
    <x v="6"/>
    <s v="Google Ads"/>
    <x v="3"/>
    <s v="E-commerce"/>
    <x v="6"/>
    <n v="17299"/>
    <n v="479"/>
    <n v="2.7699999999999999E-2"/>
    <n v="1.94"/>
    <n v="929.26"/>
    <n v="30"/>
    <n v="30.98"/>
    <n v="3163.73"/>
    <n v="2234.4700000000003"/>
    <n v="2.4045692271269616"/>
    <n v="3.4"/>
    <s v="High"/>
    <s v="Valid"/>
  </r>
  <r>
    <x v="121"/>
    <x v="3"/>
    <s v="TikTok Ads"/>
    <x v="2"/>
    <s v="Healthcare"/>
    <x v="0"/>
    <n v="71514"/>
    <n v="3354"/>
    <n v="4.6899999999999997E-2"/>
    <n v="1.31"/>
    <n v="4393.74"/>
    <n v="165"/>
    <n v="26.63"/>
    <n v="17363.87"/>
    <n v="12970.13"/>
    <n v="2.9519566474119996"/>
    <n v="3.95"/>
    <s v="High"/>
    <s v="Valid"/>
  </r>
  <r>
    <x v="147"/>
    <x v="11"/>
    <s v="Google Ads"/>
    <x v="1"/>
    <s v="E-commerce"/>
    <x v="5"/>
    <n v="37135"/>
    <n v="1006"/>
    <n v="2.7099999999999999E-2"/>
    <n v="1.92"/>
    <n v="1931.52"/>
    <n v="62"/>
    <n v="31.15"/>
    <n v="17772.87"/>
    <n v="15841.349999999999"/>
    <n v="8.2014941600397613"/>
    <n v="9.1999999999999993"/>
    <s v="High"/>
    <s v="Valid"/>
  </r>
  <r>
    <x v="268"/>
    <x v="6"/>
    <s v="Google Ads"/>
    <x v="3"/>
    <s v="EdTech"/>
    <x v="0"/>
    <n v="80542"/>
    <n v="4236"/>
    <n v="5.2600000000000001E-2"/>
    <n v="2.15"/>
    <n v="9107.4"/>
    <n v="104"/>
    <n v="87.57"/>
    <n v="15932.35"/>
    <n v="6824.9500000000007"/>
    <n v="0.74938511540066333"/>
    <n v="1.75"/>
    <s v="Medium"/>
    <s v="Valid"/>
  </r>
  <r>
    <x v="187"/>
    <x v="5"/>
    <s v="Google Ads"/>
    <x v="2"/>
    <s v="E-commerce"/>
    <x v="6"/>
    <n v="112992"/>
    <n v="2802"/>
    <n v="2.4799999999999999E-2"/>
    <n v="3"/>
    <n v="8406"/>
    <n v="124"/>
    <n v="67.790000000000006"/>
    <n v="7395.68"/>
    <n v="-1010.3199999999997"/>
    <n v="-0.12019034023316676"/>
    <n v="0.88"/>
    <s v="Low"/>
    <s v="Valid"/>
  </r>
  <r>
    <x v="77"/>
    <x v="1"/>
    <s v="Meta Ads"/>
    <x v="0"/>
    <s v="SaaS"/>
    <x v="1"/>
    <n v="119863"/>
    <n v="1114"/>
    <n v="9.2999999999999992E-3"/>
    <n v="1.23"/>
    <n v="1370.22"/>
    <n v="75"/>
    <n v="18.27"/>
    <n v="21180.36"/>
    <n v="19810.14"/>
    <n v="14.457634540438761"/>
    <n v="15.46"/>
    <s v="High"/>
    <s v="Valid"/>
  </r>
  <r>
    <x v="110"/>
    <x v="2"/>
    <s v="TikTok Ads"/>
    <x v="0"/>
    <s v="Fintech"/>
    <x v="3"/>
    <n v="108806"/>
    <n v="5070"/>
    <n v="4.6600000000000003E-2"/>
    <n v="0.36"/>
    <n v="1825.2"/>
    <n v="279"/>
    <n v="6.54"/>
    <n v="26787.94"/>
    <n v="24962.739999999998"/>
    <n v="13.676714880561033"/>
    <n v="14.68"/>
    <s v="High"/>
    <s v="Valid"/>
  </r>
  <r>
    <x v="188"/>
    <x v="6"/>
    <s v="TikTok Ads"/>
    <x v="2"/>
    <s v="Healthcare"/>
    <x v="1"/>
    <n v="7234"/>
    <n v="496"/>
    <n v="6.8699999999999997E-2"/>
    <n v="0.71"/>
    <n v="352.16"/>
    <n v="10"/>
    <n v="35.22"/>
    <n v="399.8"/>
    <n v="47.639999999999986"/>
    <n v="0.13527941844616079"/>
    <n v="1.1399999999999999"/>
    <s v="Medium"/>
    <s v="Valid"/>
  </r>
  <r>
    <x v="343"/>
    <x v="8"/>
    <s v="Meta Ads"/>
    <x v="2"/>
    <s v="Fintech"/>
    <x v="6"/>
    <n v="143541"/>
    <n v="1980"/>
    <n v="1.38E-2"/>
    <n v="1.41"/>
    <n v="2791.8"/>
    <n v="152"/>
    <n v="18.37"/>
    <n v="42063.3"/>
    <n v="39271.5"/>
    <n v="14.066731141199226"/>
    <n v="15.07"/>
    <s v="High"/>
    <s v="Valid"/>
  </r>
  <r>
    <x v="37"/>
    <x v="11"/>
    <s v="TikTok Ads"/>
    <x v="1"/>
    <s v="EdTech"/>
    <x v="5"/>
    <n v="5497"/>
    <n v="231"/>
    <n v="4.2200000000000001E-2"/>
    <n v="1.38"/>
    <n v="318.77999999999997"/>
    <n v="18"/>
    <n v="17.71"/>
    <n v="4467.32"/>
    <n v="4148.54"/>
    <n v="13.013802622498275"/>
    <n v="14.01"/>
    <s v="High"/>
    <s v="Valid"/>
  </r>
  <r>
    <x v="296"/>
    <x v="11"/>
    <s v="Meta Ads"/>
    <x v="3"/>
    <s v="EdTech"/>
    <x v="1"/>
    <n v="160478"/>
    <n v="4413"/>
    <n v="2.75E-2"/>
    <n v="1.02"/>
    <n v="4501.26"/>
    <n v="82"/>
    <n v="54.89"/>
    <n v="13362.88"/>
    <n v="8861.619999999999"/>
    <n v="1.9686976535458958"/>
    <n v="2.97"/>
    <s v="Medium"/>
    <s v="Valid"/>
  </r>
  <r>
    <x v="35"/>
    <x v="3"/>
    <s v="Google Ads"/>
    <x v="1"/>
    <s v="E-commerce"/>
    <x v="1"/>
    <n v="116011"/>
    <n v="2726"/>
    <n v="2.35E-2"/>
    <n v="1.96"/>
    <n v="5342.96"/>
    <n v="127"/>
    <n v="42.07"/>
    <n v="4188.78"/>
    <n v="-1154.1800000000003"/>
    <n v="-0.21601883600101821"/>
    <n v="0.78"/>
    <s v="Low"/>
    <s v="Valid"/>
  </r>
  <r>
    <x v="300"/>
    <x v="7"/>
    <s v="Meta Ads"/>
    <x v="0"/>
    <s v="EdTech"/>
    <x v="3"/>
    <n v="166243"/>
    <n v="1895"/>
    <n v="1.14E-2"/>
    <n v="0.92"/>
    <n v="1743.4"/>
    <n v="51"/>
    <n v="34.18"/>
    <n v="5887.21"/>
    <n v="4143.8099999999995"/>
    <n v="2.3768555695766889"/>
    <n v="3.38"/>
    <s v="High"/>
    <s v="Valid"/>
  </r>
  <r>
    <x v="214"/>
    <x v="0"/>
    <s v="TikTok Ads"/>
    <x v="1"/>
    <s v="E-commerce"/>
    <x v="6"/>
    <n v="62868"/>
    <n v="2715"/>
    <n v="4.3200000000000002E-2"/>
    <n v="1.6"/>
    <n v="4344"/>
    <n v="180"/>
    <n v="24.13"/>
    <n v="35590.01"/>
    <n v="31246.010000000002"/>
    <n v="7.1929120626151022"/>
    <n v="8.19"/>
    <s v="High"/>
    <s v="Valid"/>
  </r>
  <r>
    <x v="91"/>
    <x v="9"/>
    <s v="Google Ads"/>
    <x v="1"/>
    <s v="EdTech"/>
    <x v="0"/>
    <n v="132953"/>
    <n v="8163"/>
    <n v="6.1400000000000003E-2"/>
    <n v="2.76"/>
    <n v="22529.88"/>
    <n v="130"/>
    <n v="173.31"/>
    <n v="16572.400000000001"/>
    <n v="-5957.48"/>
    <n v="-0.2644257315174337"/>
    <n v="0.74"/>
    <s v="Low"/>
    <s v="Valid"/>
  </r>
  <r>
    <x v="334"/>
    <x v="11"/>
    <s v="Meta Ads"/>
    <x v="3"/>
    <s v="Healthcare"/>
    <x v="0"/>
    <n v="107326"/>
    <n v="2436"/>
    <n v="2.2700000000000001E-2"/>
    <n v="0.77"/>
    <n v="1875.72"/>
    <n v="84"/>
    <n v="22.33"/>
    <n v="5936.35"/>
    <n v="4060.63"/>
    <n v="2.1648380355276906"/>
    <n v="3.16"/>
    <s v="High"/>
    <s v="Valid"/>
  </r>
  <r>
    <x v="211"/>
    <x v="11"/>
    <s v="TikTok Ads"/>
    <x v="0"/>
    <s v="E-commerce"/>
    <x v="6"/>
    <n v="24854"/>
    <n v="1106"/>
    <n v="4.4499999999999998E-2"/>
    <n v="1.1399999999999999"/>
    <n v="1260.8399999999999"/>
    <n v="38"/>
    <n v="33.18"/>
    <n v="8735.32"/>
    <n v="7474.48"/>
    <n v="5.9281748675486181"/>
    <n v="6.93"/>
    <s v="High"/>
    <s v="Valid"/>
  </r>
  <r>
    <x v="7"/>
    <x v="5"/>
    <s v="Google Ads"/>
    <x v="3"/>
    <s v="Healthcare"/>
    <x v="5"/>
    <n v="175949"/>
    <n v="7108"/>
    <n v="4.0399999999999998E-2"/>
    <n v="2.44"/>
    <n v="17343.52"/>
    <n v="75"/>
    <n v="231.25"/>
    <n v="22062.99"/>
    <n v="4719.4700000000012"/>
    <n v="0.27211719420279162"/>
    <n v="1.27"/>
    <s v="Medium"/>
    <s v="Valid"/>
  </r>
  <r>
    <x v="359"/>
    <x v="9"/>
    <s v="TikTok Ads"/>
    <x v="2"/>
    <s v="EdTech"/>
    <x v="2"/>
    <n v="131956"/>
    <n v="7772"/>
    <n v="5.8900000000000001E-2"/>
    <n v="0.28999999999999998"/>
    <n v="2253.88"/>
    <n v="211"/>
    <n v="10.68"/>
    <n v="23120.58"/>
    <n v="20866.7"/>
    <n v="9.2581237687898206"/>
    <n v="10.26"/>
    <s v="High"/>
    <s v="Valid"/>
  </r>
  <r>
    <x v="317"/>
    <x v="6"/>
    <s v="Google Ads"/>
    <x v="1"/>
    <s v="Healthcare"/>
    <x v="0"/>
    <n v="90096"/>
    <n v="4784"/>
    <n v="5.3100000000000001E-2"/>
    <n v="3.17"/>
    <n v="15165.28"/>
    <n v="310"/>
    <n v="48.92"/>
    <n v="81015.37"/>
    <n v="65850.09"/>
    <n v="4.3421611734171739"/>
    <n v="5.34"/>
    <s v="High"/>
    <s v="Valid"/>
  </r>
  <r>
    <x v="272"/>
    <x v="2"/>
    <s v="Google Ads"/>
    <x v="1"/>
    <s v="E-commerce"/>
    <x v="1"/>
    <n v="48766"/>
    <n v="1731"/>
    <n v="3.5499999999999997E-2"/>
    <n v="1.04"/>
    <n v="1800.24"/>
    <n v="44"/>
    <n v="40.909999999999997"/>
    <n v="12477.84"/>
    <n v="10677.6"/>
    <n v="5.9312091721103855"/>
    <n v="6.93"/>
    <s v="High"/>
    <s v="Valid"/>
  </r>
  <r>
    <x v="282"/>
    <x v="5"/>
    <s v="Meta Ads"/>
    <x v="3"/>
    <s v="Fintech"/>
    <x v="2"/>
    <n v="68989"/>
    <n v="2952"/>
    <n v="4.2799999999999998E-2"/>
    <n v="1.79"/>
    <n v="5284.08"/>
    <n v="169"/>
    <n v="31.27"/>
    <n v="14776.11"/>
    <n v="9492.0300000000007"/>
    <n v="1.7963448698732798"/>
    <n v="2.8"/>
    <s v="Medium"/>
    <s v="Valid"/>
  </r>
  <r>
    <x v="215"/>
    <x v="3"/>
    <s v="Google Ads"/>
    <x v="0"/>
    <s v="E-commerce"/>
    <x v="5"/>
    <n v="197557"/>
    <n v="4326"/>
    <n v="2.1899999999999999E-2"/>
    <n v="1.18"/>
    <n v="5104.68"/>
    <n v="259"/>
    <n v="19.71"/>
    <n v="39016.050000000003"/>
    <n v="33911.370000000003"/>
    <n v="6.6431921295752137"/>
    <n v="7.64"/>
    <s v="High"/>
    <s v="Valid"/>
  </r>
  <r>
    <x v="195"/>
    <x v="8"/>
    <s v="Google Ads"/>
    <x v="1"/>
    <s v="E-commerce"/>
    <x v="4"/>
    <n v="96178"/>
    <n v="4328"/>
    <n v="4.4999999999999998E-2"/>
    <n v="3.36"/>
    <n v="14542.08"/>
    <n v="275"/>
    <n v="52.88"/>
    <n v="37193.1"/>
    <n v="22651.019999999997"/>
    <n v="1.5576189926062844"/>
    <n v="2.56"/>
    <s v="Medium"/>
    <s v="Valid"/>
  </r>
  <r>
    <x v="99"/>
    <x v="7"/>
    <s v="TikTok Ads"/>
    <x v="2"/>
    <s v="Healthcare"/>
    <x v="5"/>
    <n v="144940"/>
    <n v="5333"/>
    <n v="3.6799999999999999E-2"/>
    <n v="1.31"/>
    <n v="6986.23"/>
    <n v="148"/>
    <n v="47.2"/>
    <n v="32610.09"/>
    <n v="25623.86"/>
    <n v="3.6677664491435298"/>
    <n v="4.67"/>
    <s v="High"/>
    <s v="Valid"/>
  </r>
  <r>
    <x v="337"/>
    <x v="5"/>
    <s v="TikTok Ads"/>
    <x v="2"/>
    <s v="SaaS"/>
    <x v="0"/>
    <n v="152322"/>
    <n v="13678"/>
    <n v="8.9800000000000005E-2"/>
    <n v="0.41"/>
    <n v="5607.98"/>
    <n v="813"/>
    <n v="6.9"/>
    <n v="103237.84"/>
    <n v="97629.86"/>
    <n v="17.40909561018406"/>
    <n v="18.41"/>
    <s v="High"/>
    <s v="Valid"/>
  </r>
  <r>
    <x v="257"/>
    <x v="4"/>
    <s v="Google Ads"/>
    <x v="3"/>
    <s v="EdTech"/>
    <x v="6"/>
    <n v="89124"/>
    <n v="2664"/>
    <n v="2.9899999999999999E-2"/>
    <n v="1.24"/>
    <n v="3303.36"/>
    <n v="198"/>
    <n v="16.68"/>
    <n v="52262.98"/>
    <n v="48959.62"/>
    <n v="14.821157851399787"/>
    <n v="15.82"/>
    <s v="High"/>
    <s v="Valid"/>
  </r>
  <r>
    <x v="94"/>
    <x v="9"/>
    <s v="Google Ads"/>
    <x v="1"/>
    <s v="Fintech"/>
    <x v="5"/>
    <n v="126404"/>
    <n v="2073"/>
    <n v="1.6400000000000001E-2"/>
    <n v="0.92"/>
    <n v="1907.16"/>
    <n v="24"/>
    <n v="79.47"/>
    <n v="3807.61"/>
    <n v="1900.45"/>
    <n v="0.9964816795654271"/>
    <n v="2"/>
    <s v="Medium"/>
    <s v="Valid"/>
  </r>
  <r>
    <x v="299"/>
    <x v="6"/>
    <s v="Meta Ads"/>
    <x v="0"/>
    <s v="Healthcare"/>
    <x v="4"/>
    <n v="84654"/>
    <n v="2937"/>
    <n v="3.4700000000000002E-2"/>
    <n v="1.84"/>
    <n v="5404.08"/>
    <n v="104"/>
    <n v="51.96"/>
    <n v="30747.279999999999"/>
    <n v="25343.199999999997"/>
    <n v="4.6896419001939273"/>
    <n v="5.69"/>
    <s v="High"/>
    <s v="Valid"/>
  </r>
  <r>
    <x v="234"/>
    <x v="1"/>
    <s v="Meta Ads"/>
    <x v="1"/>
    <s v="EdTech"/>
    <x v="3"/>
    <n v="95987"/>
    <n v="1919"/>
    <n v="0.02"/>
    <n v="1.71"/>
    <n v="3281.49"/>
    <n v="124"/>
    <n v="26.46"/>
    <n v="28533.79"/>
    <n v="25252.300000000003"/>
    <n v="7.695376185818029"/>
    <n v="8.6999999999999993"/>
    <s v="High"/>
    <s v="Valid"/>
  </r>
  <r>
    <x v="331"/>
    <x v="1"/>
    <s v="Google Ads"/>
    <x v="2"/>
    <s v="SaaS"/>
    <x v="0"/>
    <n v="154088"/>
    <n v="9106"/>
    <n v="5.91E-2"/>
    <n v="3.24"/>
    <n v="29503.439999999999"/>
    <n v="294"/>
    <n v="100.35"/>
    <n v="42565.78"/>
    <n v="13062.34"/>
    <n v="0.44273955850572005"/>
    <n v="1.44"/>
    <s v="Medium"/>
    <s v="Valid"/>
  </r>
  <r>
    <x v="13"/>
    <x v="2"/>
    <s v="TikTok Ads"/>
    <x v="0"/>
    <s v="EdTech"/>
    <x v="6"/>
    <n v="71883"/>
    <n v="2077"/>
    <n v="2.8899999999999999E-2"/>
    <n v="1.71"/>
    <n v="3551.67"/>
    <n v="87"/>
    <n v="40.82"/>
    <n v="12811.32"/>
    <n v="9259.65"/>
    <n v="2.6071256620125181"/>
    <n v="3.61"/>
    <s v="High"/>
    <s v="Valid"/>
  </r>
  <r>
    <x v="265"/>
    <x v="10"/>
    <s v="Meta Ads"/>
    <x v="2"/>
    <s v="E-commerce"/>
    <x v="0"/>
    <n v="133716"/>
    <n v="1617"/>
    <n v="1.21E-2"/>
    <n v="0.85"/>
    <n v="1374.45"/>
    <n v="48"/>
    <n v="28.63"/>
    <n v="3570.09"/>
    <n v="2195.6400000000003"/>
    <n v="1.5974680781403472"/>
    <n v="2.6"/>
    <s v="Medium"/>
    <s v="Valid"/>
  </r>
  <r>
    <x v="25"/>
    <x v="9"/>
    <s v="TikTok Ads"/>
    <x v="3"/>
    <s v="Fintech"/>
    <x v="3"/>
    <n v="43319"/>
    <n v="2534"/>
    <n v="5.8500000000000003E-2"/>
    <n v="1.66"/>
    <n v="4206.4399999999996"/>
    <n v="111"/>
    <n v="37.9"/>
    <n v="10456.870000000001"/>
    <n v="6250.4300000000012"/>
    <n v="1.4859192095929104"/>
    <n v="2.4900000000000002"/>
    <s v="Medium"/>
    <s v="Valid"/>
  </r>
  <r>
    <x v="288"/>
    <x v="7"/>
    <s v="Google Ads"/>
    <x v="0"/>
    <s v="E-commerce"/>
    <x v="5"/>
    <n v="144911"/>
    <n v="7897"/>
    <n v="5.45E-2"/>
    <n v="1.63"/>
    <n v="12872.11"/>
    <n v="555"/>
    <n v="23.19"/>
    <n v="21004.5"/>
    <n v="8132.3899999999994"/>
    <n v="0.63178375573235457"/>
    <n v="1.63"/>
    <s v="Medium"/>
    <s v="Valid"/>
  </r>
  <r>
    <x v="309"/>
    <x v="3"/>
    <s v="Google Ads"/>
    <x v="0"/>
    <s v="Fintech"/>
    <x v="0"/>
    <n v="180634"/>
    <n v="7821"/>
    <n v="4.3299999999999998E-2"/>
    <n v="2.21"/>
    <n v="17284.41"/>
    <n v="581"/>
    <n v="29.75"/>
    <n v="136556.31"/>
    <n v="119271.9"/>
    <n v="6.9005479504362599"/>
    <n v="7.9"/>
    <s v="High"/>
    <s v="Valid"/>
  </r>
  <r>
    <x v="304"/>
    <x v="2"/>
    <s v="Meta Ads"/>
    <x v="3"/>
    <s v="EdTech"/>
    <x v="6"/>
    <n v="76095"/>
    <n v="2031"/>
    <n v="2.6700000000000002E-2"/>
    <n v="1.49"/>
    <n v="3026.19"/>
    <n v="135"/>
    <n v="22.42"/>
    <n v="33172.870000000003"/>
    <n v="30146.680000000004"/>
    <n v="9.9619257217821762"/>
    <n v="10.96"/>
    <s v="High"/>
    <s v="Valid"/>
  </r>
  <r>
    <x v="307"/>
    <x v="10"/>
    <s v="TikTok Ads"/>
    <x v="1"/>
    <s v="E-commerce"/>
    <x v="3"/>
    <n v="180128"/>
    <n v="10555"/>
    <n v="5.8599999999999999E-2"/>
    <n v="0.84"/>
    <n v="8866.2000000000007"/>
    <n v="707"/>
    <n v="12.54"/>
    <n v="200566.9"/>
    <n v="191700.69999999998"/>
    <n v="21.621517673862531"/>
    <n v="22.62"/>
    <s v="High"/>
    <s v="Valid"/>
  </r>
  <r>
    <x v="54"/>
    <x v="1"/>
    <s v="Meta Ads"/>
    <x v="3"/>
    <s v="EdTech"/>
    <x v="6"/>
    <n v="169849"/>
    <n v="5927"/>
    <n v="3.49E-2"/>
    <n v="0.94"/>
    <n v="5571.38"/>
    <n v="437"/>
    <n v="12.75"/>
    <n v="105321.92"/>
    <n v="99750.54"/>
    <n v="17.904099163941428"/>
    <n v="18.899999999999999"/>
    <s v="High"/>
    <s v="Valid"/>
  </r>
  <r>
    <x v="124"/>
    <x v="11"/>
    <s v="Meta Ads"/>
    <x v="1"/>
    <s v="Fintech"/>
    <x v="6"/>
    <n v="122974"/>
    <n v="2939"/>
    <n v="2.3900000000000001E-2"/>
    <n v="1.85"/>
    <n v="5437.15"/>
    <n v="91"/>
    <n v="59.75"/>
    <n v="26004.98"/>
    <n v="20567.830000000002"/>
    <n v="3.7828329179809281"/>
    <n v="4.78"/>
    <s v="High"/>
    <s v="Valid"/>
  </r>
  <r>
    <x v="203"/>
    <x v="4"/>
    <s v="Google Ads"/>
    <x v="0"/>
    <s v="E-commerce"/>
    <x v="2"/>
    <n v="28553"/>
    <n v="850"/>
    <n v="2.98E-2"/>
    <n v="2.06"/>
    <n v="1751"/>
    <n v="51"/>
    <n v="34.33"/>
    <n v="13010.72"/>
    <n v="11259.72"/>
    <n v="6.4304511707595653"/>
    <n v="7.43"/>
    <s v="High"/>
    <s v="Valid"/>
  </r>
  <r>
    <x v="207"/>
    <x v="0"/>
    <s v="Meta Ads"/>
    <x v="3"/>
    <s v="EdTech"/>
    <x v="1"/>
    <n v="77447"/>
    <n v="906"/>
    <n v="1.17E-2"/>
    <n v="1.1499999999999999"/>
    <n v="1041.9000000000001"/>
    <n v="29"/>
    <n v="35.93"/>
    <n v="8284.1299999999992"/>
    <n v="7242.23"/>
    <n v="6.9509837796333613"/>
    <n v="7.95"/>
    <s v="High"/>
    <s v="Val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6874E-4FBA-4F79-B2EF-4E4D77667BB5}" name="PivotTable18"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6:H49" firstHeaderRow="0" firstDataRow="1" firstDataCol="1"/>
  <pivotFields count="19">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13">
        <item x="0"/>
        <item x="2"/>
        <item x="11"/>
        <item x="5"/>
        <item x="8"/>
        <item x="1"/>
        <item x="10"/>
        <item x="4"/>
        <item x="7"/>
        <item x="3"/>
        <item x="6"/>
        <item x="9"/>
        <item t="default"/>
      </items>
    </pivotField>
    <pivotField showAll="0"/>
    <pivotField showAll="0"/>
    <pivotField showAll="0"/>
    <pivotField showAll="0">
      <items count="8">
        <item x="6"/>
        <item x="4"/>
        <item x="3"/>
        <item x="5"/>
        <item x="0"/>
        <item x="1"/>
        <item x="2"/>
        <item t="default"/>
      </items>
    </pivotField>
    <pivotField numFmtId="1" showAll="0"/>
    <pivotField numFmtId="1" showAll="0"/>
    <pivotField numFmtId="167" showAll="0"/>
    <pivotField numFmtId="2" showAll="0"/>
    <pivotField dataField="1" numFmtId="169" showAll="0"/>
    <pivotField numFmtId="1" showAll="0"/>
    <pivotField numFmtId="2" showAll="0"/>
    <pivotField dataField="1" numFmtId="169" showAll="0"/>
    <pivotField numFmtId="169" showAll="0"/>
    <pivotField numFmtId="169" showAll="0"/>
    <pivotField numFmtId="166"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ad_spend" fld="10" baseField="0" baseItem="0" numFmtId="169"/>
    <dataField name="Sum of revenue" fld="13" baseField="0" baseItem="0" numFmtId="169"/>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61B00-43F4-46EF-9E1E-DC0F89D64E84}" name="PivotTable1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8:I33" firstHeaderRow="0" firstDataRow="1" firstDataCol="1"/>
  <pivotFields count="19">
    <pivotField numFmtId="14" showAll="0"/>
    <pivotField showAll="0">
      <items count="13">
        <item x="0"/>
        <item x="2"/>
        <item x="11"/>
        <item x="5"/>
        <item x="8"/>
        <item x="1"/>
        <item x="10"/>
        <item x="4"/>
        <item x="7"/>
        <item x="3"/>
        <item x="6"/>
        <item x="9"/>
        <item t="default"/>
      </items>
    </pivotField>
    <pivotField showAll="0"/>
    <pivotField axis="axisRow" showAll="0">
      <items count="5">
        <item x="3"/>
        <item x="0"/>
        <item x="2"/>
        <item x="1"/>
        <item t="default"/>
      </items>
    </pivotField>
    <pivotField showAll="0"/>
    <pivotField showAll="0">
      <items count="8">
        <item x="6"/>
        <item x="4"/>
        <item x="3"/>
        <item x="5"/>
        <item x="0"/>
        <item x="1"/>
        <item x="2"/>
        <item t="default"/>
      </items>
    </pivotField>
    <pivotField numFmtId="1" showAll="0"/>
    <pivotField numFmtId="1" showAll="0"/>
    <pivotField dataField="1" numFmtId="167" showAll="0"/>
    <pivotField numFmtId="2" showAll="0"/>
    <pivotField numFmtId="169" showAll="0"/>
    <pivotField numFmtId="1" showAll="0"/>
    <pivotField dataField="1" numFmtId="2" showAll="0"/>
    <pivotField numFmtId="169" showAll="0"/>
    <pivotField numFmtId="169" showAll="0"/>
    <pivotField numFmtId="169" showAll="0"/>
    <pivotField numFmtId="166"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CTR" fld="8" subtotal="average" baseField="3" baseItem="0" numFmtId="167"/>
    <dataField name="Average of CPA" fld="12" subtotal="average" baseField="3"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121E7-2C57-449C-A72D-F09FB816FAF1}" name="PivotTable1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7:G25" firstHeaderRow="1" firstDataRow="1" firstDataCol="1"/>
  <pivotFields count="19">
    <pivotField numFmtId="14" showAll="0"/>
    <pivotField showAll="0">
      <items count="13">
        <item x="0"/>
        <item x="2"/>
        <item x="11"/>
        <item x="5"/>
        <item x="8"/>
        <item x="1"/>
        <item x="10"/>
        <item x="4"/>
        <item x="7"/>
        <item x="3"/>
        <item x="6"/>
        <item x="9"/>
        <item t="default"/>
      </items>
    </pivotField>
    <pivotField showAll="0"/>
    <pivotField showAll="0"/>
    <pivotField showAll="0"/>
    <pivotField axis="axisRow" showAll="0" sortType="descending">
      <items count="8">
        <item x="6"/>
        <item x="4"/>
        <item x="3"/>
        <item x="5"/>
        <item x="0"/>
        <item x="1"/>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67" showAll="0"/>
    <pivotField numFmtId="2" showAll="0"/>
    <pivotField numFmtId="169" showAll="0"/>
    <pivotField numFmtId="1" showAll="0"/>
    <pivotField numFmtId="2" showAll="0"/>
    <pivotField dataField="1" numFmtId="169" showAll="0"/>
    <pivotField numFmtId="169" showAll="0"/>
    <pivotField numFmtId="169" showAll="0"/>
    <pivotField numFmtId="166" showAll="0"/>
    <pivotField showAll="0"/>
    <pivotField showAll="0"/>
  </pivotFields>
  <rowFields count="1">
    <field x="5"/>
  </rowFields>
  <rowItems count="8">
    <i>
      <x v="4"/>
    </i>
    <i>
      <x/>
    </i>
    <i>
      <x v="3"/>
    </i>
    <i>
      <x v="1"/>
    </i>
    <i>
      <x v="2"/>
    </i>
    <i>
      <x v="5"/>
    </i>
    <i>
      <x v="6"/>
    </i>
    <i t="grand">
      <x/>
    </i>
  </rowItems>
  <colItems count="1">
    <i/>
  </colItems>
  <dataFields count="1">
    <dataField name="Sum of revenue" fld="13" baseField="0" baseItem="0" numFmtId="169"/>
  </dataFields>
  <chartFormats count="17">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4"/>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1"/>
          </reference>
        </references>
      </pivotArea>
    </chartFormat>
    <chartFormat chart="2" format="14">
      <pivotArea type="data" outline="0" fieldPosition="0">
        <references count="2">
          <reference field="4294967294" count="1" selected="0">
            <x v="0"/>
          </reference>
          <reference field="5" count="1" selected="0">
            <x v="2"/>
          </reference>
        </references>
      </pivotArea>
    </chartFormat>
    <chartFormat chart="2" format="15">
      <pivotArea type="data" outline="0" fieldPosition="0">
        <references count="2">
          <reference field="4294967294" count="1" selected="0">
            <x v="0"/>
          </reference>
          <reference field="5" count="1" selected="0">
            <x v="5"/>
          </reference>
        </references>
      </pivotArea>
    </chartFormat>
    <chartFormat chart="2" format="16">
      <pivotArea type="data" outline="0" fieldPosition="0">
        <references count="2">
          <reference field="4294967294" count="1" selected="0">
            <x v="0"/>
          </reference>
          <reference field="5" count="1" selected="0">
            <x v="6"/>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5" count="1" selected="0">
            <x v="4"/>
          </reference>
        </references>
      </pivotArea>
    </chartFormat>
    <chartFormat chart="4" format="19">
      <pivotArea type="data" outline="0" fieldPosition="0">
        <references count="2">
          <reference field="4294967294" count="1" selected="0">
            <x v="0"/>
          </reference>
          <reference field="5" count="1" selected="0">
            <x v="0"/>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 chart="4" format="21">
      <pivotArea type="data" outline="0" fieldPosition="0">
        <references count="2">
          <reference field="4294967294" count="1" selected="0">
            <x v="0"/>
          </reference>
          <reference field="5" count="1" selected="0">
            <x v="1"/>
          </reference>
        </references>
      </pivotArea>
    </chartFormat>
    <chartFormat chart="4" format="22">
      <pivotArea type="data" outline="0" fieldPosition="0">
        <references count="2">
          <reference field="4294967294" count="1" selected="0">
            <x v="0"/>
          </reference>
          <reference field="5" count="1" selected="0">
            <x v="2"/>
          </reference>
        </references>
      </pivotArea>
    </chartFormat>
    <chartFormat chart="4" format="23">
      <pivotArea type="data" outline="0" fieldPosition="0">
        <references count="2">
          <reference field="4294967294" count="1" selected="0">
            <x v="0"/>
          </reference>
          <reference field="5" count="1" selected="0">
            <x v="5"/>
          </reference>
        </references>
      </pivotArea>
    </chartFormat>
    <chartFormat chart="4" format="24">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0BA3AB-E9D1-49D7-941F-E46A170E05CA}" name="PivotTable1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8:G14" firstHeaderRow="1" firstDataRow="1" firstDataCol="1"/>
  <pivotFields count="17">
    <pivotField numFmtId="14" showAll="0"/>
    <pivotField showAll="0"/>
    <pivotField showAll="0">
      <items count="4">
        <item x="0"/>
        <item x="2"/>
        <item x="1"/>
        <item t="default"/>
      </items>
    </pivotField>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67" showAll="0"/>
    <pivotField numFmtId="2" showAll="0"/>
    <pivotField numFmtId="169" showAll="0"/>
    <pivotField numFmtId="1" showAll="0"/>
    <pivotField numFmtId="2" showAll="0"/>
    <pivotField numFmtId="169" showAll="0"/>
    <pivotField numFmtId="169" showAll="0"/>
    <pivotField numFmtId="169" showAll="0"/>
    <pivotField dataField="1" numFmtId="166" showAll="0"/>
  </pivotFields>
  <rowFields count="1">
    <field x="4"/>
  </rowFields>
  <rowItems count="6">
    <i>
      <x v="1"/>
    </i>
    <i>
      <x v="4"/>
    </i>
    <i>
      <x v="3"/>
    </i>
    <i>
      <x/>
    </i>
    <i>
      <x v="2"/>
    </i>
    <i t="grand">
      <x/>
    </i>
  </rowItems>
  <colItems count="1">
    <i/>
  </colItems>
  <dataFields count="1">
    <dataField name="Average of ROAS" fld="16" subtotal="average" baseField="4" baseItem="0" numFmtId="166"/>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6C0FFA-3F0E-4E1D-BDE3-502F99CC8162}" name="PivotTable1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I5" firstHeaderRow="0" firstDataRow="1" firstDataCol="1"/>
  <pivotFields count="17">
    <pivotField numFmtId="14" showAll="0"/>
    <pivotField showAll="0">
      <items count="13">
        <item x="0"/>
        <item x="2"/>
        <item x="11"/>
        <item x="5"/>
        <item x="8"/>
        <item x="1"/>
        <item x="10"/>
        <item x="4"/>
        <item x="7"/>
        <item x="3"/>
        <item x="6"/>
        <item x="9"/>
        <item t="default"/>
      </items>
    </pivotField>
    <pivotField axis="axisRow" showAll="0">
      <items count="4">
        <item x="0"/>
        <item x="2"/>
        <item x="1"/>
        <item t="default"/>
      </items>
    </pivotField>
    <pivotField showAll="0"/>
    <pivotField showAll="0">
      <items count="6">
        <item x="4"/>
        <item x="1"/>
        <item x="0"/>
        <item x="2"/>
        <item x="3"/>
        <item t="default"/>
      </items>
    </pivotField>
    <pivotField showAll="0"/>
    <pivotField numFmtId="1" showAll="0"/>
    <pivotField numFmtId="1" showAll="0"/>
    <pivotField numFmtId="167" showAll="0"/>
    <pivotField numFmtId="2" showAll="0"/>
    <pivotField dataField="1" numFmtId="169" showAll="0"/>
    <pivotField numFmtId="1" showAll="0"/>
    <pivotField numFmtId="2" showAll="0"/>
    <pivotField dataField="1" numFmtId="169" showAll="0"/>
    <pivotField numFmtId="169" showAll="0"/>
    <pivotField numFmtId="169" showAll="0"/>
    <pivotField numFmtId="166" showAll="0"/>
  </pivotFields>
  <rowFields count="1">
    <field x="2"/>
  </rowFields>
  <rowItems count="4">
    <i>
      <x/>
    </i>
    <i>
      <x v="1"/>
    </i>
    <i>
      <x v="2"/>
    </i>
    <i t="grand">
      <x/>
    </i>
  </rowItems>
  <colFields count="1">
    <field x="-2"/>
  </colFields>
  <colItems count="2">
    <i>
      <x/>
    </i>
    <i i="1">
      <x v="1"/>
    </i>
  </colItems>
  <dataFields count="2">
    <dataField name="Sum of ad_spend" fld="10" baseField="0" baseItem="0" numFmtId="169"/>
    <dataField name="Sum of revenue" fld="13" baseField="0" baseItem="0" numFmtId="16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D42F2-323C-4A4B-9CE2-2FE6CC1DD1FC}" name="PivotTable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D49" firstHeaderRow="0" firstDataRow="1" firstDataCol="1"/>
  <pivotFields count="19">
    <pivotField numFmtId="14" showAll="0"/>
    <pivotField axis="axisRow" showAll="0">
      <items count="13">
        <item x="0"/>
        <item x="2"/>
        <item x="11"/>
        <item x="5"/>
        <item x="8"/>
        <item x="1"/>
        <item x="10"/>
        <item x="4"/>
        <item x="7"/>
        <item x="3"/>
        <item x="6"/>
        <item x="9"/>
        <item t="default"/>
      </items>
    </pivotField>
    <pivotField showAll="0"/>
    <pivotField showAll="0"/>
    <pivotField showAll="0"/>
    <pivotField showAll="0">
      <items count="8">
        <item x="6"/>
        <item x="4"/>
        <item x="3"/>
        <item x="5"/>
        <item x="0"/>
        <item x="1"/>
        <item x="2"/>
        <item t="default"/>
      </items>
    </pivotField>
    <pivotField numFmtId="1" showAll="0"/>
    <pivotField numFmtId="1" showAll="0"/>
    <pivotField numFmtId="167" showAll="0"/>
    <pivotField numFmtId="2" showAll="0"/>
    <pivotField dataField="1" numFmtId="169" showAll="0"/>
    <pivotField numFmtId="1" showAll="0"/>
    <pivotField numFmtId="2" showAll="0"/>
    <pivotField dataField="1" numFmtId="169" showAll="0"/>
    <pivotField numFmtId="169" showAll="0"/>
    <pivotField numFmtId="169" showAll="0"/>
    <pivotField dataField="1" numFmtId="166"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d_spend" fld="10" baseField="0" baseItem="0" numFmtId="169"/>
    <dataField name="Sum of revenue" fld="13" baseField="0" baseItem="0" numFmtId="169"/>
    <dataField name="Average of ROAS" fld="16" subtotal="average" baseField="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EFE250-16C3-4D16-BC92-EBA2C41D9629}" name="PivotTable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E33" firstHeaderRow="0" firstDataRow="1" firstDataCol="1"/>
  <pivotFields count="19">
    <pivotField numFmtId="14" showAll="0"/>
    <pivotField showAll="0">
      <items count="13">
        <item x="0"/>
        <item x="2"/>
        <item x="11"/>
        <item x="5"/>
        <item x="8"/>
        <item x="1"/>
        <item x="10"/>
        <item x="4"/>
        <item x="7"/>
        <item x="3"/>
        <item x="6"/>
        <item x="9"/>
        <item t="default"/>
      </items>
    </pivotField>
    <pivotField showAll="0"/>
    <pivotField axis="axisRow" showAll="0">
      <items count="5">
        <item x="3"/>
        <item x="0"/>
        <item x="2"/>
        <item x="1"/>
        <item t="default"/>
      </items>
    </pivotField>
    <pivotField showAll="0"/>
    <pivotField showAll="0">
      <items count="8">
        <item x="6"/>
        <item x="4"/>
        <item x="3"/>
        <item x="5"/>
        <item x="0"/>
        <item x="1"/>
        <item x="2"/>
        <item t="default"/>
      </items>
    </pivotField>
    <pivotField numFmtId="1" showAll="0"/>
    <pivotField numFmtId="1" showAll="0"/>
    <pivotField dataField="1" numFmtId="167" showAll="0"/>
    <pivotField dataField="1" numFmtId="2" showAll="0"/>
    <pivotField numFmtId="169" showAll="0"/>
    <pivotField numFmtId="1" showAll="0"/>
    <pivotField dataField="1" numFmtId="2" showAll="0"/>
    <pivotField numFmtId="169" showAll="0"/>
    <pivotField numFmtId="169" showAll="0"/>
    <pivotField numFmtId="169" showAll="0"/>
    <pivotField dataField="1" numFmtId="166" showAll="0"/>
    <pivotField showAll="0"/>
    <pivotField showAll="0"/>
  </pivotFields>
  <rowFields count="1">
    <field x="3"/>
  </rowFields>
  <rowItems count="5">
    <i>
      <x/>
    </i>
    <i>
      <x v="1"/>
    </i>
    <i>
      <x v="2"/>
    </i>
    <i>
      <x v="3"/>
    </i>
    <i t="grand">
      <x/>
    </i>
  </rowItems>
  <colFields count="1">
    <field x="-2"/>
  </colFields>
  <colItems count="4">
    <i>
      <x/>
    </i>
    <i i="1">
      <x v="1"/>
    </i>
    <i i="2">
      <x v="2"/>
    </i>
    <i i="3">
      <x v="3"/>
    </i>
  </colItems>
  <dataFields count="4">
    <dataField name="Average of CTR" fld="8" subtotal="average" baseField="3" baseItem="0" numFmtId="167"/>
    <dataField name="Average of CPC" fld="9" subtotal="average" baseField="3" baseItem="0" numFmtId="2"/>
    <dataField name="Average of CPA" fld="12" subtotal="average" baseField="3" baseItem="0" numFmtId="2"/>
    <dataField name="Average of ROAS" fld="16" subtotal="average"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69933C-BB4E-4F29-A9DA-90AA75830416}" name="PivotTable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5" firstHeaderRow="0" firstDataRow="1" firstDataCol="1"/>
  <pivotFields count="19">
    <pivotField numFmtId="14" showAll="0"/>
    <pivotField showAll="0">
      <items count="13">
        <item x="0"/>
        <item x="2"/>
        <item x="11"/>
        <item x="5"/>
        <item x="8"/>
        <item x="1"/>
        <item x="10"/>
        <item x="4"/>
        <item x="7"/>
        <item x="3"/>
        <item x="6"/>
        <item x="9"/>
        <item t="default"/>
      </items>
    </pivotField>
    <pivotField showAll="0"/>
    <pivotField showAll="0"/>
    <pivotField showAll="0"/>
    <pivotField axis="axisRow" showAll="0" sortType="descending">
      <items count="8">
        <item x="6"/>
        <item x="4"/>
        <item x="3"/>
        <item x="5"/>
        <item x="0"/>
        <item x="1"/>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67" showAll="0"/>
    <pivotField numFmtId="2" showAll="0"/>
    <pivotField dataField="1" numFmtId="169" showAll="0"/>
    <pivotField numFmtId="1" showAll="0"/>
    <pivotField numFmtId="2" showAll="0"/>
    <pivotField dataField="1" numFmtId="169" showAll="0"/>
    <pivotField numFmtId="169" showAll="0"/>
    <pivotField numFmtId="169" showAll="0"/>
    <pivotField dataField="1" numFmtId="166" showAll="0"/>
    <pivotField showAll="0"/>
    <pivotField showAll="0"/>
  </pivotFields>
  <rowFields count="1">
    <field x="5"/>
  </rowFields>
  <rowItems count="8">
    <i>
      <x v="4"/>
    </i>
    <i>
      <x/>
    </i>
    <i>
      <x v="3"/>
    </i>
    <i>
      <x v="1"/>
    </i>
    <i>
      <x v="2"/>
    </i>
    <i>
      <x v="5"/>
    </i>
    <i>
      <x v="6"/>
    </i>
    <i t="grand">
      <x/>
    </i>
  </rowItems>
  <colFields count="1">
    <field x="-2"/>
  </colFields>
  <colItems count="3">
    <i>
      <x/>
    </i>
    <i i="1">
      <x v="1"/>
    </i>
    <i i="2">
      <x v="2"/>
    </i>
  </colItems>
  <dataFields count="3">
    <dataField name="Sum of revenue" fld="13" baseField="0" baseItem="0" numFmtId="169"/>
    <dataField name="Sum of ad_spend" fld="10" baseField="0" baseItem="0" numFmtId="169"/>
    <dataField name="Average of ROAS" fld="16" subtotal="average" baseField="5"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0F025-1CA3-4F32-AA80-FDA96E2DF86E}" name="PivotTable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D14" firstHeaderRow="0" firstDataRow="1" firstDataCol="1"/>
  <pivotFields count="17">
    <pivotField numFmtId="14" showAll="0"/>
    <pivotField showAll="0"/>
    <pivotField showAll="0">
      <items count="4">
        <item x="0"/>
        <item x="2"/>
        <item x="1"/>
        <item t="default"/>
      </items>
    </pivotField>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67" showAll="0"/>
    <pivotField numFmtId="2" showAll="0"/>
    <pivotField numFmtId="169" showAll="0"/>
    <pivotField numFmtId="1" showAll="0"/>
    <pivotField dataField="1" numFmtId="2" showAll="0"/>
    <pivotField numFmtId="169" showAll="0"/>
    <pivotField dataField="1" numFmtId="169" showAll="0"/>
    <pivotField numFmtId="169" showAll="0"/>
    <pivotField dataField="1" numFmtId="166" showAll="0"/>
  </pivotFields>
  <rowFields count="1">
    <field x="4"/>
  </rowFields>
  <rowItems count="6">
    <i>
      <x v="1"/>
    </i>
    <i>
      <x v="4"/>
    </i>
    <i>
      <x v="3"/>
    </i>
    <i>
      <x/>
    </i>
    <i>
      <x v="2"/>
    </i>
    <i t="grand">
      <x/>
    </i>
  </rowItems>
  <colFields count="1">
    <field x="-2"/>
  </colFields>
  <colItems count="3">
    <i>
      <x/>
    </i>
    <i i="1">
      <x v="1"/>
    </i>
    <i i="2">
      <x v="2"/>
    </i>
  </colItems>
  <dataFields count="3">
    <dataField name="Average of ROAS" fld="16" subtotal="average" baseField="4" baseItem="0" numFmtId="166"/>
    <dataField name="Average of CPA" fld="12" subtotal="average" baseField="3" baseItem="0" numFmtId="2"/>
    <dataField name="Sum of Profit" fld="14"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DD8DC7-0A9D-4528-8ED6-2B89D8B305FF}" name="PivotTable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5" firstHeaderRow="0" firstDataRow="1" firstDataCol="1"/>
  <pivotFields count="17">
    <pivotField numFmtId="14" showAll="0"/>
    <pivotField showAll="0"/>
    <pivotField axis="axisRow" showAll="0">
      <items count="4">
        <item x="0"/>
        <item x="2"/>
        <item x="1"/>
        <item t="default"/>
      </items>
    </pivotField>
    <pivotField showAll="0"/>
    <pivotField showAll="0">
      <items count="6">
        <item x="4"/>
        <item x="1"/>
        <item x="0"/>
        <item x="2"/>
        <item x="3"/>
        <item t="default"/>
      </items>
    </pivotField>
    <pivotField showAll="0"/>
    <pivotField numFmtId="1" showAll="0"/>
    <pivotField numFmtId="1" showAll="0"/>
    <pivotField numFmtId="167" showAll="0"/>
    <pivotField numFmtId="2" showAll="0"/>
    <pivotField dataField="1" numFmtId="169" showAll="0"/>
    <pivotField dataField="1" numFmtId="1" showAll="0"/>
    <pivotField numFmtId="2" showAll="0"/>
    <pivotField dataField="1" numFmtId="169" showAll="0"/>
    <pivotField numFmtId="169" showAll="0"/>
    <pivotField numFmtId="169" showAll="0"/>
    <pivotField dataField="1" numFmtId="166" showAll="0"/>
  </pivotFields>
  <rowFields count="1">
    <field x="2"/>
  </rowFields>
  <rowItems count="4">
    <i>
      <x/>
    </i>
    <i>
      <x v="1"/>
    </i>
    <i>
      <x v="2"/>
    </i>
    <i t="grand">
      <x/>
    </i>
  </rowItems>
  <colFields count="1">
    <field x="-2"/>
  </colFields>
  <colItems count="4">
    <i>
      <x/>
    </i>
    <i i="1">
      <x v="1"/>
    </i>
    <i i="2">
      <x v="2"/>
    </i>
    <i i="3">
      <x v="3"/>
    </i>
  </colItems>
  <dataFields count="4">
    <dataField name="Sum of ad_spend" fld="10" baseField="0" baseItem="0" numFmtId="169"/>
    <dataField name="Sum of revenue" fld="13" baseField="0" baseItem="0" numFmtId="169"/>
    <dataField name="Average of ROAS" fld="16" subtotal="average" baseField="1" baseItem="0" numFmtId="166"/>
    <dataField name="Sum of conversions"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24EA113-2449-4765-B614-33EB3DB63770}" sourceName="platform">
  <pivotTables>
    <pivotTable tabId="3" name="PivotTable14"/>
    <pivotTable tabId="3" name="PivotTable15"/>
  </pivotTables>
  <data>
    <tabular pivotCacheId="24588880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64A9A14-0917-493D-8698-F501E60F28F4}" sourceName="industry">
  <pivotTables>
    <pivotTable tabId="3" name="PivotTable14"/>
    <pivotTable tabId="3" name="PivotTable15"/>
  </pivotTables>
  <data>
    <tabular pivotCacheId="245888803">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7F13918-5010-4A99-A3EF-1A931BBC9CE9}" sourceName="country">
  <pivotTables>
    <pivotTable tabId="3" name="PivotTable16"/>
    <pivotTable tabId="3" name="PivotTable17"/>
    <pivotTable tabId="3" name="PivotTable18"/>
    <pivotTable tabId="3" name="PivotTable5"/>
    <pivotTable tabId="3" name="PivotTable6"/>
    <pivotTable tabId="3" name="PivotTable7"/>
  </pivotTables>
  <data>
    <tabular pivotCacheId="1902779348">
      <items count="7">
        <i x="6" s="1"/>
        <i x="4" s="1"/>
        <i x="3" s="1"/>
        <i x="5"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A9D877-D452-4D68-9EBF-B2066FB5084C}" sourceName="Month">
  <pivotTables>
    <pivotTable tabId="3" name="PivotTable18"/>
    <pivotTable tabId="3" name="PivotTable16"/>
    <pivotTable tabId="3" name="PivotTable17"/>
    <pivotTable tabId="3" name="PivotTable5"/>
    <pivotTable tabId="3" name="PivotTable6"/>
    <pivotTable tabId="3" name="PivotTable7"/>
  </pivotTables>
  <data>
    <tabular pivotCacheId="1902779348">
      <items count="12">
        <i x="0" s="1"/>
        <i x="2" s="1"/>
        <i x="11" s="1"/>
        <i x="5" s="1"/>
        <i x="8" s="1"/>
        <i x="1" s="1"/>
        <i x="10" s="1"/>
        <i x="4" s="1"/>
        <i x="7" s="1"/>
        <i x="3"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8A5395E4-2A8E-445B-9569-A722F02BFFCD}" cache="Slicer_platform" caption="platform" rowHeight="257175"/>
  <slicer name="industry" xr10:uid="{3BD01DDF-B2AF-446D-BF61-1DD2948B51DC}" cache="Slicer_industry" caption="industry" rowHeight="257175"/>
  <slicer name="country" xr10:uid="{1034CF68-C441-4F69-9556-C419F8E17328}" cache="Slicer_country" caption="country" rowHeight="257175"/>
  <slicer name="Month" xr10:uid="{A2621580-925C-46B7-98BA-9BD92EFF10C3}" cache="Slicer_Month" caption="Month"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B558-0B32-4329-84BF-4F6934765B97}">
  <dimension ref="A1:N1801"/>
  <sheetViews>
    <sheetView topLeftCell="A1747" workbookViewId="0">
      <selection activeCell="R1789" sqref="R1789"/>
    </sheetView>
  </sheetViews>
  <sheetFormatPr defaultRowHeight="15" x14ac:dyDescent="0.25"/>
  <cols>
    <col min="1" max="1" width="10.42578125" bestFit="1" customWidth="1"/>
    <col min="2" max="2" width="10.85546875" bestFit="1" customWidth="1"/>
    <col min="3" max="3" width="14.42578125" bestFit="1" customWidth="1"/>
    <col min="4" max="4" width="12" bestFit="1" customWidth="1"/>
    <col min="5" max="5" width="9" bestFit="1" customWidth="1"/>
    <col min="6" max="6" width="12" bestFit="1" customWidth="1"/>
    <col min="7" max="7" width="6.140625" bestFit="1" customWidth="1"/>
    <col min="8" max="8" width="7" bestFit="1" customWidth="1"/>
    <col min="9" max="9" width="5" bestFit="1" customWidth="1"/>
    <col min="10" max="10" width="9.5703125" bestFit="1" customWidth="1"/>
    <col min="11" max="11" width="11.7109375" bestFit="1" customWidth="1"/>
    <col min="12" max="12" width="7" bestFit="1" customWidth="1"/>
    <col min="13" max="13" width="10" bestFit="1" customWidth="1"/>
    <col min="14" max="14" width="6"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v>45312</v>
      </c>
      <c r="B2" t="s">
        <v>14</v>
      </c>
      <c r="C2" t="s">
        <v>15</v>
      </c>
      <c r="D2" t="s">
        <v>16</v>
      </c>
      <c r="E2" t="s">
        <v>17</v>
      </c>
      <c r="F2">
        <v>59886</v>
      </c>
      <c r="G2">
        <v>2113</v>
      </c>
      <c r="H2">
        <v>3.5299999999999998E-2</v>
      </c>
      <c r="I2">
        <v>1.26</v>
      </c>
      <c r="J2">
        <v>2662.38</v>
      </c>
      <c r="K2">
        <v>159</v>
      </c>
      <c r="L2">
        <v>16.739999999999998</v>
      </c>
      <c r="M2">
        <v>4803.43</v>
      </c>
      <c r="N2">
        <v>1.8</v>
      </c>
    </row>
    <row r="3" spans="1:14" x14ac:dyDescent="0.25">
      <c r="A3" s="1">
        <v>45313</v>
      </c>
      <c r="B3" t="s">
        <v>18</v>
      </c>
      <c r="C3" t="s">
        <v>15</v>
      </c>
      <c r="D3" t="s">
        <v>19</v>
      </c>
      <c r="E3" t="s">
        <v>20</v>
      </c>
      <c r="F3">
        <v>135608</v>
      </c>
      <c r="G3">
        <v>5220</v>
      </c>
      <c r="H3">
        <v>3.85E-2</v>
      </c>
      <c r="I3">
        <v>1.18</v>
      </c>
      <c r="J3">
        <v>6159.6</v>
      </c>
      <c r="K3">
        <v>411</v>
      </c>
      <c r="L3">
        <v>14.99</v>
      </c>
      <c r="M3">
        <v>64126.68</v>
      </c>
      <c r="N3">
        <v>10.41</v>
      </c>
    </row>
    <row r="4" spans="1:14" x14ac:dyDescent="0.25">
      <c r="A4" s="1">
        <v>45458</v>
      </c>
      <c r="B4" t="s">
        <v>18</v>
      </c>
      <c r="C4" t="s">
        <v>21</v>
      </c>
      <c r="D4" t="s">
        <v>22</v>
      </c>
      <c r="E4" t="s">
        <v>23</v>
      </c>
      <c r="F4">
        <v>92313</v>
      </c>
      <c r="G4">
        <v>5991</v>
      </c>
      <c r="H4">
        <v>6.4899999999999999E-2</v>
      </c>
      <c r="I4">
        <v>0.85</v>
      </c>
      <c r="J4">
        <v>5092.3500000000004</v>
      </c>
      <c r="K4">
        <v>267</v>
      </c>
      <c r="L4">
        <v>19.07</v>
      </c>
      <c r="M4">
        <v>10489.07</v>
      </c>
      <c r="N4">
        <v>2.06</v>
      </c>
    </row>
    <row r="5" spans="1:14" x14ac:dyDescent="0.25">
      <c r="A5" s="1">
        <v>45293</v>
      </c>
      <c r="B5" t="s">
        <v>18</v>
      </c>
      <c r="C5" t="s">
        <v>24</v>
      </c>
      <c r="D5" t="s">
        <v>25</v>
      </c>
      <c r="E5" t="s">
        <v>26</v>
      </c>
      <c r="F5">
        <v>83953</v>
      </c>
      <c r="G5">
        <v>5935</v>
      </c>
      <c r="H5">
        <v>7.0699999999999999E-2</v>
      </c>
      <c r="I5">
        <v>1.32</v>
      </c>
      <c r="J5">
        <v>7834.2</v>
      </c>
      <c r="K5">
        <v>296</v>
      </c>
      <c r="L5">
        <v>26.47</v>
      </c>
      <c r="M5">
        <v>50505.07</v>
      </c>
      <c r="N5">
        <v>6.45</v>
      </c>
    </row>
    <row r="6" spans="1:14" x14ac:dyDescent="0.25">
      <c r="A6" s="1">
        <v>45344</v>
      </c>
      <c r="B6" t="s">
        <v>18</v>
      </c>
      <c r="C6" t="s">
        <v>15</v>
      </c>
      <c r="D6" t="s">
        <v>22</v>
      </c>
      <c r="E6" t="s">
        <v>20</v>
      </c>
      <c r="F6">
        <v>91807</v>
      </c>
      <c r="G6">
        <v>4489</v>
      </c>
      <c r="H6">
        <v>4.8899999999999999E-2</v>
      </c>
      <c r="I6">
        <v>1.93</v>
      </c>
      <c r="J6">
        <v>8663.77</v>
      </c>
      <c r="K6">
        <v>107</v>
      </c>
      <c r="L6">
        <v>80.97</v>
      </c>
      <c r="M6">
        <v>3369.53</v>
      </c>
      <c r="N6">
        <v>0.39</v>
      </c>
    </row>
    <row r="7" spans="1:14" x14ac:dyDescent="0.25">
      <c r="A7" s="1">
        <v>45580</v>
      </c>
      <c r="B7" t="s">
        <v>18</v>
      </c>
      <c r="C7" t="s">
        <v>15</v>
      </c>
      <c r="D7" t="s">
        <v>16</v>
      </c>
      <c r="E7" t="s">
        <v>27</v>
      </c>
      <c r="F7">
        <v>17666</v>
      </c>
      <c r="G7">
        <v>724</v>
      </c>
      <c r="H7">
        <v>4.1000000000000002E-2</v>
      </c>
      <c r="I7">
        <v>0.37</v>
      </c>
      <c r="J7">
        <v>267.88</v>
      </c>
      <c r="K7">
        <v>23</v>
      </c>
      <c r="L7">
        <v>11.65</v>
      </c>
      <c r="M7">
        <v>5220.8500000000004</v>
      </c>
      <c r="N7">
        <v>19.489999999999998</v>
      </c>
    </row>
    <row r="8" spans="1:14" x14ac:dyDescent="0.25">
      <c r="A8" s="1">
        <v>45518</v>
      </c>
      <c r="B8" t="s">
        <v>28</v>
      </c>
      <c r="C8" t="s">
        <v>21</v>
      </c>
      <c r="D8" t="s">
        <v>16</v>
      </c>
      <c r="E8" t="s">
        <v>23</v>
      </c>
      <c r="F8">
        <v>118252</v>
      </c>
      <c r="G8">
        <v>3748</v>
      </c>
      <c r="H8">
        <v>3.1699999999999999E-2</v>
      </c>
      <c r="I8">
        <v>0.42</v>
      </c>
      <c r="J8">
        <v>1574.16</v>
      </c>
      <c r="K8">
        <v>152</v>
      </c>
      <c r="L8">
        <v>10.36</v>
      </c>
      <c r="M8">
        <v>12838.56</v>
      </c>
      <c r="N8">
        <v>8.16</v>
      </c>
    </row>
    <row r="9" spans="1:14" x14ac:dyDescent="0.25">
      <c r="A9" s="1">
        <v>45387</v>
      </c>
      <c r="B9" t="s">
        <v>18</v>
      </c>
      <c r="C9" t="s">
        <v>15</v>
      </c>
      <c r="D9" t="s">
        <v>19</v>
      </c>
      <c r="E9" t="s">
        <v>17</v>
      </c>
      <c r="F9">
        <v>92939</v>
      </c>
      <c r="G9">
        <v>5176</v>
      </c>
      <c r="H9">
        <v>5.57E-2</v>
      </c>
      <c r="I9">
        <v>0.66</v>
      </c>
      <c r="J9">
        <v>3416.16</v>
      </c>
      <c r="K9">
        <v>388</v>
      </c>
      <c r="L9">
        <v>8.8000000000000007</v>
      </c>
      <c r="M9">
        <v>96298.69</v>
      </c>
      <c r="N9">
        <v>28.19</v>
      </c>
    </row>
    <row r="10" spans="1:14" x14ac:dyDescent="0.25">
      <c r="A10" s="1">
        <v>45399</v>
      </c>
      <c r="B10" t="s">
        <v>28</v>
      </c>
      <c r="C10" t="s">
        <v>29</v>
      </c>
      <c r="D10" t="s">
        <v>19</v>
      </c>
      <c r="E10" t="s">
        <v>26</v>
      </c>
      <c r="F10">
        <v>30939</v>
      </c>
      <c r="G10">
        <v>937</v>
      </c>
      <c r="H10">
        <v>3.0300000000000001E-2</v>
      </c>
      <c r="I10">
        <v>0.59</v>
      </c>
      <c r="J10">
        <v>552.83000000000004</v>
      </c>
      <c r="K10">
        <v>63</v>
      </c>
      <c r="L10">
        <v>8.7799999999999994</v>
      </c>
      <c r="M10">
        <v>16531.03</v>
      </c>
      <c r="N10">
        <v>29.9</v>
      </c>
    </row>
    <row r="11" spans="1:14" x14ac:dyDescent="0.25">
      <c r="A11" s="1">
        <v>45609</v>
      </c>
      <c r="B11" t="s">
        <v>14</v>
      </c>
      <c r="C11" t="s">
        <v>24</v>
      </c>
      <c r="D11" t="s">
        <v>16</v>
      </c>
      <c r="E11" t="s">
        <v>23</v>
      </c>
      <c r="F11">
        <v>8748</v>
      </c>
      <c r="G11">
        <v>362</v>
      </c>
      <c r="H11">
        <v>4.1399999999999999E-2</v>
      </c>
      <c r="I11">
        <v>1.21</v>
      </c>
      <c r="J11">
        <v>438.02</v>
      </c>
      <c r="K11">
        <v>10</v>
      </c>
      <c r="L11">
        <v>43.8</v>
      </c>
      <c r="M11">
        <v>966.57</v>
      </c>
      <c r="N11">
        <v>2.21</v>
      </c>
    </row>
    <row r="12" spans="1:14" x14ac:dyDescent="0.25">
      <c r="A12" s="1">
        <v>45404</v>
      </c>
      <c r="B12" t="s">
        <v>28</v>
      </c>
      <c r="C12" t="s">
        <v>21</v>
      </c>
      <c r="D12" t="s">
        <v>30</v>
      </c>
      <c r="E12" t="s">
        <v>17</v>
      </c>
      <c r="F12">
        <v>98264</v>
      </c>
      <c r="G12">
        <v>3144</v>
      </c>
      <c r="H12">
        <v>3.2000000000000001E-2</v>
      </c>
      <c r="I12">
        <v>1.56</v>
      </c>
      <c r="J12">
        <v>4904.6400000000003</v>
      </c>
      <c r="K12">
        <v>129</v>
      </c>
      <c r="L12">
        <v>38.020000000000003</v>
      </c>
      <c r="M12">
        <v>23127.27</v>
      </c>
      <c r="N12">
        <v>4.72</v>
      </c>
    </row>
    <row r="13" spans="1:14" x14ac:dyDescent="0.25">
      <c r="A13" s="1">
        <v>45546</v>
      </c>
      <c r="B13" t="s">
        <v>28</v>
      </c>
      <c r="C13" t="s">
        <v>21</v>
      </c>
      <c r="D13" t="s">
        <v>16</v>
      </c>
      <c r="E13" t="s">
        <v>27</v>
      </c>
      <c r="F13">
        <v>173229</v>
      </c>
      <c r="G13">
        <v>5092</v>
      </c>
      <c r="H13">
        <v>2.9399999999999999E-2</v>
      </c>
      <c r="I13">
        <v>1.72</v>
      </c>
      <c r="J13">
        <v>8758.24</v>
      </c>
      <c r="K13">
        <v>65</v>
      </c>
      <c r="L13">
        <v>134.74</v>
      </c>
      <c r="M13">
        <v>12320.17</v>
      </c>
      <c r="N13">
        <v>1.41</v>
      </c>
    </row>
    <row r="14" spans="1:14" x14ac:dyDescent="0.25">
      <c r="A14" s="1">
        <v>45438</v>
      </c>
      <c r="B14" t="s">
        <v>28</v>
      </c>
      <c r="C14" t="s">
        <v>21</v>
      </c>
      <c r="D14" t="s">
        <v>25</v>
      </c>
      <c r="E14" t="s">
        <v>27</v>
      </c>
      <c r="F14">
        <v>147483</v>
      </c>
      <c r="G14">
        <v>2138</v>
      </c>
      <c r="H14">
        <v>1.4500000000000001E-2</v>
      </c>
      <c r="I14">
        <v>0.56999999999999995</v>
      </c>
      <c r="J14">
        <v>1218.6600000000001</v>
      </c>
      <c r="K14">
        <v>159</v>
      </c>
      <c r="L14">
        <v>7.66</v>
      </c>
      <c r="M14">
        <v>42434.18</v>
      </c>
      <c r="N14">
        <v>34.82</v>
      </c>
    </row>
    <row r="15" spans="1:14" x14ac:dyDescent="0.25">
      <c r="A15" s="1">
        <v>45351</v>
      </c>
      <c r="B15" t="s">
        <v>14</v>
      </c>
      <c r="C15" t="s">
        <v>24</v>
      </c>
      <c r="D15" t="s">
        <v>25</v>
      </c>
      <c r="E15" t="s">
        <v>23</v>
      </c>
      <c r="F15">
        <v>116472</v>
      </c>
      <c r="G15">
        <v>4006</v>
      </c>
      <c r="H15">
        <v>3.44E-2</v>
      </c>
      <c r="I15">
        <v>2.68</v>
      </c>
      <c r="J15">
        <v>10736.08</v>
      </c>
      <c r="K15">
        <v>291</v>
      </c>
      <c r="L15">
        <v>36.89</v>
      </c>
      <c r="M15">
        <v>78428.38</v>
      </c>
      <c r="N15">
        <v>7.31</v>
      </c>
    </row>
    <row r="16" spans="1:14" x14ac:dyDescent="0.25">
      <c r="A16" s="1">
        <v>45404</v>
      </c>
      <c r="B16" t="s">
        <v>18</v>
      </c>
      <c r="C16" t="s">
        <v>24</v>
      </c>
      <c r="D16" t="s">
        <v>19</v>
      </c>
      <c r="E16" t="s">
        <v>27</v>
      </c>
      <c r="F16">
        <v>37711</v>
      </c>
      <c r="G16">
        <v>2111</v>
      </c>
      <c r="H16">
        <v>5.6000000000000001E-2</v>
      </c>
      <c r="I16">
        <v>0.68</v>
      </c>
      <c r="J16">
        <v>1435.48</v>
      </c>
      <c r="K16">
        <v>92</v>
      </c>
      <c r="L16">
        <v>15.6</v>
      </c>
      <c r="M16">
        <v>13898.86</v>
      </c>
      <c r="N16">
        <v>9.68</v>
      </c>
    </row>
    <row r="17" spans="1:14" x14ac:dyDescent="0.25">
      <c r="A17" s="1">
        <v>45580</v>
      </c>
      <c r="B17" t="s">
        <v>18</v>
      </c>
      <c r="C17" t="s">
        <v>24</v>
      </c>
      <c r="D17" t="s">
        <v>30</v>
      </c>
      <c r="E17" t="s">
        <v>26</v>
      </c>
      <c r="F17">
        <v>96412</v>
      </c>
      <c r="G17">
        <v>7047</v>
      </c>
      <c r="H17">
        <v>7.3099999999999998E-2</v>
      </c>
      <c r="I17">
        <v>1.1100000000000001</v>
      </c>
      <c r="J17">
        <v>7822.17</v>
      </c>
      <c r="K17">
        <v>194</v>
      </c>
      <c r="L17">
        <v>40.32</v>
      </c>
      <c r="M17">
        <v>36717.43</v>
      </c>
      <c r="N17">
        <v>4.6900000000000004</v>
      </c>
    </row>
    <row r="18" spans="1:14" x14ac:dyDescent="0.25">
      <c r="A18" s="1">
        <v>45517</v>
      </c>
      <c r="B18" t="s">
        <v>18</v>
      </c>
      <c r="C18" t="s">
        <v>21</v>
      </c>
      <c r="D18" t="s">
        <v>16</v>
      </c>
      <c r="E18" t="s">
        <v>27</v>
      </c>
      <c r="F18">
        <v>184476</v>
      </c>
      <c r="G18">
        <v>8854</v>
      </c>
      <c r="H18">
        <v>4.8000000000000001E-2</v>
      </c>
      <c r="I18">
        <v>0.35</v>
      </c>
      <c r="J18">
        <v>3098.9</v>
      </c>
      <c r="K18">
        <v>198</v>
      </c>
      <c r="L18">
        <v>15.65</v>
      </c>
      <c r="M18">
        <v>56216.92</v>
      </c>
      <c r="N18">
        <v>18.14</v>
      </c>
    </row>
    <row r="19" spans="1:14" x14ac:dyDescent="0.25">
      <c r="A19" s="1">
        <v>45524</v>
      </c>
      <c r="B19" t="s">
        <v>18</v>
      </c>
      <c r="C19" t="s">
        <v>15</v>
      </c>
      <c r="D19" t="s">
        <v>16</v>
      </c>
      <c r="E19" t="s">
        <v>26</v>
      </c>
      <c r="F19">
        <v>38828</v>
      </c>
      <c r="G19">
        <v>3607</v>
      </c>
      <c r="H19">
        <v>9.2899999999999996E-2</v>
      </c>
      <c r="I19">
        <v>0.97</v>
      </c>
      <c r="J19">
        <v>3498.79</v>
      </c>
      <c r="K19">
        <v>116</v>
      </c>
      <c r="L19">
        <v>30.16</v>
      </c>
      <c r="M19">
        <v>8788.51</v>
      </c>
      <c r="N19">
        <v>2.5099999999999998</v>
      </c>
    </row>
    <row r="20" spans="1:14" x14ac:dyDescent="0.25">
      <c r="A20" s="1">
        <v>45651</v>
      </c>
      <c r="B20" t="s">
        <v>28</v>
      </c>
      <c r="C20" t="s">
        <v>21</v>
      </c>
      <c r="D20" t="s">
        <v>25</v>
      </c>
      <c r="E20" t="s">
        <v>27</v>
      </c>
      <c r="F20">
        <v>187957</v>
      </c>
      <c r="G20">
        <v>4586</v>
      </c>
      <c r="H20">
        <v>2.4400000000000002E-2</v>
      </c>
      <c r="I20">
        <v>2.1</v>
      </c>
      <c r="J20">
        <v>9630.6</v>
      </c>
      <c r="K20">
        <v>271</v>
      </c>
      <c r="L20">
        <v>35.54</v>
      </c>
      <c r="M20">
        <v>34433.97</v>
      </c>
      <c r="N20">
        <v>3.58</v>
      </c>
    </row>
    <row r="21" spans="1:14" x14ac:dyDescent="0.25">
      <c r="A21" s="1">
        <v>45597</v>
      </c>
      <c r="B21" t="s">
        <v>14</v>
      </c>
      <c r="C21" t="s">
        <v>21</v>
      </c>
      <c r="D21" t="s">
        <v>25</v>
      </c>
      <c r="E21" t="s">
        <v>27</v>
      </c>
      <c r="F21">
        <v>34592</v>
      </c>
      <c r="G21">
        <v>1615</v>
      </c>
      <c r="H21">
        <v>4.6699999999999998E-2</v>
      </c>
      <c r="I21">
        <v>1.1499999999999999</v>
      </c>
      <c r="J21">
        <v>1857.25</v>
      </c>
      <c r="K21">
        <v>116</v>
      </c>
      <c r="L21">
        <v>16.010000000000002</v>
      </c>
      <c r="M21">
        <v>4344.96</v>
      </c>
      <c r="N21">
        <v>2.34</v>
      </c>
    </row>
    <row r="22" spans="1:14" x14ac:dyDescent="0.25">
      <c r="A22" s="1">
        <v>45477</v>
      </c>
      <c r="B22" t="s">
        <v>28</v>
      </c>
      <c r="C22" t="s">
        <v>24</v>
      </c>
      <c r="D22" t="s">
        <v>16</v>
      </c>
      <c r="E22" t="s">
        <v>23</v>
      </c>
      <c r="F22">
        <v>185798</v>
      </c>
      <c r="G22">
        <v>5889</v>
      </c>
      <c r="H22">
        <v>3.1699999999999999E-2</v>
      </c>
      <c r="I22">
        <v>0.9</v>
      </c>
      <c r="J22">
        <v>5300.1</v>
      </c>
      <c r="K22">
        <v>400</v>
      </c>
      <c r="L22">
        <v>13.25</v>
      </c>
      <c r="M22">
        <v>41326.629999999997</v>
      </c>
      <c r="N22">
        <v>7.8</v>
      </c>
    </row>
    <row r="23" spans="1:14" x14ac:dyDescent="0.25">
      <c r="A23" s="1">
        <v>45656</v>
      </c>
      <c r="B23" t="s">
        <v>18</v>
      </c>
      <c r="C23" t="s">
        <v>21</v>
      </c>
      <c r="D23" t="s">
        <v>19</v>
      </c>
      <c r="E23" t="s">
        <v>31</v>
      </c>
      <c r="F23">
        <v>194407</v>
      </c>
      <c r="G23">
        <v>13122</v>
      </c>
      <c r="H23">
        <v>6.7500000000000004E-2</v>
      </c>
      <c r="I23">
        <v>0.85</v>
      </c>
      <c r="J23">
        <v>11153.7</v>
      </c>
      <c r="K23">
        <v>379</v>
      </c>
      <c r="L23">
        <v>29.43</v>
      </c>
      <c r="M23">
        <v>56289.95</v>
      </c>
      <c r="N23">
        <v>5.05</v>
      </c>
    </row>
    <row r="24" spans="1:14" x14ac:dyDescent="0.25">
      <c r="A24" s="1">
        <v>45609</v>
      </c>
      <c r="B24" t="s">
        <v>14</v>
      </c>
      <c r="C24" t="s">
        <v>15</v>
      </c>
      <c r="D24" t="s">
        <v>25</v>
      </c>
      <c r="E24" t="s">
        <v>17</v>
      </c>
      <c r="F24">
        <v>188062</v>
      </c>
      <c r="G24">
        <v>8143</v>
      </c>
      <c r="H24">
        <v>4.3299999999999998E-2</v>
      </c>
      <c r="I24">
        <v>1.8</v>
      </c>
      <c r="J24">
        <v>14657.4</v>
      </c>
      <c r="K24">
        <v>614</v>
      </c>
      <c r="L24">
        <v>23.87</v>
      </c>
      <c r="M24">
        <v>124232.5</v>
      </c>
      <c r="N24">
        <v>8.48</v>
      </c>
    </row>
    <row r="25" spans="1:14" x14ac:dyDescent="0.25">
      <c r="A25" s="1">
        <v>45640</v>
      </c>
      <c r="B25" t="s">
        <v>28</v>
      </c>
      <c r="C25" t="s">
        <v>24</v>
      </c>
      <c r="D25" t="s">
        <v>22</v>
      </c>
      <c r="E25" t="s">
        <v>31</v>
      </c>
      <c r="F25">
        <v>195710</v>
      </c>
      <c r="G25">
        <v>4481</v>
      </c>
      <c r="H25">
        <v>2.29E-2</v>
      </c>
      <c r="I25">
        <v>0.53</v>
      </c>
      <c r="J25">
        <v>2374.9299999999998</v>
      </c>
      <c r="K25">
        <v>352</v>
      </c>
      <c r="L25">
        <v>6.75</v>
      </c>
      <c r="M25">
        <v>27223.39</v>
      </c>
      <c r="N25">
        <v>11.46</v>
      </c>
    </row>
    <row r="26" spans="1:14" x14ac:dyDescent="0.25">
      <c r="A26" s="1">
        <v>45391</v>
      </c>
      <c r="B26" t="s">
        <v>14</v>
      </c>
      <c r="C26" t="s">
        <v>29</v>
      </c>
      <c r="D26" t="s">
        <v>22</v>
      </c>
      <c r="E26" t="s">
        <v>32</v>
      </c>
      <c r="F26">
        <v>198824</v>
      </c>
      <c r="G26">
        <v>9046</v>
      </c>
      <c r="H26">
        <v>4.5499999999999999E-2</v>
      </c>
      <c r="I26">
        <v>3.61</v>
      </c>
      <c r="J26">
        <v>32656.06</v>
      </c>
      <c r="K26">
        <v>407</v>
      </c>
      <c r="L26">
        <v>80.239999999999995</v>
      </c>
      <c r="M26">
        <v>71482.19</v>
      </c>
      <c r="N26">
        <v>2.19</v>
      </c>
    </row>
    <row r="27" spans="1:14" x14ac:dyDescent="0.25">
      <c r="A27" s="1">
        <v>45451</v>
      </c>
      <c r="B27" t="s">
        <v>28</v>
      </c>
      <c r="C27" t="s">
        <v>24</v>
      </c>
      <c r="D27" t="s">
        <v>25</v>
      </c>
      <c r="E27" t="s">
        <v>23</v>
      </c>
      <c r="F27">
        <v>196962</v>
      </c>
      <c r="G27">
        <v>5081</v>
      </c>
      <c r="H27">
        <v>2.58E-2</v>
      </c>
      <c r="I27">
        <v>2.06</v>
      </c>
      <c r="J27">
        <v>10466.86</v>
      </c>
      <c r="K27">
        <v>282</v>
      </c>
      <c r="L27">
        <v>37.119999999999997</v>
      </c>
      <c r="M27">
        <v>24196.95</v>
      </c>
      <c r="N27">
        <v>2.31</v>
      </c>
    </row>
    <row r="28" spans="1:14" x14ac:dyDescent="0.25">
      <c r="A28" s="1">
        <v>45533</v>
      </c>
      <c r="B28" t="s">
        <v>14</v>
      </c>
      <c r="C28" t="s">
        <v>24</v>
      </c>
      <c r="D28" t="s">
        <v>25</v>
      </c>
      <c r="E28" t="s">
        <v>17</v>
      </c>
      <c r="F28">
        <v>105386</v>
      </c>
      <c r="G28">
        <v>3783</v>
      </c>
      <c r="H28">
        <v>3.5900000000000001E-2</v>
      </c>
      <c r="I28">
        <v>1.82</v>
      </c>
      <c r="J28">
        <v>6885.06</v>
      </c>
      <c r="K28">
        <v>130</v>
      </c>
      <c r="L28">
        <v>52.96</v>
      </c>
      <c r="M28">
        <v>36776.35</v>
      </c>
      <c r="N28">
        <v>5.34</v>
      </c>
    </row>
    <row r="29" spans="1:14" x14ac:dyDescent="0.25">
      <c r="A29" s="1">
        <v>45540</v>
      </c>
      <c r="B29" t="s">
        <v>14</v>
      </c>
      <c r="C29" t="s">
        <v>15</v>
      </c>
      <c r="D29" t="s">
        <v>22</v>
      </c>
      <c r="E29" t="s">
        <v>17</v>
      </c>
      <c r="F29">
        <v>49425</v>
      </c>
      <c r="G29">
        <v>1996</v>
      </c>
      <c r="H29">
        <v>4.0399999999999998E-2</v>
      </c>
      <c r="I29">
        <v>1.27</v>
      </c>
      <c r="J29">
        <v>2534.92</v>
      </c>
      <c r="K29">
        <v>98</v>
      </c>
      <c r="L29">
        <v>25.87</v>
      </c>
      <c r="M29">
        <v>9253.27</v>
      </c>
      <c r="N29">
        <v>3.65</v>
      </c>
    </row>
    <row r="30" spans="1:14" x14ac:dyDescent="0.25">
      <c r="A30" s="1">
        <v>45652</v>
      </c>
      <c r="B30" t="s">
        <v>28</v>
      </c>
      <c r="C30" t="s">
        <v>21</v>
      </c>
      <c r="D30" t="s">
        <v>30</v>
      </c>
      <c r="E30" t="s">
        <v>27</v>
      </c>
      <c r="F30">
        <v>191141</v>
      </c>
      <c r="G30">
        <v>4453</v>
      </c>
      <c r="H30">
        <v>2.3300000000000001E-2</v>
      </c>
      <c r="I30">
        <v>1.23</v>
      </c>
      <c r="J30">
        <v>5477.19</v>
      </c>
      <c r="K30">
        <v>72</v>
      </c>
      <c r="L30">
        <v>76.069999999999993</v>
      </c>
      <c r="M30">
        <v>8367.4599999999991</v>
      </c>
      <c r="N30">
        <v>1.53</v>
      </c>
    </row>
    <row r="31" spans="1:14" x14ac:dyDescent="0.25">
      <c r="A31" s="1">
        <v>45435</v>
      </c>
      <c r="B31" t="s">
        <v>18</v>
      </c>
      <c r="C31" t="s">
        <v>24</v>
      </c>
      <c r="D31" t="s">
        <v>19</v>
      </c>
      <c r="E31" t="s">
        <v>27</v>
      </c>
      <c r="F31">
        <v>91900</v>
      </c>
      <c r="G31">
        <v>4696</v>
      </c>
      <c r="H31">
        <v>5.11E-2</v>
      </c>
      <c r="I31">
        <v>0.53</v>
      </c>
      <c r="J31">
        <v>2488.88</v>
      </c>
      <c r="K31">
        <v>367</v>
      </c>
      <c r="L31">
        <v>6.78</v>
      </c>
      <c r="M31">
        <v>109696.83</v>
      </c>
      <c r="N31">
        <v>44.07</v>
      </c>
    </row>
    <row r="32" spans="1:14" x14ac:dyDescent="0.25">
      <c r="A32" s="1">
        <v>45622</v>
      </c>
      <c r="B32" t="s">
        <v>14</v>
      </c>
      <c r="C32" t="s">
        <v>21</v>
      </c>
      <c r="D32" t="s">
        <v>22</v>
      </c>
      <c r="E32" t="s">
        <v>27</v>
      </c>
      <c r="F32">
        <v>11801</v>
      </c>
      <c r="G32">
        <v>795</v>
      </c>
      <c r="H32">
        <v>6.7400000000000002E-2</v>
      </c>
      <c r="I32">
        <v>2.97</v>
      </c>
      <c r="J32">
        <v>2361.15</v>
      </c>
      <c r="K32">
        <v>57</v>
      </c>
      <c r="L32">
        <v>41.42</v>
      </c>
      <c r="M32">
        <v>3966.25</v>
      </c>
      <c r="N32">
        <v>1.68</v>
      </c>
    </row>
    <row r="33" spans="1:14" x14ac:dyDescent="0.25">
      <c r="A33" s="1">
        <v>45612</v>
      </c>
      <c r="B33" t="s">
        <v>28</v>
      </c>
      <c r="C33" t="s">
        <v>29</v>
      </c>
      <c r="D33" t="s">
        <v>16</v>
      </c>
      <c r="E33" t="s">
        <v>17</v>
      </c>
      <c r="F33">
        <v>193926</v>
      </c>
      <c r="G33">
        <v>5837</v>
      </c>
      <c r="H33">
        <v>3.0099999999999998E-2</v>
      </c>
      <c r="I33">
        <v>1</v>
      </c>
      <c r="J33">
        <v>5837</v>
      </c>
      <c r="K33">
        <v>193</v>
      </c>
      <c r="L33">
        <v>30.24</v>
      </c>
      <c r="M33">
        <v>28429.29</v>
      </c>
      <c r="N33">
        <v>4.87</v>
      </c>
    </row>
    <row r="34" spans="1:14" x14ac:dyDescent="0.25">
      <c r="A34" s="1">
        <v>45349</v>
      </c>
      <c r="B34" t="s">
        <v>14</v>
      </c>
      <c r="C34" t="s">
        <v>29</v>
      </c>
      <c r="D34" t="s">
        <v>19</v>
      </c>
      <c r="E34" t="s">
        <v>31</v>
      </c>
      <c r="F34">
        <v>35355</v>
      </c>
      <c r="G34">
        <v>961</v>
      </c>
      <c r="H34">
        <v>2.7199999999999998E-2</v>
      </c>
      <c r="I34">
        <v>2.2200000000000002</v>
      </c>
      <c r="J34">
        <v>2133.42</v>
      </c>
      <c r="K34">
        <v>68</v>
      </c>
      <c r="L34">
        <v>31.37</v>
      </c>
      <c r="M34">
        <v>6145.22</v>
      </c>
      <c r="N34">
        <v>2.88</v>
      </c>
    </row>
    <row r="35" spans="1:14" x14ac:dyDescent="0.25">
      <c r="A35" s="1">
        <v>45608</v>
      </c>
      <c r="B35" t="s">
        <v>18</v>
      </c>
      <c r="C35" t="s">
        <v>24</v>
      </c>
      <c r="D35" t="s">
        <v>22</v>
      </c>
      <c r="E35" t="s">
        <v>17</v>
      </c>
      <c r="F35">
        <v>133148</v>
      </c>
      <c r="G35">
        <v>9120</v>
      </c>
      <c r="H35">
        <v>6.8500000000000005E-2</v>
      </c>
      <c r="I35">
        <v>0.5</v>
      </c>
      <c r="J35">
        <v>4560</v>
      </c>
      <c r="K35">
        <v>279</v>
      </c>
      <c r="L35">
        <v>16.34</v>
      </c>
      <c r="M35">
        <v>83385.98</v>
      </c>
      <c r="N35">
        <v>18.29</v>
      </c>
    </row>
    <row r="36" spans="1:14" x14ac:dyDescent="0.25">
      <c r="A36" s="1">
        <v>45303</v>
      </c>
      <c r="B36" t="s">
        <v>28</v>
      </c>
      <c r="C36" t="s">
        <v>21</v>
      </c>
      <c r="D36" t="s">
        <v>30</v>
      </c>
      <c r="E36" t="s">
        <v>27</v>
      </c>
      <c r="F36">
        <v>104657</v>
      </c>
      <c r="G36">
        <v>4029</v>
      </c>
      <c r="H36">
        <v>3.85E-2</v>
      </c>
      <c r="I36">
        <v>0.71</v>
      </c>
      <c r="J36">
        <v>2860.59</v>
      </c>
      <c r="K36">
        <v>204</v>
      </c>
      <c r="L36">
        <v>14.02</v>
      </c>
      <c r="M36">
        <v>10401.620000000001</v>
      </c>
      <c r="N36">
        <v>3.64</v>
      </c>
    </row>
    <row r="37" spans="1:14" x14ac:dyDescent="0.25">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row>
    <row r="38" spans="1:14" x14ac:dyDescent="0.25">
      <c r="A38" s="1">
        <v>45296</v>
      </c>
      <c r="B38" t="s">
        <v>18</v>
      </c>
      <c r="C38" t="s">
        <v>29</v>
      </c>
      <c r="D38" t="s">
        <v>16</v>
      </c>
      <c r="E38" t="s">
        <v>17</v>
      </c>
      <c r="F38">
        <v>6015</v>
      </c>
      <c r="G38">
        <v>410</v>
      </c>
      <c r="H38">
        <v>6.83E-2</v>
      </c>
      <c r="I38">
        <v>1.93</v>
      </c>
      <c r="J38">
        <v>791.3</v>
      </c>
      <c r="K38">
        <v>28</v>
      </c>
      <c r="L38">
        <v>28.26</v>
      </c>
      <c r="M38">
        <v>4383.32</v>
      </c>
      <c r="N38">
        <v>5.54</v>
      </c>
    </row>
    <row r="39" spans="1:14" x14ac:dyDescent="0.25">
      <c r="A39" s="1">
        <v>45297</v>
      </c>
      <c r="B39" t="s">
        <v>28</v>
      </c>
      <c r="C39" t="s">
        <v>15</v>
      </c>
      <c r="D39" t="s">
        <v>22</v>
      </c>
      <c r="E39" t="s">
        <v>32</v>
      </c>
      <c r="F39">
        <v>17763</v>
      </c>
      <c r="G39">
        <v>726</v>
      </c>
      <c r="H39">
        <v>4.0899999999999999E-2</v>
      </c>
      <c r="I39">
        <v>1.94</v>
      </c>
      <c r="J39">
        <v>1408.44</v>
      </c>
      <c r="K39">
        <v>30</v>
      </c>
      <c r="L39">
        <v>46.95</v>
      </c>
      <c r="M39">
        <v>1946.19</v>
      </c>
      <c r="N39">
        <v>1.38</v>
      </c>
    </row>
    <row r="40" spans="1:14" x14ac:dyDescent="0.25">
      <c r="A40" s="1">
        <v>45579</v>
      </c>
      <c r="B40" t="s">
        <v>18</v>
      </c>
      <c r="C40" t="s">
        <v>15</v>
      </c>
      <c r="D40" t="s">
        <v>19</v>
      </c>
      <c r="E40" t="s">
        <v>31</v>
      </c>
      <c r="F40">
        <v>97193</v>
      </c>
      <c r="G40">
        <v>6230</v>
      </c>
      <c r="H40">
        <v>6.4100000000000004E-2</v>
      </c>
      <c r="I40">
        <v>1.6</v>
      </c>
      <c r="J40">
        <v>9968</v>
      </c>
      <c r="K40">
        <v>306</v>
      </c>
      <c r="L40">
        <v>32.58</v>
      </c>
      <c r="M40">
        <v>81609.119999999995</v>
      </c>
      <c r="N40">
        <v>8.19</v>
      </c>
    </row>
    <row r="41" spans="1:14" x14ac:dyDescent="0.25">
      <c r="A41" s="1">
        <v>45357</v>
      </c>
      <c r="B41" t="s">
        <v>28</v>
      </c>
      <c r="C41" t="s">
        <v>24</v>
      </c>
      <c r="D41" t="s">
        <v>22</v>
      </c>
      <c r="E41" t="s">
        <v>17</v>
      </c>
      <c r="F41">
        <v>58682</v>
      </c>
      <c r="G41">
        <v>1748</v>
      </c>
      <c r="H41">
        <v>2.98E-2</v>
      </c>
      <c r="I41">
        <v>1.49</v>
      </c>
      <c r="J41">
        <v>2604.52</v>
      </c>
      <c r="K41">
        <v>84</v>
      </c>
      <c r="L41">
        <v>31.01</v>
      </c>
      <c r="M41">
        <v>12746.65</v>
      </c>
      <c r="N41">
        <v>4.8899999999999997</v>
      </c>
    </row>
    <row r="42" spans="1:14" x14ac:dyDescent="0.25">
      <c r="A42" s="1">
        <v>45372</v>
      </c>
      <c r="B42" t="s">
        <v>18</v>
      </c>
      <c r="C42" t="s">
        <v>29</v>
      </c>
      <c r="D42" t="s">
        <v>25</v>
      </c>
      <c r="E42" t="s">
        <v>27</v>
      </c>
      <c r="F42">
        <v>108196</v>
      </c>
      <c r="G42">
        <v>5334</v>
      </c>
      <c r="H42">
        <v>4.9299999999999997E-2</v>
      </c>
      <c r="I42">
        <v>0.99</v>
      </c>
      <c r="J42">
        <v>5280.66</v>
      </c>
      <c r="K42">
        <v>289</v>
      </c>
      <c r="L42">
        <v>18.27</v>
      </c>
      <c r="M42">
        <v>27408.560000000001</v>
      </c>
      <c r="N42">
        <v>5.19</v>
      </c>
    </row>
    <row r="43" spans="1:14" x14ac:dyDescent="0.25">
      <c r="A43" s="1">
        <v>45299</v>
      </c>
      <c r="B43" t="s">
        <v>14</v>
      </c>
      <c r="C43" t="s">
        <v>15</v>
      </c>
      <c r="D43" t="s">
        <v>16</v>
      </c>
      <c r="E43" t="s">
        <v>31</v>
      </c>
      <c r="F43">
        <v>63243</v>
      </c>
      <c r="G43">
        <v>1707</v>
      </c>
      <c r="H43">
        <v>2.7E-2</v>
      </c>
      <c r="I43">
        <v>2.2400000000000002</v>
      </c>
      <c r="J43">
        <v>3823.68</v>
      </c>
      <c r="K43">
        <v>37</v>
      </c>
      <c r="L43">
        <v>103.34</v>
      </c>
      <c r="M43">
        <v>3893.12</v>
      </c>
      <c r="N43">
        <v>1.02</v>
      </c>
    </row>
    <row r="44" spans="1:14" x14ac:dyDescent="0.25">
      <c r="A44" s="1">
        <v>45524</v>
      </c>
      <c r="B44" t="s">
        <v>14</v>
      </c>
      <c r="C44" t="s">
        <v>15</v>
      </c>
      <c r="D44" t="s">
        <v>30</v>
      </c>
      <c r="E44" t="s">
        <v>17</v>
      </c>
      <c r="F44">
        <v>152979</v>
      </c>
      <c r="G44">
        <v>4650</v>
      </c>
      <c r="H44">
        <v>3.04E-2</v>
      </c>
      <c r="I44">
        <v>0.79</v>
      </c>
      <c r="J44">
        <v>3673.5</v>
      </c>
      <c r="K44">
        <v>330</v>
      </c>
      <c r="L44">
        <v>11.13</v>
      </c>
      <c r="M44">
        <v>91949.73</v>
      </c>
      <c r="N44">
        <v>25.03</v>
      </c>
    </row>
    <row r="45" spans="1:14" x14ac:dyDescent="0.25">
      <c r="A45" s="1">
        <v>45299</v>
      </c>
      <c r="B45" t="s">
        <v>14</v>
      </c>
      <c r="C45" t="s">
        <v>29</v>
      </c>
      <c r="D45" t="s">
        <v>19</v>
      </c>
      <c r="E45" t="s">
        <v>23</v>
      </c>
      <c r="F45">
        <v>132600</v>
      </c>
      <c r="G45">
        <v>6802</v>
      </c>
      <c r="H45">
        <v>5.1299999999999998E-2</v>
      </c>
      <c r="I45">
        <v>1.53</v>
      </c>
      <c r="J45">
        <v>10407.06</v>
      </c>
      <c r="K45">
        <v>97</v>
      </c>
      <c r="L45">
        <v>107.29</v>
      </c>
      <c r="M45">
        <v>6779.29</v>
      </c>
      <c r="N45">
        <v>0.65</v>
      </c>
    </row>
    <row r="46" spans="1:14" x14ac:dyDescent="0.25">
      <c r="A46" s="1">
        <v>45565</v>
      </c>
      <c r="B46" t="s">
        <v>14</v>
      </c>
      <c r="C46" t="s">
        <v>21</v>
      </c>
      <c r="D46" t="s">
        <v>16</v>
      </c>
      <c r="E46" t="s">
        <v>32</v>
      </c>
      <c r="F46">
        <v>110977</v>
      </c>
      <c r="G46">
        <v>4150</v>
      </c>
      <c r="H46">
        <v>3.7400000000000003E-2</v>
      </c>
      <c r="I46">
        <v>1.1299999999999999</v>
      </c>
      <c r="J46">
        <v>4689.5</v>
      </c>
      <c r="K46">
        <v>197</v>
      </c>
      <c r="L46">
        <v>23.8</v>
      </c>
      <c r="M46">
        <v>18314.78</v>
      </c>
      <c r="N46">
        <v>3.91</v>
      </c>
    </row>
    <row r="47" spans="1:14" x14ac:dyDescent="0.25">
      <c r="A47" s="1">
        <v>45358</v>
      </c>
      <c r="B47" t="s">
        <v>14</v>
      </c>
      <c r="C47" t="s">
        <v>15</v>
      </c>
      <c r="D47" t="s">
        <v>19</v>
      </c>
      <c r="E47" t="s">
        <v>20</v>
      </c>
      <c r="F47">
        <v>87152</v>
      </c>
      <c r="G47">
        <v>3599</v>
      </c>
      <c r="H47">
        <v>4.1300000000000003E-2</v>
      </c>
      <c r="I47">
        <v>2.63</v>
      </c>
      <c r="J47">
        <v>9465.3700000000008</v>
      </c>
      <c r="K47">
        <v>127</v>
      </c>
      <c r="L47">
        <v>74.53</v>
      </c>
      <c r="M47">
        <v>25958.5</v>
      </c>
      <c r="N47">
        <v>2.74</v>
      </c>
    </row>
    <row r="48" spans="1:14" x14ac:dyDescent="0.25">
      <c r="A48" s="1">
        <v>45520</v>
      </c>
      <c r="B48" t="s">
        <v>28</v>
      </c>
      <c r="C48" t="s">
        <v>24</v>
      </c>
      <c r="D48" t="s">
        <v>16</v>
      </c>
      <c r="E48" t="s">
        <v>17</v>
      </c>
      <c r="F48">
        <v>164096</v>
      </c>
      <c r="G48">
        <v>1919</v>
      </c>
      <c r="H48">
        <v>1.17E-2</v>
      </c>
      <c r="I48">
        <v>0.66</v>
      </c>
      <c r="J48">
        <v>1266.54</v>
      </c>
      <c r="K48">
        <v>139</v>
      </c>
      <c r="L48">
        <v>9.11</v>
      </c>
      <c r="M48">
        <v>7181.17</v>
      </c>
      <c r="N48">
        <v>5.67</v>
      </c>
    </row>
    <row r="49" spans="1:14" x14ac:dyDescent="0.25">
      <c r="A49" s="1">
        <v>45514</v>
      </c>
      <c r="B49" t="s">
        <v>28</v>
      </c>
      <c r="C49" t="s">
        <v>24</v>
      </c>
      <c r="D49" t="s">
        <v>22</v>
      </c>
      <c r="E49" t="s">
        <v>26</v>
      </c>
      <c r="F49">
        <v>21389</v>
      </c>
      <c r="G49">
        <v>941</v>
      </c>
      <c r="H49">
        <v>4.3999999999999997E-2</v>
      </c>
      <c r="I49">
        <v>0.8</v>
      </c>
      <c r="J49">
        <v>752.8</v>
      </c>
      <c r="K49">
        <v>46</v>
      </c>
      <c r="L49">
        <v>16.37</v>
      </c>
      <c r="M49">
        <v>8479.43</v>
      </c>
      <c r="N49">
        <v>11.26</v>
      </c>
    </row>
    <row r="50" spans="1:14" x14ac:dyDescent="0.25">
      <c r="A50" s="1">
        <v>45409</v>
      </c>
      <c r="B50" t="s">
        <v>14</v>
      </c>
      <c r="C50" t="s">
        <v>24</v>
      </c>
      <c r="D50" t="s">
        <v>22</v>
      </c>
      <c r="E50" t="s">
        <v>31</v>
      </c>
      <c r="F50">
        <v>69323</v>
      </c>
      <c r="G50">
        <v>2169</v>
      </c>
      <c r="H50">
        <v>3.1300000000000001E-2</v>
      </c>
      <c r="I50">
        <v>2.19</v>
      </c>
      <c r="J50">
        <v>4750.1099999999997</v>
      </c>
      <c r="K50">
        <v>94</v>
      </c>
      <c r="L50">
        <v>50.53</v>
      </c>
      <c r="M50">
        <v>16337.12</v>
      </c>
      <c r="N50">
        <v>3.44</v>
      </c>
    </row>
    <row r="51" spans="1:14" x14ac:dyDescent="0.25">
      <c r="A51" s="1">
        <v>45429</v>
      </c>
      <c r="B51" t="s">
        <v>14</v>
      </c>
      <c r="C51" t="s">
        <v>29</v>
      </c>
      <c r="D51" t="s">
        <v>25</v>
      </c>
      <c r="E51" t="s">
        <v>17</v>
      </c>
      <c r="F51">
        <v>138291</v>
      </c>
      <c r="G51">
        <v>3318</v>
      </c>
      <c r="H51">
        <v>2.4E-2</v>
      </c>
      <c r="I51">
        <v>0.83</v>
      </c>
      <c r="J51">
        <v>2753.94</v>
      </c>
      <c r="K51">
        <v>217</v>
      </c>
      <c r="L51">
        <v>12.69</v>
      </c>
      <c r="M51">
        <v>12761.51</v>
      </c>
      <c r="N51">
        <v>4.63</v>
      </c>
    </row>
    <row r="52" spans="1:14" x14ac:dyDescent="0.25">
      <c r="A52" s="1">
        <v>45625</v>
      </c>
      <c r="B52" t="s">
        <v>18</v>
      </c>
      <c r="C52" t="s">
        <v>24</v>
      </c>
      <c r="D52" t="s">
        <v>19</v>
      </c>
      <c r="E52" t="s">
        <v>20</v>
      </c>
      <c r="F52">
        <v>72444</v>
      </c>
      <c r="G52">
        <v>2339</v>
      </c>
      <c r="H52">
        <v>3.2300000000000002E-2</v>
      </c>
      <c r="I52">
        <v>1.39</v>
      </c>
      <c r="J52">
        <v>3251.21</v>
      </c>
      <c r="K52">
        <v>153</v>
      </c>
      <c r="L52">
        <v>21.25</v>
      </c>
      <c r="M52">
        <v>12919.22</v>
      </c>
      <c r="N52">
        <v>3.97</v>
      </c>
    </row>
    <row r="53" spans="1:14" x14ac:dyDescent="0.25">
      <c r="A53" s="1">
        <v>45630</v>
      </c>
      <c r="B53" t="s">
        <v>14</v>
      </c>
      <c r="C53" t="s">
        <v>15</v>
      </c>
      <c r="D53" t="s">
        <v>22</v>
      </c>
      <c r="E53" t="s">
        <v>17</v>
      </c>
      <c r="F53">
        <v>160002</v>
      </c>
      <c r="G53">
        <v>7520</v>
      </c>
      <c r="H53">
        <v>4.7E-2</v>
      </c>
      <c r="I53">
        <v>2.96</v>
      </c>
      <c r="J53">
        <v>22259.200000000001</v>
      </c>
      <c r="K53">
        <v>403</v>
      </c>
      <c r="L53">
        <v>55.23</v>
      </c>
      <c r="M53">
        <v>70823.58</v>
      </c>
      <c r="N53">
        <v>3.18</v>
      </c>
    </row>
    <row r="54" spans="1:14" x14ac:dyDescent="0.25">
      <c r="A54" s="1">
        <v>45516</v>
      </c>
      <c r="B54" t="s">
        <v>28</v>
      </c>
      <c r="C54" t="s">
        <v>15</v>
      </c>
      <c r="D54" t="s">
        <v>30</v>
      </c>
      <c r="E54" t="s">
        <v>23</v>
      </c>
      <c r="F54">
        <v>16246</v>
      </c>
      <c r="G54">
        <v>448</v>
      </c>
      <c r="H54">
        <v>2.76E-2</v>
      </c>
      <c r="I54">
        <v>1.99</v>
      </c>
      <c r="J54">
        <v>891.52</v>
      </c>
      <c r="K54">
        <v>8</v>
      </c>
      <c r="L54">
        <v>111.44</v>
      </c>
      <c r="M54">
        <v>1955.09</v>
      </c>
      <c r="N54">
        <v>2.19</v>
      </c>
    </row>
    <row r="55" spans="1:14" x14ac:dyDescent="0.25">
      <c r="A55" s="1">
        <v>45448</v>
      </c>
      <c r="B55" t="s">
        <v>28</v>
      </c>
      <c r="C55" t="s">
        <v>24</v>
      </c>
      <c r="D55" t="s">
        <v>16</v>
      </c>
      <c r="E55" t="s">
        <v>26</v>
      </c>
      <c r="F55">
        <v>15789</v>
      </c>
      <c r="G55">
        <v>423</v>
      </c>
      <c r="H55">
        <v>2.6800000000000001E-2</v>
      </c>
      <c r="I55">
        <v>1.81</v>
      </c>
      <c r="J55">
        <v>765.63</v>
      </c>
      <c r="K55">
        <v>7</v>
      </c>
      <c r="L55">
        <v>109.38</v>
      </c>
      <c r="M55">
        <v>1223.95</v>
      </c>
      <c r="N55">
        <v>1.6</v>
      </c>
    </row>
    <row r="56" spans="1:14" x14ac:dyDescent="0.25">
      <c r="A56" s="1">
        <v>45448</v>
      </c>
      <c r="B56" t="s">
        <v>14</v>
      </c>
      <c r="C56" t="s">
        <v>15</v>
      </c>
      <c r="D56" t="s">
        <v>19</v>
      </c>
      <c r="E56" t="s">
        <v>32</v>
      </c>
      <c r="F56">
        <v>25103</v>
      </c>
      <c r="G56">
        <v>710</v>
      </c>
      <c r="H56">
        <v>2.8299999999999999E-2</v>
      </c>
      <c r="I56">
        <v>2.34</v>
      </c>
      <c r="J56">
        <v>1661.4</v>
      </c>
      <c r="K56">
        <v>24</v>
      </c>
      <c r="L56">
        <v>69.23</v>
      </c>
      <c r="M56">
        <v>1896.75</v>
      </c>
      <c r="N56">
        <v>1.1399999999999999</v>
      </c>
    </row>
    <row r="57" spans="1:14" x14ac:dyDescent="0.25">
      <c r="A57" s="1">
        <v>45654</v>
      </c>
      <c r="B57" t="s">
        <v>18</v>
      </c>
      <c r="C57" t="s">
        <v>29</v>
      </c>
      <c r="D57" t="s">
        <v>25</v>
      </c>
      <c r="E57" t="s">
        <v>31</v>
      </c>
      <c r="F57">
        <v>138515</v>
      </c>
      <c r="G57">
        <v>4377</v>
      </c>
      <c r="H57">
        <v>3.1600000000000003E-2</v>
      </c>
      <c r="I57">
        <v>0.51</v>
      </c>
      <c r="J57">
        <v>2232.27</v>
      </c>
      <c r="K57">
        <v>285</v>
      </c>
      <c r="L57">
        <v>7.83</v>
      </c>
      <c r="M57">
        <v>10321.59</v>
      </c>
      <c r="N57">
        <v>4.62</v>
      </c>
    </row>
    <row r="58" spans="1:14" x14ac:dyDescent="0.25">
      <c r="A58" s="1">
        <v>45342</v>
      </c>
      <c r="B58" t="s">
        <v>28</v>
      </c>
      <c r="C58" t="s">
        <v>15</v>
      </c>
      <c r="D58" t="s">
        <v>19</v>
      </c>
      <c r="E58" t="s">
        <v>32</v>
      </c>
      <c r="F58">
        <v>180399</v>
      </c>
      <c r="G58">
        <v>6025</v>
      </c>
      <c r="H58">
        <v>3.3399999999999999E-2</v>
      </c>
      <c r="I58">
        <v>0.7</v>
      </c>
      <c r="J58">
        <v>4217.5</v>
      </c>
      <c r="K58">
        <v>191</v>
      </c>
      <c r="L58">
        <v>22.08</v>
      </c>
      <c r="M58">
        <v>17456.79</v>
      </c>
      <c r="N58">
        <v>4.1399999999999997</v>
      </c>
    </row>
    <row r="59" spans="1:14" x14ac:dyDescent="0.25">
      <c r="A59" s="1">
        <v>45428</v>
      </c>
      <c r="B59" t="s">
        <v>28</v>
      </c>
      <c r="C59" t="s">
        <v>21</v>
      </c>
      <c r="D59" t="s">
        <v>30</v>
      </c>
      <c r="E59" t="s">
        <v>17</v>
      </c>
      <c r="F59">
        <v>62545</v>
      </c>
      <c r="G59">
        <v>606</v>
      </c>
      <c r="H59">
        <v>9.7000000000000003E-3</v>
      </c>
      <c r="I59">
        <v>1.96</v>
      </c>
      <c r="J59">
        <v>1187.76</v>
      </c>
      <c r="K59">
        <v>37</v>
      </c>
      <c r="L59">
        <v>32.1</v>
      </c>
      <c r="M59">
        <v>5627.66</v>
      </c>
      <c r="N59">
        <v>4.74</v>
      </c>
    </row>
    <row r="60" spans="1:14" x14ac:dyDescent="0.25">
      <c r="A60" s="1">
        <v>45473</v>
      </c>
      <c r="B60" t="s">
        <v>14</v>
      </c>
      <c r="C60" t="s">
        <v>24</v>
      </c>
      <c r="D60" t="s">
        <v>16</v>
      </c>
      <c r="E60" t="s">
        <v>27</v>
      </c>
      <c r="F60">
        <v>72526</v>
      </c>
      <c r="G60">
        <v>2146</v>
      </c>
      <c r="H60">
        <v>2.9600000000000001E-2</v>
      </c>
      <c r="I60">
        <v>1.56</v>
      </c>
      <c r="J60">
        <v>3347.76</v>
      </c>
      <c r="K60">
        <v>168</v>
      </c>
      <c r="L60">
        <v>19.93</v>
      </c>
      <c r="M60">
        <v>25859.74</v>
      </c>
      <c r="N60">
        <v>7.72</v>
      </c>
    </row>
    <row r="61" spans="1:14" x14ac:dyDescent="0.25">
      <c r="A61" s="1">
        <v>45480</v>
      </c>
      <c r="B61" t="s">
        <v>28</v>
      </c>
      <c r="C61" t="s">
        <v>29</v>
      </c>
      <c r="D61" t="s">
        <v>19</v>
      </c>
      <c r="E61" t="s">
        <v>32</v>
      </c>
      <c r="F61">
        <v>67823</v>
      </c>
      <c r="G61">
        <v>2075</v>
      </c>
      <c r="H61">
        <v>3.0599999999999999E-2</v>
      </c>
      <c r="I61">
        <v>1.83</v>
      </c>
      <c r="J61">
        <v>3797.25</v>
      </c>
      <c r="K61">
        <v>26</v>
      </c>
      <c r="L61">
        <v>146.05000000000001</v>
      </c>
      <c r="M61">
        <v>4093.91</v>
      </c>
      <c r="N61">
        <v>1.08</v>
      </c>
    </row>
    <row r="62" spans="1:14" x14ac:dyDescent="0.25">
      <c r="A62" s="1">
        <v>45466</v>
      </c>
      <c r="B62" t="s">
        <v>28</v>
      </c>
      <c r="C62" t="s">
        <v>29</v>
      </c>
      <c r="D62" t="s">
        <v>30</v>
      </c>
      <c r="E62" t="s">
        <v>31</v>
      </c>
      <c r="F62">
        <v>164937</v>
      </c>
      <c r="G62">
        <v>4453</v>
      </c>
      <c r="H62">
        <v>2.7E-2</v>
      </c>
      <c r="I62">
        <v>1.08</v>
      </c>
      <c r="J62">
        <v>4809.24</v>
      </c>
      <c r="K62">
        <v>129</v>
      </c>
      <c r="L62">
        <v>37.28</v>
      </c>
      <c r="M62">
        <v>35127.5</v>
      </c>
      <c r="N62">
        <v>7.3</v>
      </c>
    </row>
    <row r="63" spans="1:14" x14ac:dyDescent="0.25">
      <c r="A63" s="1">
        <v>45640</v>
      </c>
      <c r="B63" t="s">
        <v>28</v>
      </c>
      <c r="C63" t="s">
        <v>15</v>
      </c>
      <c r="D63" t="s">
        <v>19</v>
      </c>
      <c r="E63" t="s">
        <v>20</v>
      </c>
      <c r="F63">
        <v>114575</v>
      </c>
      <c r="G63">
        <v>2039</v>
      </c>
      <c r="H63">
        <v>1.78E-2</v>
      </c>
      <c r="I63">
        <v>0.53</v>
      </c>
      <c r="J63">
        <v>1080.67</v>
      </c>
      <c r="K63">
        <v>113</v>
      </c>
      <c r="L63">
        <v>9.56</v>
      </c>
      <c r="M63">
        <v>10656.96</v>
      </c>
      <c r="N63">
        <v>9.86</v>
      </c>
    </row>
    <row r="64" spans="1:14" x14ac:dyDescent="0.25">
      <c r="A64" s="1">
        <v>45456</v>
      </c>
      <c r="B64" t="s">
        <v>14</v>
      </c>
      <c r="C64" t="s">
        <v>24</v>
      </c>
      <c r="D64" t="s">
        <v>16</v>
      </c>
      <c r="E64" t="s">
        <v>26</v>
      </c>
      <c r="F64">
        <v>132157</v>
      </c>
      <c r="G64">
        <v>2999</v>
      </c>
      <c r="H64">
        <v>2.2700000000000001E-2</v>
      </c>
      <c r="I64">
        <v>0.93</v>
      </c>
      <c r="J64">
        <v>2789.07</v>
      </c>
      <c r="K64">
        <v>152</v>
      </c>
      <c r="L64">
        <v>18.350000000000001</v>
      </c>
      <c r="M64">
        <v>21855.26</v>
      </c>
      <c r="N64">
        <v>7.84</v>
      </c>
    </row>
    <row r="65" spans="1:14" x14ac:dyDescent="0.25">
      <c r="A65" s="1">
        <v>45302</v>
      </c>
      <c r="B65" t="s">
        <v>18</v>
      </c>
      <c r="C65" t="s">
        <v>21</v>
      </c>
      <c r="D65" t="s">
        <v>22</v>
      </c>
      <c r="E65" t="s">
        <v>26</v>
      </c>
      <c r="F65">
        <v>108145</v>
      </c>
      <c r="G65">
        <v>3882</v>
      </c>
      <c r="H65">
        <v>3.5900000000000001E-2</v>
      </c>
      <c r="I65">
        <v>0.94</v>
      </c>
      <c r="J65">
        <v>3649.08</v>
      </c>
      <c r="K65">
        <v>98</v>
      </c>
      <c r="L65">
        <v>37.24</v>
      </c>
      <c r="M65">
        <v>28726.52</v>
      </c>
      <c r="N65">
        <v>7.87</v>
      </c>
    </row>
    <row r="66" spans="1:14" x14ac:dyDescent="0.25">
      <c r="A66" s="1">
        <v>45411</v>
      </c>
      <c r="B66" t="s">
        <v>18</v>
      </c>
      <c r="C66" t="s">
        <v>15</v>
      </c>
      <c r="D66" t="s">
        <v>25</v>
      </c>
      <c r="E66" t="s">
        <v>31</v>
      </c>
      <c r="F66">
        <v>72642</v>
      </c>
      <c r="G66">
        <v>3014</v>
      </c>
      <c r="H66">
        <v>4.1500000000000002E-2</v>
      </c>
      <c r="I66">
        <v>1.1599999999999999</v>
      </c>
      <c r="J66">
        <v>3496.24</v>
      </c>
      <c r="K66">
        <v>59</v>
      </c>
      <c r="L66">
        <v>59.26</v>
      </c>
      <c r="M66">
        <v>15070.44</v>
      </c>
      <c r="N66">
        <v>4.3099999999999996</v>
      </c>
    </row>
    <row r="67" spans="1:14" x14ac:dyDescent="0.25">
      <c r="A67" s="1">
        <v>45389</v>
      </c>
      <c r="B67" t="s">
        <v>18</v>
      </c>
      <c r="C67" t="s">
        <v>29</v>
      </c>
      <c r="D67" t="s">
        <v>22</v>
      </c>
      <c r="E67" t="s">
        <v>17</v>
      </c>
      <c r="F67">
        <v>131678</v>
      </c>
      <c r="G67">
        <v>8374</v>
      </c>
      <c r="H67">
        <v>6.3600000000000004E-2</v>
      </c>
      <c r="I67">
        <v>0.91</v>
      </c>
      <c r="J67">
        <v>7620.34</v>
      </c>
      <c r="K67">
        <v>505</v>
      </c>
      <c r="L67">
        <v>15.09</v>
      </c>
      <c r="M67">
        <v>29682.01</v>
      </c>
      <c r="N67">
        <v>3.9</v>
      </c>
    </row>
    <row r="68" spans="1:14" x14ac:dyDescent="0.25">
      <c r="A68" s="1">
        <v>45425</v>
      </c>
      <c r="B68" t="s">
        <v>14</v>
      </c>
      <c r="C68" t="s">
        <v>21</v>
      </c>
      <c r="D68" t="s">
        <v>30</v>
      </c>
      <c r="E68" t="s">
        <v>32</v>
      </c>
      <c r="F68">
        <v>34402</v>
      </c>
      <c r="G68">
        <v>1314</v>
      </c>
      <c r="H68">
        <v>3.8199999999999998E-2</v>
      </c>
      <c r="I68">
        <v>3.29</v>
      </c>
      <c r="J68">
        <v>4323.0600000000004</v>
      </c>
      <c r="K68">
        <v>17</v>
      </c>
      <c r="L68">
        <v>254.3</v>
      </c>
      <c r="M68">
        <v>1273.24</v>
      </c>
      <c r="N68">
        <v>0.28999999999999998</v>
      </c>
    </row>
    <row r="69" spans="1:14" x14ac:dyDescent="0.25">
      <c r="A69" s="1">
        <v>45573</v>
      </c>
      <c r="B69" t="s">
        <v>28</v>
      </c>
      <c r="C69" t="s">
        <v>21</v>
      </c>
      <c r="D69" t="s">
        <v>22</v>
      </c>
      <c r="E69" t="s">
        <v>26</v>
      </c>
      <c r="F69">
        <v>58276</v>
      </c>
      <c r="G69">
        <v>1183</v>
      </c>
      <c r="H69">
        <v>2.0299999999999999E-2</v>
      </c>
      <c r="I69">
        <v>1.49</v>
      </c>
      <c r="J69">
        <v>1762.67</v>
      </c>
      <c r="K69">
        <v>89</v>
      </c>
      <c r="L69">
        <v>19.809999999999999</v>
      </c>
      <c r="M69">
        <v>20273.71</v>
      </c>
      <c r="N69">
        <v>11.5</v>
      </c>
    </row>
    <row r="70" spans="1:14" x14ac:dyDescent="0.25">
      <c r="A70" s="1">
        <v>45518</v>
      </c>
      <c r="B70" t="s">
        <v>14</v>
      </c>
      <c r="C70" t="s">
        <v>24</v>
      </c>
      <c r="D70" t="s">
        <v>19</v>
      </c>
      <c r="E70" t="s">
        <v>27</v>
      </c>
      <c r="F70">
        <v>168059</v>
      </c>
      <c r="G70">
        <v>3462</v>
      </c>
      <c r="H70">
        <v>2.06E-2</v>
      </c>
      <c r="I70">
        <v>3.08</v>
      </c>
      <c r="J70">
        <v>10662.96</v>
      </c>
      <c r="K70">
        <v>154</v>
      </c>
      <c r="L70">
        <v>69.239999999999995</v>
      </c>
      <c r="M70">
        <v>33243.769999999997</v>
      </c>
      <c r="N70">
        <v>3.12</v>
      </c>
    </row>
    <row r="71" spans="1:14" x14ac:dyDescent="0.25">
      <c r="A71" s="1">
        <v>45520</v>
      </c>
      <c r="B71" t="s">
        <v>28</v>
      </c>
      <c r="C71" t="s">
        <v>21</v>
      </c>
      <c r="D71" t="s">
        <v>16</v>
      </c>
      <c r="E71" t="s">
        <v>27</v>
      </c>
      <c r="F71">
        <v>91123</v>
      </c>
      <c r="G71">
        <v>1567</v>
      </c>
      <c r="H71">
        <v>1.72E-2</v>
      </c>
      <c r="I71">
        <v>2.33</v>
      </c>
      <c r="J71">
        <v>3651.11</v>
      </c>
      <c r="K71">
        <v>64</v>
      </c>
      <c r="L71">
        <v>57.05</v>
      </c>
      <c r="M71">
        <v>5119.1000000000004</v>
      </c>
      <c r="N71">
        <v>1.4</v>
      </c>
    </row>
    <row r="72" spans="1:14" x14ac:dyDescent="0.25">
      <c r="A72" s="1">
        <v>45440</v>
      </c>
      <c r="B72" t="s">
        <v>28</v>
      </c>
      <c r="C72" t="s">
        <v>24</v>
      </c>
      <c r="D72" t="s">
        <v>16</v>
      </c>
      <c r="E72" t="s">
        <v>32</v>
      </c>
      <c r="F72">
        <v>16344</v>
      </c>
      <c r="G72">
        <v>452</v>
      </c>
      <c r="H72">
        <v>2.7699999999999999E-2</v>
      </c>
      <c r="I72">
        <v>0.9</v>
      </c>
      <c r="J72">
        <v>406.8</v>
      </c>
      <c r="K72">
        <v>5</v>
      </c>
      <c r="L72">
        <v>81.36</v>
      </c>
      <c r="M72">
        <v>1102.53</v>
      </c>
      <c r="N72">
        <v>2.71</v>
      </c>
    </row>
    <row r="73" spans="1:14" x14ac:dyDescent="0.25">
      <c r="A73" s="1">
        <v>45377</v>
      </c>
      <c r="B73" t="s">
        <v>18</v>
      </c>
      <c r="C73" t="s">
        <v>21</v>
      </c>
      <c r="D73" t="s">
        <v>25</v>
      </c>
      <c r="E73" t="s">
        <v>17</v>
      </c>
      <c r="F73">
        <v>99457</v>
      </c>
      <c r="G73">
        <v>5808</v>
      </c>
      <c r="H73">
        <v>5.8400000000000001E-2</v>
      </c>
      <c r="I73">
        <v>1.6</v>
      </c>
      <c r="J73">
        <v>9292.7999999999993</v>
      </c>
      <c r="K73">
        <v>80</v>
      </c>
      <c r="L73">
        <v>116.16</v>
      </c>
      <c r="M73">
        <v>12231.1</v>
      </c>
      <c r="N73">
        <v>1.32</v>
      </c>
    </row>
    <row r="74" spans="1:14" x14ac:dyDescent="0.25">
      <c r="A74" s="1">
        <v>45450</v>
      </c>
      <c r="B74" t="s">
        <v>28</v>
      </c>
      <c r="C74" t="s">
        <v>21</v>
      </c>
      <c r="D74" t="s">
        <v>30</v>
      </c>
      <c r="E74" t="s">
        <v>31</v>
      </c>
      <c r="F74">
        <v>57375</v>
      </c>
      <c r="G74">
        <v>843</v>
      </c>
      <c r="H74">
        <v>1.47E-2</v>
      </c>
      <c r="I74">
        <v>1.61</v>
      </c>
      <c r="J74">
        <v>1357.23</v>
      </c>
      <c r="K74">
        <v>40</v>
      </c>
      <c r="L74">
        <v>33.93</v>
      </c>
      <c r="M74">
        <v>9739.81</v>
      </c>
      <c r="N74">
        <v>7.18</v>
      </c>
    </row>
    <row r="75" spans="1:14" x14ac:dyDescent="0.25">
      <c r="A75" s="1">
        <v>45399</v>
      </c>
      <c r="B75" t="s">
        <v>14</v>
      </c>
      <c r="C75" t="s">
        <v>29</v>
      </c>
      <c r="D75" t="s">
        <v>30</v>
      </c>
      <c r="E75" t="s">
        <v>17</v>
      </c>
      <c r="F75">
        <v>115017</v>
      </c>
      <c r="G75">
        <v>2771</v>
      </c>
      <c r="H75">
        <v>2.41E-2</v>
      </c>
      <c r="I75">
        <v>2.56</v>
      </c>
      <c r="J75">
        <v>7093.76</v>
      </c>
      <c r="K75">
        <v>95</v>
      </c>
      <c r="L75">
        <v>74.67</v>
      </c>
      <c r="M75">
        <v>22528.38</v>
      </c>
      <c r="N75">
        <v>3.18</v>
      </c>
    </row>
    <row r="76" spans="1:14" x14ac:dyDescent="0.25">
      <c r="A76" s="1">
        <v>45563</v>
      </c>
      <c r="B76" t="s">
        <v>28</v>
      </c>
      <c r="C76" t="s">
        <v>15</v>
      </c>
      <c r="D76" t="s">
        <v>19</v>
      </c>
      <c r="E76" t="s">
        <v>23</v>
      </c>
      <c r="F76">
        <v>90431</v>
      </c>
      <c r="G76">
        <v>1853</v>
      </c>
      <c r="H76">
        <v>2.0500000000000001E-2</v>
      </c>
      <c r="I76">
        <v>1.7</v>
      </c>
      <c r="J76">
        <v>3150.1</v>
      </c>
      <c r="K76">
        <v>57</v>
      </c>
      <c r="L76">
        <v>55.26</v>
      </c>
      <c r="M76">
        <v>14834.93</v>
      </c>
      <c r="N76">
        <v>4.71</v>
      </c>
    </row>
    <row r="77" spans="1:14" x14ac:dyDescent="0.25">
      <c r="A77" s="1">
        <v>45364</v>
      </c>
      <c r="B77" t="s">
        <v>28</v>
      </c>
      <c r="C77" t="s">
        <v>15</v>
      </c>
      <c r="D77" t="s">
        <v>30</v>
      </c>
      <c r="E77" t="s">
        <v>23</v>
      </c>
      <c r="F77">
        <v>140566</v>
      </c>
      <c r="G77">
        <v>5046</v>
      </c>
      <c r="H77">
        <v>3.5900000000000001E-2</v>
      </c>
      <c r="I77">
        <v>0.62</v>
      </c>
      <c r="J77">
        <v>3128.52</v>
      </c>
      <c r="K77">
        <v>384</v>
      </c>
      <c r="L77">
        <v>8.15</v>
      </c>
      <c r="M77">
        <v>59980.19</v>
      </c>
      <c r="N77">
        <v>19.170000000000002</v>
      </c>
    </row>
    <row r="78" spans="1:14" x14ac:dyDescent="0.25">
      <c r="A78" s="1">
        <v>45350</v>
      </c>
      <c r="B78" t="s">
        <v>28</v>
      </c>
      <c r="C78" t="s">
        <v>15</v>
      </c>
      <c r="D78" t="s">
        <v>19</v>
      </c>
      <c r="E78" t="s">
        <v>26</v>
      </c>
      <c r="F78">
        <v>133583</v>
      </c>
      <c r="G78">
        <v>3954</v>
      </c>
      <c r="H78">
        <v>2.9600000000000001E-2</v>
      </c>
      <c r="I78">
        <v>0.65</v>
      </c>
      <c r="J78">
        <v>2570.1</v>
      </c>
      <c r="K78">
        <v>255</v>
      </c>
      <c r="L78">
        <v>10.08</v>
      </c>
      <c r="M78">
        <v>31756.12</v>
      </c>
      <c r="N78">
        <v>12.36</v>
      </c>
    </row>
    <row r="79" spans="1:14" x14ac:dyDescent="0.25">
      <c r="A79" s="1">
        <v>45390</v>
      </c>
      <c r="B79" t="s">
        <v>14</v>
      </c>
      <c r="C79" t="s">
        <v>21</v>
      </c>
      <c r="D79" t="s">
        <v>30</v>
      </c>
      <c r="E79" t="s">
        <v>23</v>
      </c>
      <c r="F79">
        <v>198555</v>
      </c>
      <c r="G79">
        <v>13104</v>
      </c>
      <c r="H79">
        <v>6.6000000000000003E-2</v>
      </c>
      <c r="I79">
        <v>2.46</v>
      </c>
      <c r="J79">
        <v>32235.84</v>
      </c>
      <c r="K79">
        <v>336</v>
      </c>
      <c r="L79">
        <v>95.94</v>
      </c>
      <c r="M79">
        <v>58794.32</v>
      </c>
      <c r="N79">
        <v>1.82</v>
      </c>
    </row>
    <row r="80" spans="1:14" x14ac:dyDescent="0.25">
      <c r="A80" s="1">
        <v>45558</v>
      </c>
      <c r="B80" t="s">
        <v>28</v>
      </c>
      <c r="C80" t="s">
        <v>29</v>
      </c>
      <c r="D80" t="s">
        <v>22</v>
      </c>
      <c r="E80" t="s">
        <v>20</v>
      </c>
      <c r="F80">
        <v>88560</v>
      </c>
      <c r="G80">
        <v>1319</v>
      </c>
      <c r="H80">
        <v>1.49E-2</v>
      </c>
      <c r="I80">
        <v>0.52</v>
      </c>
      <c r="J80">
        <v>685.88</v>
      </c>
      <c r="K80">
        <v>81</v>
      </c>
      <c r="L80">
        <v>8.4700000000000006</v>
      </c>
      <c r="M80">
        <v>8584.02</v>
      </c>
      <c r="N80">
        <v>12.52</v>
      </c>
    </row>
    <row r="81" spans="1:14" x14ac:dyDescent="0.25">
      <c r="A81" s="1">
        <v>45467</v>
      </c>
      <c r="B81" t="s">
        <v>14</v>
      </c>
      <c r="C81" t="s">
        <v>29</v>
      </c>
      <c r="D81" t="s">
        <v>16</v>
      </c>
      <c r="E81" t="s">
        <v>17</v>
      </c>
      <c r="F81">
        <v>117217</v>
      </c>
      <c r="G81">
        <v>5602</v>
      </c>
      <c r="H81">
        <v>4.7800000000000002E-2</v>
      </c>
      <c r="I81">
        <v>3.49</v>
      </c>
      <c r="J81">
        <v>19550.98</v>
      </c>
      <c r="K81">
        <v>411</v>
      </c>
      <c r="L81">
        <v>47.57</v>
      </c>
      <c r="M81">
        <v>75729.259999999995</v>
      </c>
      <c r="N81">
        <v>3.87</v>
      </c>
    </row>
    <row r="82" spans="1:14" x14ac:dyDescent="0.25">
      <c r="A82" s="1">
        <v>45528</v>
      </c>
      <c r="B82" t="s">
        <v>28</v>
      </c>
      <c r="C82" t="s">
        <v>24</v>
      </c>
      <c r="D82" t="s">
        <v>16</v>
      </c>
      <c r="E82" t="s">
        <v>17</v>
      </c>
      <c r="F82">
        <v>104616</v>
      </c>
      <c r="G82">
        <v>4048</v>
      </c>
      <c r="H82">
        <v>3.8699999999999998E-2</v>
      </c>
      <c r="I82">
        <v>1.77</v>
      </c>
      <c r="J82">
        <v>7164.96</v>
      </c>
      <c r="K82">
        <v>233</v>
      </c>
      <c r="L82">
        <v>30.75</v>
      </c>
      <c r="M82">
        <v>45906.84</v>
      </c>
      <c r="N82">
        <v>6.41</v>
      </c>
    </row>
    <row r="83" spans="1:14" x14ac:dyDescent="0.25">
      <c r="A83" s="1">
        <v>45336</v>
      </c>
      <c r="B83" t="s">
        <v>18</v>
      </c>
      <c r="C83" t="s">
        <v>21</v>
      </c>
      <c r="D83" t="s">
        <v>22</v>
      </c>
      <c r="E83" t="s">
        <v>27</v>
      </c>
      <c r="F83">
        <v>79553</v>
      </c>
      <c r="G83">
        <v>2712</v>
      </c>
      <c r="H83">
        <v>3.4099999999999998E-2</v>
      </c>
      <c r="I83">
        <v>0.31</v>
      </c>
      <c r="J83">
        <v>840.72</v>
      </c>
      <c r="K83">
        <v>170</v>
      </c>
      <c r="L83">
        <v>4.95</v>
      </c>
      <c r="M83">
        <v>16973.79</v>
      </c>
      <c r="N83">
        <v>20.190000000000001</v>
      </c>
    </row>
    <row r="84" spans="1:14" x14ac:dyDescent="0.25">
      <c r="A84" s="1">
        <v>45524</v>
      </c>
      <c r="B84" t="s">
        <v>14</v>
      </c>
      <c r="C84" t="s">
        <v>15</v>
      </c>
      <c r="D84" t="s">
        <v>16</v>
      </c>
      <c r="E84" t="s">
        <v>23</v>
      </c>
      <c r="F84">
        <v>170904</v>
      </c>
      <c r="G84">
        <v>4751</v>
      </c>
      <c r="H84">
        <v>2.7799999999999998E-2</v>
      </c>
      <c r="I84">
        <v>1.1200000000000001</v>
      </c>
      <c r="J84">
        <v>5321.12</v>
      </c>
      <c r="K84">
        <v>326</v>
      </c>
      <c r="L84">
        <v>16.32</v>
      </c>
      <c r="M84">
        <v>44297.15</v>
      </c>
      <c r="N84">
        <v>8.32</v>
      </c>
    </row>
    <row r="85" spans="1:14" x14ac:dyDescent="0.25">
      <c r="A85" s="1">
        <v>45487</v>
      </c>
      <c r="B85" t="s">
        <v>14</v>
      </c>
      <c r="C85" t="s">
        <v>15</v>
      </c>
      <c r="D85" t="s">
        <v>22</v>
      </c>
      <c r="E85" t="s">
        <v>31</v>
      </c>
      <c r="F85">
        <v>88807</v>
      </c>
      <c r="G85">
        <v>4999</v>
      </c>
      <c r="H85">
        <v>5.6300000000000003E-2</v>
      </c>
      <c r="I85">
        <v>2.37</v>
      </c>
      <c r="J85">
        <v>11847.63</v>
      </c>
      <c r="K85">
        <v>348</v>
      </c>
      <c r="L85">
        <v>34.04</v>
      </c>
      <c r="M85">
        <v>103474.34</v>
      </c>
      <c r="N85">
        <v>8.73</v>
      </c>
    </row>
    <row r="86" spans="1:14" x14ac:dyDescent="0.25">
      <c r="A86" s="1">
        <v>45518</v>
      </c>
      <c r="B86" t="s">
        <v>28</v>
      </c>
      <c r="C86" t="s">
        <v>24</v>
      </c>
      <c r="D86" t="s">
        <v>19</v>
      </c>
      <c r="E86" t="s">
        <v>27</v>
      </c>
      <c r="F86">
        <v>157499</v>
      </c>
      <c r="G86">
        <v>1574</v>
      </c>
      <c r="H86">
        <v>0.01</v>
      </c>
      <c r="I86">
        <v>1.76</v>
      </c>
      <c r="J86">
        <v>2770.24</v>
      </c>
      <c r="K86">
        <v>45</v>
      </c>
      <c r="L86">
        <v>61.56</v>
      </c>
      <c r="M86">
        <v>13465.06</v>
      </c>
      <c r="N86">
        <v>4.8600000000000003</v>
      </c>
    </row>
    <row r="87" spans="1:14" x14ac:dyDescent="0.25">
      <c r="A87" s="1">
        <v>45562</v>
      </c>
      <c r="B87" t="s">
        <v>28</v>
      </c>
      <c r="C87" t="s">
        <v>15</v>
      </c>
      <c r="D87" t="s">
        <v>30</v>
      </c>
      <c r="E87" t="s">
        <v>32</v>
      </c>
      <c r="F87">
        <v>46846</v>
      </c>
      <c r="G87">
        <v>983</v>
      </c>
      <c r="H87">
        <v>2.1000000000000001E-2</v>
      </c>
      <c r="I87">
        <v>0.72</v>
      </c>
      <c r="J87">
        <v>707.76</v>
      </c>
      <c r="K87">
        <v>11</v>
      </c>
      <c r="L87">
        <v>64.34</v>
      </c>
      <c r="M87">
        <v>2501.87</v>
      </c>
      <c r="N87">
        <v>3.53</v>
      </c>
    </row>
    <row r="88" spans="1:14" x14ac:dyDescent="0.25">
      <c r="A88" s="1">
        <v>45553</v>
      </c>
      <c r="B88" t="s">
        <v>18</v>
      </c>
      <c r="C88" t="s">
        <v>15</v>
      </c>
      <c r="D88" t="s">
        <v>16</v>
      </c>
      <c r="E88" t="s">
        <v>26</v>
      </c>
      <c r="F88">
        <v>104986</v>
      </c>
      <c r="G88">
        <v>6131</v>
      </c>
      <c r="H88">
        <v>5.8400000000000001E-2</v>
      </c>
      <c r="I88">
        <v>0.36</v>
      </c>
      <c r="J88">
        <v>2207.16</v>
      </c>
      <c r="K88">
        <v>219</v>
      </c>
      <c r="L88">
        <v>10.08</v>
      </c>
      <c r="M88">
        <v>57679.5</v>
      </c>
      <c r="N88">
        <v>26.13</v>
      </c>
    </row>
    <row r="89" spans="1:14" x14ac:dyDescent="0.25">
      <c r="A89" s="1">
        <v>45436</v>
      </c>
      <c r="B89" t="s">
        <v>28</v>
      </c>
      <c r="C89" t="s">
        <v>24</v>
      </c>
      <c r="D89" t="s">
        <v>19</v>
      </c>
      <c r="E89" t="s">
        <v>31</v>
      </c>
      <c r="F89">
        <v>172516</v>
      </c>
      <c r="G89">
        <v>6314</v>
      </c>
      <c r="H89">
        <v>3.6600000000000001E-2</v>
      </c>
      <c r="I89">
        <v>0.72</v>
      </c>
      <c r="J89">
        <v>4546.08</v>
      </c>
      <c r="K89">
        <v>335</v>
      </c>
      <c r="L89">
        <v>13.57</v>
      </c>
      <c r="M89">
        <v>82096.800000000003</v>
      </c>
      <c r="N89">
        <v>18.059999999999999</v>
      </c>
    </row>
    <row r="90" spans="1:14" x14ac:dyDescent="0.25">
      <c r="A90" s="1">
        <v>45527</v>
      </c>
      <c r="B90" t="s">
        <v>28</v>
      </c>
      <c r="C90" t="s">
        <v>29</v>
      </c>
      <c r="D90" t="s">
        <v>30</v>
      </c>
      <c r="E90" t="s">
        <v>31</v>
      </c>
      <c r="F90">
        <v>187099</v>
      </c>
      <c r="G90">
        <v>2469</v>
      </c>
      <c r="H90">
        <v>1.32E-2</v>
      </c>
      <c r="I90">
        <v>0.83</v>
      </c>
      <c r="J90">
        <v>2049.27</v>
      </c>
      <c r="K90">
        <v>103</v>
      </c>
      <c r="L90">
        <v>19.899999999999999</v>
      </c>
      <c r="M90">
        <v>3413.17</v>
      </c>
      <c r="N90">
        <v>1.67</v>
      </c>
    </row>
    <row r="91" spans="1:14" x14ac:dyDescent="0.25">
      <c r="A91" s="1">
        <v>45386</v>
      </c>
      <c r="B91" t="s">
        <v>14</v>
      </c>
      <c r="C91" t="s">
        <v>24</v>
      </c>
      <c r="D91" t="s">
        <v>25</v>
      </c>
      <c r="E91" t="s">
        <v>31</v>
      </c>
      <c r="F91">
        <v>111661</v>
      </c>
      <c r="G91">
        <v>3930</v>
      </c>
      <c r="H91">
        <v>3.5200000000000002E-2</v>
      </c>
      <c r="I91">
        <v>0.84</v>
      </c>
      <c r="J91">
        <v>3301.2</v>
      </c>
      <c r="K91">
        <v>310</v>
      </c>
      <c r="L91">
        <v>10.65</v>
      </c>
      <c r="M91">
        <v>21226.880000000001</v>
      </c>
      <c r="N91">
        <v>6.43</v>
      </c>
    </row>
    <row r="92" spans="1:14" x14ac:dyDescent="0.25">
      <c r="A92" s="1">
        <v>45452</v>
      </c>
      <c r="B92" t="s">
        <v>28</v>
      </c>
      <c r="C92" t="s">
        <v>29</v>
      </c>
      <c r="D92" t="s">
        <v>19</v>
      </c>
      <c r="E92" t="s">
        <v>26</v>
      </c>
      <c r="F92">
        <v>79441</v>
      </c>
      <c r="G92">
        <v>3082</v>
      </c>
      <c r="H92">
        <v>3.8800000000000001E-2</v>
      </c>
      <c r="I92">
        <v>0.53</v>
      </c>
      <c r="J92">
        <v>1633.46</v>
      </c>
      <c r="K92">
        <v>100</v>
      </c>
      <c r="L92">
        <v>16.329999999999998</v>
      </c>
      <c r="M92">
        <v>29391.59</v>
      </c>
      <c r="N92">
        <v>17.989999999999998</v>
      </c>
    </row>
    <row r="93" spans="1:14" x14ac:dyDescent="0.25">
      <c r="A93" s="1">
        <v>45397</v>
      </c>
      <c r="B93" t="s">
        <v>14</v>
      </c>
      <c r="C93" t="s">
        <v>29</v>
      </c>
      <c r="D93" t="s">
        <v>25</v>
      </c>
      <c r="E93" t="s">
        <v>32</v>
      </c>
      <c r="F93">
        <v>14078</v>
      </c>
      <c r="G93">
        <v>763</v>
      </c>
      <c r="H93">
        <v>5.4199999999999998E-2</v>
      </c>
      <c r="I93">
        <v>2.2599999999999998</v>
      </c>
      <c r="J93">
        <v>1724.38</v>
      </c>
      <c r="K93">
        <v>57</v>
      </c>
      <c r="L93">
        <v>30.25</v>
      </c>
      <c r="M93">
        <v>16289.72</v>
      </c>
      <c r="N93">
        <v>9.4499999999999993</v>
      </c>
    </row>
    <row r="94" spans="1:14" x14ac:dyDescent="0.25">
      <c r="A94" s="1">
        <v>45298</v>
      </c>
      <c r="B94" t="s">
        <v>28</v>
      </c>
      <c r="C94" t="s">
        <v>24</v>
      </c>
      <c r="D94" t="s">
        <v>16</v>
      </c>
      <c r="E94" t="s">
        <v>32</v>
      </c>
      <c r="F94">
        <v>182235</v>
      </c>
      <c r="G94">
        <v>5047</v>
      </c>
      <c r="H94">
        <v>2.7699999999999999E-2</v>
      </c>
      <c r="I94">
        <v>0.74</v>
      </c>
      <c r="J94">
        <v>3734.78</v>
      </c>
      <c r="K94">
        <v>260</v>
      </c>
      <c r="L94">
        <v>14.36</v>
      </c>
      <c r="M94">
        <v>53450.65</v>
      </c>
      <c r="N94">
        <v>14.31</v>
      </c>
    </row>
    <row r="95" spans="1:14" x14ac:dyDescent="0.25">
      <c r="A95" s="1">
        <v>45346</v>
      </c>
      <c r="B95" t="s">
        <v>28</v>
      </c>
      <c r="C95" t="s">
        <v>21</v>
      </c>
      <c r="D95" t="s">
        <v>25</v>
      </c>
      <c r="E95" t="s">
        <v>27</v>
      </c>
      <c r="F95">
        <v>128629</v>
      </c>
      <c r="G95">
        <v>2109</v>
      </c>
      <c r="H95">
        <v>1.6400000000000001E-2</v>
      </c>
      <c r="I95">
        <v>1.29</v>
      </c>
      <c r="J95">
        <v>2720.61</v>
      </c>
      <c r="K95">
        <v>168</v>
      </c>
      <c r="L95">
        <v>16.190000000000001</v>
      </c>
      <c r="M95">
        <v>49256.62</v>
      </c>
      <c r="N95">
        <v>18.100000000000001</v>
      </c>
    </row>
    <row r="96" spans="1:14" x14ac:dyDescent="0.25">
      <c r="A96" s="1">
        <v>45384</v>
      </c>
      <c r="B96" t="s">
        <v>28</v>
      </c>
      <c r="C96" t="s">
        <v>29</v>
      </c>
      <c r="D96" t="s">
        <v>16</v>
      </c>
      <c r="E96" t="s">
        <v>27</v>
      </c>
      <c r="F96">
        <v>21309</v>
      </c>
      <c r="G96">
        <v>432</v>
      </c>
      <c r="H96">
        <v>2.0299999999999999E-2</v>
      </c>
      <c r="I96">
        <v>1.66</v>
      </c>
      <c r="J96">
        <v>717.12</v>
      </c>
      <c r="K96">
        <v>15</v>
      </c>
      <c r="L96">
        <v>47.81</v>
      </c>
      <c r="M96">
        <v>4449.9799999999996</v>
      </c>
      <c r="N96">
        <v>6.21</v>
      </c>
    </row>
    <row r="97" spans="1:14" x14ac:dyDescent="0.25">
      <c r="A97" s="1">
        <v>45541</v>
      </c>
      <c r="B97" t="s">
        <v>14</v>
      </c>
      <c r="C97" t="s">
        <v>15</v>
      </c>
      <c r="D97" t="s">
        <v>16</v>
      </c>
      <c r="E97" t="s">
        <v>23</v>
      </c>
      <c r="F97">
        <v>167932</v>
      </c>
      <c r="G97">
        <v>6717</v>
      </c>
      <c r="H97">
        <v>0.04</v>
      </c>
      <c r="I97">
        <v>2.46</v>
      </c>
      <c r="J97">
        <v>16523.82</v>
      </c>
      <c r="K97">
        <v>247</v>
      </c>
      <c r="L97">
        <v>66.900000000000006</v>
      </c>
      <c r="M97">
        <v>38475.06</v>
      </c>
      <c r="N97">
        <v>2.33</v>
      </c>
    </row>
    <row r="98" spans="1:14" x14ac:dyDescent="0.25">
      <c r="A98" s="1">
        <v>45299</v>
      </c>
      <c r="B98" t="s">
        <v>18</v>
      </c>
      <c r="C98" t="s">
        <v>15</v>
      </c>
      <c r="D98" t="s">
        <v>16</v>
      </c>
      <c r="E98" t="s">
        <v>20</v>
      </c>
      <c r="F98">
        <v>162795</v>
      </c>
      <c r="G98">
        <v>8107</v>
      </c>
      <c r="H98">
        <v>4.9799999999999997E-2</v>
      </c>
      <c r="I98">
        <v>0.96</v>
      </c>
      <c r="J98">
        <v>7782.72</v>
      </c>
      <c r="K98">
        <v>575</v>
      </c>
      <c r="L98">
        <v>13.54</v>
      </c>
      <c r="M98">
        <v>86383.64</v>
      </c>
      <c r="N98">
        <v>11.1</v>
      </c>
    </row>
    <row r="99" spans="1:14" x14ac:dyDescent="0.25">
      <c r="A99" s="1">
        <v>45522</v>
      </c>
      <c r="B99" t="s">
        <v>28</v>
      </c>
      <c r="C99" t="s">
        <v>15</v>
      </c>
      <c r="D99" t="s">
        <v>19</v>
      </c>
      <c r="E99" t="s">
        <v>20</v>
      </c>
      <c r="F99">
        <v>50893</v>
      </c>
      <c r="G99">
        <v>1124</v>
      </c>
      <c r="H99">
        <v>2.2100000000000002E-2</v>
      </c>
      <c r="I99">
        <v>1.41</v>
      </c>
      <c r="J99">
        <v>1584.84</v>
      </c>
      <c r="K99">
        <v>29</v>
      </c>
      <c r="L99">
        <v>54.65</v>
      </c>
      <c r="M99">
        <v>2707.5</v>
      </c>
      <c r="N99">
        <v>1.71</v>
      </c>
    </row>
    <row r="100" spans="1:14" x14ac:dyDescent="0.25">
      <c r="A100" s="1">
        <v>45557</v>
      </c>
      <c r="B100" t="s">
        <v>18</v>
      </c>
      <c r="C100" t="s">
        <v>29</v>
      </c>
      <c r="D100" t="s">
        <v>25</v>
      </c>
      <c r="E100" t="s">
        <v>17</v>
      </c>
      <c r="F100">
        <v>81619</v>
      </c>
      <c r="G100">
        <v>3623</v>
      </c>
      <c r="H100">
        <v>4.4400000000000002E-2</v>
      </c>
      <c r="I100">
        <v>0.47</v>
      </c>
      <c r="J100">
        <v>1702.81</v>
      </c>
      <c r="K100">
        <v>222</v>
      </c>
      <c r="L100">
        <v>7.67</v>
      </c>
      <c r="M100">
        <v>46448.44</v>
      </c>
      <c r="N100">
        <v>27.28</v>
      </c>
    </row>
    <row r="101" spans="1:14" x14ac:dyDescent="0.25">
      <c r="A101" s="1">
        <v>45498</v>
      </c>
      <c r="B101" t="s">
        <v>28</v>
      </c>
      <c r="C101" t="s">
        <v>15</v>
      </c>
      <c r="D101" t="s">
        <v>19</v>
      </c>
      <c r="E101" t="s">
        <v>26</v>
      </c>
      <c r="F101">
        <v>154381</v>
      </c>
      <c r="G101">
        <v>1698</v>
      </c>
      <c r="H101">
        <v>1.0999999999999999E-2</v>
      </c>
      <c r="I101">
        <v>1.85</v>
      </c>
      <c r="J101">
        <v>3141.3</v>
      </c>
      <c r="K101">
        <v>70</v>
      </c>
      <c r="L101">
        <v>44.88</v>
      </c>
      <c r="M101">
        <v>19750.240000000002</v>
      </c>
      <c r="N101">
        <v>6.29</v>
      </c>
    </row>
    <row r="102" spans="1:14" x14ac:dyDescent="0.25">
      <c r="A102" s="1">
        <v>45303</v>
      </c>
      <c r="B102" t="s">
        <v>14</v>
      </c>
      <c r="C102" t="s">
        <v>15</v>
      </c>
      <c r="D102" t="s">
        <v>16</v>
      </c>
      <c r="E102" t="s">
        <v>31</v>
      </c>
      <c r="F102">
        <v>124273</v>
      </c>
      <c r="G102">
        <v>3603</v>
      </c>
      <c r="H102">
        <v>2.9000000000000001E-2</v>
      </c>
      <c r="I102">
        <v>1.55</v>
      </c>
      <c r="J102">
        <v>5584.65</v>
      </c>
      <c r="K102">
        <v>167</v>
      </c>
      <c r="L102">
        <v>33.44</v>
      </c>
      <c r="M102">
        <v>20460.25</v>
      </c>
      <c r="N102">
        <v>3.66</v>
      </c>
    </row>
    <row r="103" spans="1:14" x14ac:dyDescent="0.25">
      <c r="A103" s="1">
        <v>45627</v>
      </c>
      <c r="B103" t="s">
        <v>28</v>
      </c>
      <c r="C103" t="s">
        <v>21</v>
      </c>
      <c r="D103" t="s">
        <v>22</v>
      </c>
      <c r="E103" t="s">
        <v>26</v>
      </c>
      <c r="F103">
        <v>6969</v>
      </c>
      <c r="G103">
        <v>176</v>
      </c>
      <c r="H103">
        <v>2.53E-2</v>
      </c>
      <c r="I103">
        <v>1.08</v>
      </c>
      <c r="J103">
        <v>190.08</v>
      </c>
      <c r="K103">
        <v>10</v>
      </c>
      <c r="L103">
        <v>19.010000000000002</v>
      </c>
      <c r="M103">
        <v>2562.91</v>
      </c>
      <c r="N103">
        <v>13.48</v>
      </c>
    </row>
    <row r="104" spans="1:14" x14ac:dyDescent="0.25">
      <c r="A104" s="1">
        <v>45436</v>
      </c>
      <c r="B104" t="s">
        <v>18</v>
      </c>
      <c r="C104" t="s">
        <v>29</v>
      </c>
      <c r="D104" t="s">
        <v>25</v>
      </c>
      <c r="E104" t="s">
        <v>20</v>
      </c>
      <c r="F104">
        <v>29089</v>
      </c>
      <c r="G104">
        <v>1076</v>
      </c>
      <c r="H104">
        <v>3.6999999999999998E-2</v>
      </c>
      <c r="I104">
        <v>0.65</v>
      </c>
      <c r="J104">
        <v>699.4</v>
      </c>
      <c r="K104">
        <v>40</v>
      </c>
      <c r="L104">
        <v>17.48</v>
      </c>
      <c r="M104">
        <v>8233.32</v>
      </c>
      <c r="N104">
        <v>11.77</v>
      </c>
    </row>
    <row r="105" spans="1:14" x14ac:dyDescent="0.25">
      <c r="A105" s="1">
        <v>45483</v>
      </c>
      <c r="B105" t="s">
        <v>14</v>
      </c>
      <c r="C105" t="s">
        <v>24</v>
      </c>
      <c r="D105" t="s">
        <v>25</v>
      </c>
      <c r="E105" t="s">
        <v>20</v>
      </c>
      <c r="F105">
        <v>10704</v>
      </c>
      <c r="G105">
        <v>489</v>
      </c>
      <c r="H105">
        <v>4.5699999999999998E-2</v>
      </c>
      <c r="I105">
        <v>1.71</v>
      </c>
      <c r="J105">
        <v>836.19</v>
      </c>
      <c r="K105">
        <v>36</v>
      </c>
      <c r="L105">
        <v>23.23</v>
      </c>
      <c r="M105">
        <v>5339.04</v>
      </c>
      <c r="N105">
        <v>6.38</v>
      </c>
    </row>
    <row r="106" spans="1:14" x14ac:dyDescent="0.25">
      <c r="A106" s="1">
        <v>45630</v>
      </c>
      <c r="B106" t="s">
        <v>18</v>
      </c>
      <c r="C106" t="s">
        <v>15</v>
      </c>
      <c r="D106" t="s">
        <v>30</v>
      </c>
      <c r="E106" t="s">
        <v>32</v>
      </c>
      <c r="F106">
        <v>22772</v>
      </c>
      <c r="G106">
        <v>1045</v>
      </c>
      <c r="H106">
        <v>4.5900000000000003E-2</v>
      </c>
      <c r="I106">
        <v>0.95</v>
      </c>
      <c r="J106">
        <v>992.75</v>
      </c>
      <c r="K106">
        <v>38</v>
      </c>
      <c r="L106">
        <v>26.12</v>
      </c>
      <c r="M106">
        <v>5743.6</v>
      </c>
      <c r="N106">
        <v>5.79</v>
      </c>
    </row>
    <row r="107" spans="1:14" x14ac:dyDescent="0.25">
      <c r="A107" s="1">
        <v>45393</v>
      </c>
      <c r="B107" t="s">
        <v>14</v>
      </c>
      <c r="C107" t="s">
        <v>15</v>
      </c>
      <c r="D107" t="s">
        <v>16</v>
      </c>
      <c r="E107" t="s">
        <v>26</v>
      </c>
      <c r="F107">
        <v>68449</v>
      </c>
      <c r="G107">
        <v>3285</v>
      </c>
      <c r="H107">
        <v>4.8000000000000001E-2</v>
      </c>
      <c r="I107">
        <v>2.38</v>
      </c>
      <c r="J107">
        <v>7818.3</v>
      </c>
      <c r="K107">
        <v>243</v>
      </c>
      <c r="L107">
        <v>32.17</v>
      </c>
      <c r="M107">
        <v>60681.21</v>
      </c>
      <c r="N107">
        <v>7.76</v>
      </c>
    </row>
    <row r="108" spans="1:14" x14ac:dyDescent="0.25">
      <c r="A108" s="1">
        <v>45591</v>
      </c>
      <c r="B108" t="s">
        <v>14</v>
      </c>
      <c r="C108" t="s">
        <v>15</v>
      </c>
      <c r="D108" t="s">
        <v>25</v>
      </c>
      <c r="E108" t="s">
        <v>17</v>
      </c>
      <c r="F108">
        <v>51819</v>
      </c>
      <c r="G108">
        <v>2497</v>
      </c>
      <c r="H108">
        <v>4.82E-2</v>
      </c>
      <c r="I108">
        <v>2.88</v>
      </c>
      <c r="J108">
        <v>7191.36</v>
      </c>
      <c r="K108">
        <v>138</v>
      </c>
      <c r="L108">
        <v>52.11</v>
      </c>
      <c r="M108">
        <v>37600.620000000003</v>
      </c>
      <c r="N108">
        <v>5.23</v>
      </c>
    </row>
    <row r="109" spans="1:14" x14ac:dyDescent="0.25">
      <c r="A109" s="1">
        <v>45615</v>
      </c>
      <c r="B109" t="s">
        <v>14</v>
      </c>
      <c r="C109" t="s">
        <v>21</v>
      </c>
      <c r="D109" t="s">
        <v>16</v>
      </c>
      <c r="E109" t="s">
        <v>32</v>
      </c>
      <c r="F109">
        <v>173722</v>
      </c>
      <c r="G109">
        <v>3821</v>
      </c>
      <c r="H109">
        <v>2.1999999999999999E-2</v>
      </c>
      <c r="I109">
        <v>1.54</v>
      </c>
      <c r="J109">
        <v>5884.34</v>
      </c>
      <c r="K109">
        <v>201</v>
      </c>
      <c r="L109">
        <v>29.28</v>
      </c>
      <c r="M109">
        <v>44895.5</v>
      </c>
      <c r="N109">
        <v>7.63</v>
      </c>
    </row>
    <row r="110" spans="1:14" x14ac:dyDescent="0.25">
      <c r="A110" s="1">
        <v>45641</v>
      </c>
      <c r="B110" t="s">
        <v>14</v>
      </c>
      <c r="C110" t="s">
        <v>24</v>
      </c>
      <c r="D110" t="s">
        <v>25</v>
      </c>
      <c r="E110" t="s">
        <v>23</v>
      </c>
      <c r="F110">
        <v>119014</v>
      </c>
      <c r="G110">
        <v>5938</v>
      </c>
      <c r="H110">
        <v>4.99E-2</v>
      </c>
      <c r="I110">
        <v>2.88</v>
      </c>
      <c r="J110">
        <v>17101.439999999999</v>
      </c>
      <c r="K110">
        <v>95</v>
      </c>
      <c r="L110">
        <v>180.02</v>
      </c>
      <c r="M110">
        <v>23773.95</v>
      </c>
      <c r="N110">
        <v>1.39</v>
      </c>
    </row>
    <row r="111" spans="1:14" x14ac:dyDescent="0.25">
      <c r="A111" s="1">
        <v>45432</v>
      </c>
      <c r="B111" t="s">
        <v>14</v>
      </c>
      <c r="C111" t="s">
        <v>15</v>
      </c>
      <c r="D111" t="s">
        <v>25</v>
      </c>
      <c r="E111" t="s">
        <v>32</v>
      </c>
      <c r="F111">
        <v>159741</v>
      </c>
      <c r="G111">
        <v>6868</v>
      </c>
      <c r="H111">
        <v>4.2999999999999997E-2</v>
      </c>
      <c r="I111">
        <v>1.37</v>
      </c>
      <c r="J111">
        <v>9409.16</v>
      </c>
      <c r="K111">
        <v>336</v>
      </c>
      <c r="L111">
        <v>28</v>
      </c>
      <c r="M111">
        <v>33272.11</v>
      </c>
      <c r="N111">
        <v>3.54</v>
      </c>
    </row>
    <row r="112" spans="1:14" x14ac:dyDescent="0.25">
      <c r="A112" s="1">
        <v>45351</v>
      </c>
      <c r="B112" t="s">
        <v>14</v>
      </c>
      <c r="C112" t="s">
        <v>24</v>
      </c>
      <c r="D112" t="s">
        <v>16</v>
      </c>
      <c r="E112" t="s">
        <v>26</v>
      </c>
      <c r="F112">
        <v>167982</v>
      </c>
      <c r="G112">
        <v>7693</v>
      </c>
      <c r="H112">
        <v>4.58E-2</v>
      </c>
      <c r="I112">
        <v>2.64</v>
      </c>
      <c r="J112">
        <v>20309.52</v>
      </c>
      <c r="K112">
        <v>193</v>
      </c>
      <c r="L112">
        <v>105.23</v>
      </c>
      <c r="M112">
        <v>10777.69</v>
      </c>
      <c r="N112">
        <v>0.53</v>
      </c>
    </row>
    <row r="113" spans="1:14" x14ac:dyDescent="0.25">
      <c r="A113" s="1">
        <v>45451</v>
      </c>
      <c r="B113" t="s">
        <v>14</v>
      </c>
      <c r="C113" t="s">
        <v>21</v>
      </c>
      <c r="D113" t="s">
        <v>16</v>
      </c>
      <c r="E113" t="s">
        <v>26</v>
      </c>
      <c r="F113">
        <v>96658</v>
      </c>
      <c r="G113">
        <v>2822</v>
      </c>
      <c r="H113">
        <v>2.92E-2</v>
      </c>
      <c r="I113">
        <v>3.37</v>
      </c>
      <c r="J113">
        <v>9510.14</v>
      </c>
      <c r="K113">
        <v>112</v>
      </c>
      <c r="L113">
        <v>84.91</v>
      </c>
      <c r="M113">
        <v>25060.16</v>
      </c>
      <c r="N113">
        <v>2.64</v>
      </c>
    </row>
    <row r="114" spans="1:14" x14ac:dyDescent="0.25">
      <c r="A114" s="1">
        <v>45310</v>
      </c>
      <c r="B114" t="s">
        <v>28</v>
      </c>
      <c r="C114" t="s">
        <v>21</v>
      </c>
      <c r="D114" t="s">
        <v>19</v>
      </c>
      <c r="E114" t="s">
        <v>31</v>
      </c>
      <c r="F114">
        <v>43467</v>
      </c>
      <c r="G114">
        <v>991</v>
      </c>
      <c r="H114">
        <v>2.2800000000000001E-2</v>
      </c>
      <c r="I114">
        <v>1.9</v>
      </c>
      <c r="J114">
        <v>1882.9</v>
      </c>
      <c r="K114">
        <v>25</v>
      </c>
      <c r="L114">
        <v>75.319999999999993</v>
      </c>
      <c r="M114">
        <v>3146.23</v>
      </c>
      <c r="N114">
        <v>1.67</v>
      </c>
    </row>
    <row r="115" spans="1:14" x14ac:dyDescent="0.25">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row>
    <row r="116" spans="1:14" x14ac:dyDescent="0.25">
      <c r="A116" s="1">
        <v>45591</v>
      </c>
      <c r="B116" t="s">
        <v>18</v>
      </c>
      <c r="C116" t="s">
        <v>21</v>
      </c>
      <c r="D116" t="s">
        <v>19</v>
      </c>
      <c r="E116" t="s">
        <v>31</v>
      </c>
      <c r="F116">
        <v>100673</v>
      </c>
      <c r="G116">
        <v>5718</v>
      </c>
      <c r="H116">
        <v>5.6800000000000003E-2</v>
      </c>
      <c r="I116">
        <v>1.05</v>
      </c>
      <c r="J116">
        <v>6003.9</v>
      </c>
      <c r="K116">
        <v>196</v>
      </c>
      <c r="L116">
        <v>30.63</v>
      </c>
      <c r="M116">
        <v>41067.129999999997</v>
      </c>
      <c r="N116">
        <v>6.84</v>
      </c>
    </row>
    <row r="117" spans="1:14" x14ac:dyDescent="0.25">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row>
    <row r="118" spans="1:14" x14ac:dyDescent="0.25">
      <c r="A118" s="1">
        <v>45433</v>
      </c>
      <c r="B118" t="s">
        <v>18</v>
      </c>
      <c r="C118" t="s">
        <v>29</v>
      </c>
      <c r="D118" t="s">
        <v>19</v>
      </c>
      <c r="E118" t="s">
        <v>20</v>
      </c>
      <c r="F118">
        <v>152235</v>
      </c>
      <c r="G118">
        <v>6104</v>
      </c>
      <c r="H118">
        <v>4.0099999999999997E-2</v>
      </c>
      <c r="I118">
        <v>0.73</v>
      </c>
      <c r="J118">
        <v>4455.92</v>
      </c>
      <c r="K118">
        <v>252</v>
      </c>
      <c r="L118">
        <v>17.68</v>
      </c>
      <c r="M118">
        <v>48424.44</v>
      </c>
      <c r="N118">
        <v>10.87</v>
      </c>
    </row>
    <row r="119" spans="1:14" x14ac:dyDescent="0.25">
      <c r="A119" s="1">
        <v>45633</v>
      </c>
      <c r="B119" t="s">
        <v>28</v>
      </c>
      <c r="C119" t="s">
        <v>21</v>
      </c>
      <c r="D119" t="s">
        <v>16</v>
      </c>
      <c r="E119" t="s">
        <v>32</v>
      </c>
      <c r="F119">
        <v>66929</v>
      </c>
      <c r="G119">
        <v>1539</v>
      </c>
      <c r="H119">
        <v>2.3E-2</v>
      </c>
      <c r="I119">
        <v>1.21</v>
      </c>
      <c r="J119">
        <v>1862.19</v>
      </c>
      <c r="K119">
        <v>38</v>
      </c>
      <c r="L119">
        <v>49.01</v>
      </c>
      <c r="M119">
        <v>9540.2199999999993</v>
      </c>
      <c r="N119">
        <v>5.12</v>
      </c>
    </row>
    <row r="120" spans="1:14" x14ac:dyDescent="0.25">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row>
    <row r="121" spans="1:14" x14ac:dyDescent="0.25">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row>
    <row r="122" spans="1:14" x14ac:dyDescent="0.25">
      <c r="A122" s="1">
        <v>45545</v>
      </c>
      <c r="B122" t="s">
        <v>14</v>
      </c>
      <c r="C122" t="s">
        <v>21</v>
      </c>
      <c r="D122" t="s">
        <v>22</v>
      </c>
      <c r="E122" t="s">
        <v>27</v>
      </c>
      <c r="F122">
        <v>65545</v>
      </c>
      <c r="G122">
        <v>3355</v>
      </c>
      <c r="H122">
        <v>5.1200000000000002E-2</v>
      </c>
      <c r="I122">
        <v>1.77</v>
      </c>
      <c r="J122">
        <v>5938.35</v>
      </c>
      <c r="K122">
        <v>196</v>
      </c>
      <c r="L122">
        <v>30.3</v>
      </c>
      <c r="M122">
        <v>57936.29</v>
      </c>
      <c r="N122">
        <v>9.76</v>
      </c>
    </row>
    <row r="123" spans="1:14" x14ac:dyDescent="0.25">
      <c r="A123" s="1">
        <v>45447</v>
      </c>
      <c r="B123" t="s">
        <v>14</v>
      </c>
      <c r="C123" t="s">
        <v>21</v>
      </c>
      <c r="D123" t="s">
        <v>22</v>
      </c>
      <c r="E123" t="s">
        <v>23</v>
      </c>
      <c r="F123">
        <v>33141</v>
      </c>
      <c r="G123">
        <v>798</v>
      </c>
      <c r="H123">
        <v>2.41E-2</v>
      </c>
      <c r="I123">
        <v>3.29</v>
      </c>
      <c r="J123">
        <v>2625.42</v>
      </c>
      <c r="K123">
        <v>42</v>
      </c>
      <c r="L123">
        <v>62.51</v>
      </c>
      <c r="M123">
        <v>7236.65</v>
      </c>
      <c r="N123">
        <v>2.76</v>
      </c>
    </row>
    <row r="124" spans="1:14" x14ac:dyDescent="0.25">
      <c r="A124" s="1">
        <v>45482</v>
      </c>
      <c r="B124" t="s">
        <v>28</v>
      </c>
      <c r="C124" t="s">
        <v>21</v>
      </c>
      <c r="D124" t="s">
        <v>22</v>
      </c>
      <c r="E124" t="s">
        <v>26</v>
      </c>
      <c r="F124">
        <v>76229</v>
      </c>
      <c r="G124">
        <v>1562</v>
      </c>
      <c r="H124">
        <v>2.0500000000000001E-2</v>
      </c>
      <c r="I124">
        <v>1.01</v>
      </c>
      <c r="J124">
        <v>1577.62</v>
      </c>
      <c r="K124">
        <v>30</v>
      </c>
      <c r="L124">
        <v>52.59</v>
      </c>
      <c r="M124">
        <v>4290.5</v>
      </c>
      <c r="N124">
        <v>2.72</v>
      </c>
    </row>
    <row r="125" spans="1:14" x14ac:dyDescent="0.25">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row>
    <row r="126" spans="1:14" x14ac:dyDescent="0.25">
      <c r="A126" s="1">
        <v>45487</v>
      </c>
      <c r="B126" t="s">
        <v>28</v>
      </c>
      <c r="C126" t="s">
        <v>24</v>
      </c>
      <c r="D126" t="s">
        <v>22</v>
      </c>
      <c r="E126" t="s">
        <v>20</v>
      </c>
      <c r="F126">
        <v>161193</v>
      </c>
      <c r="G126">
        <v>4916</v>
      </c>
      <c r="H126">
        <v>3.0499999999999999E-2</v>
      </c>
      <c r="I126">
        <v>1.37</v>
      </c>
      <c r="J126">
        <v>6734.92</v>
      </c>
      <c r="K126">
        <v>377</v>
      </c>
      <c r="L126">
        <v>17.86</v>
      </c>
      <c r="M126">
        <v>91408.9</v>
      </c>
      <c r="N126">
        <v>13.57</v>
      </c>
    </row>
    <row r="127" spans="1:14" x14ac:dyDescent="0.25">
      <c r="A127" s="1">
        <v>45339</v>
      </c>
      <c r="B127" t="s">
        <v>14</v>
      </c>
      <c r="C127" t="s">
        <v>15</v>
      </c>
      <c r="D127" t="s">
        <v>25</v>
      </c>
      <c r="E127" t="s">
        <v>26</v>
      </c>
      <c r="F127">
        <v>142244</v>
      </c>
      <c r="G127">
        <v>4935</v>
      </c>
      <c r="H127">
        <v>3.4700000000000002E-2</v>
      </c>
      <c r="I127">
        <v>2.98</v>
      </c>
      <c r="J127">
        <v>14706.3</v>
      </c>
      <c r="K127">
        <v>127</v>
      </c>
      <c r="L127">
        <v>115.8</v>
      </c>
      <c r="M127">
        <v>34307.21</v>
      </c>
      <c r="N127">
        <v>2.33</v>
      </c>
    </row>
    <row r="128" spans="1:14" x14ac:dyDescent="0.25">
      <c r="A128" s="1">
        <v>45378</v>
      </c>
      <c r="B128" t="s">
        <v>28</v>
      </c>
      <c r="C128" t="s">
        <v>15</v>
      </c>
      <c r="D128" t="s">
        <v>16</v>
      </c>
      <c r="E128" t="s">
        <v>17</v>
      </c>
      <c r="F128">
        <v>178063</v>
      </c>
      <c r="G128">
        <v>1851</v>
      </c>
      <c r="H128">
        <v>1.04E-2</v>
      </c>
      <c r="I128">
        <v>0.45</v>
      </c>
      <c r="J128">
        <v>832.95</v>
      </c>
      <c r="K128">
        <v>64</v>
      </c>
      <c r="L128">
        <v>13.01</v>
      </c>
      <c r="M128">
        <v>7044.13</v>
      </c>
      <c r="N128">
        <v>8.4600000000000009</v>
      </c>
    </row>
    <row r="129" spans="1:14" x14ac:dyDescent="0.25">
      <c r="A129" s="1">
        <v>45319</v>
      </c>
      <c r="B129" t="s">
        <v>14</v>
      </c>
      <c r="C129" t="s">
        <v>21</v>
      </c>
      <c r="D129" t="s">
        <v>16</v>
      </c>
      <c r="E129" t="s">
        <v>32</v>
      </c>
      <c r="F129">
        <v>193978</v>
      </c>
      <c r="G129">
        <v>5780</v>
      </c>
      <c r="H129">
        <v>2.98E-2</v>
      </c>
      <c r="I129">
        <v>1.73</v>
      </c>
      <c r="J129">
        <v>9999.4</v>
      </c>
      <c r="K129">
        <v>177</v>
      </c>
      <c r="L129">
        <v>56.49</v>
      </c>
      <c r="M129">
        <v>42071.17</v>
      </c>
      <c r="N129">
        <v>4.21</v>
      </c>
    </row>
    <row r="130" spans="1:14" x14ac:dyDescent="0.25">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row>
    <row r="131" spans="1:14" x14ac:dyDescent="0.25">
      <c r="A131" s="1">
        <v>45302</v>
      </c>
      <c r="B131" t="s">
        <v>28</v>
      </c>
      <c r="C131" t="s">
        <v>21</v>
      </c>
      <c r="D131" t="s">
        <v>19</v>
      </c>
      <c r="E131" t="s">
        <v>20</v>
      </c>
      <c r="F131">
        <v>152977</v>
      </c>
      <c r="G131">
        <v>5491</v>
      </c>
      <c r="H131">
        <v>3.5900000000000001E-2</v>
      </c>
      <c r="I131">
        <v>1.35</v>
      </c>
      <c r="J131">
        <v>7412.85</v>
      </c>
      <c r="K131">
        <v>147</v>
      </c>
      <c r="L131">
        <v>50.43</v>
      </c>
      <c r="M131">
        <v>9232.39</v>
      </c>
      <c r="N131">
        <v>1.25</v>
      </c>
    </row>
    <row r="132" spans="1:14" x14ac:dyDescent="0.25">
      <c r="A132" s="1">
        <v>45413</v>
      </c>
      <c r="B132" t="s">
        <v>14</v>
      </c>
      <c r="C132" t="s">
        <v>29</v>
      </c>
      <c r="D132" t="s">
        <v>30</v>
      </c>
      <c r="E132" t="s">
        <v>17</v>
      </c>
      <c r="F132">
        <v>129447</v>
      </c>
      <c r="G132">
        <v>4310</v>
      </c>
      <c r="H132">
        <v>3.3300000000000003E-2</v>
      </c>
      <c r="I132">
        <v>2.7</v>
      </c>
      <c r="J132">
        <v>11637</v>
      </c>
      <c r="K132">
        <v>211</v>
      </c>
      <c r="L132">
        <v>55.15</v>
      </c>
      <c r="M132">
        <v>16618.47</v>
      </c>
      <c r="N132">
        <v>1.43</v>
      </c>
    </row>
    <row r="133" spans="1:14" x14ac:dyDescent="0.25">
      <c r="A133" s="1">
        <v>45313</v>
      </c>
      <c r="B133" t="s">
        <v>14</v>
      </c>
      <c r="C133" t="s">
        <v>24</v>
      </c>
      <c r="D133" t="s">
        <v>16</v>
      </c>
      <c r="E133" t="s">
        <v>23</v>
      </c>
      <c r="F133">
        <v>28387</v>
      </c>
      <c r="G133">
        <v>672</v>
      </c>
      <c r="H133">
        <v>2.3699999999999999E-2</v>
      </c>
      <c r="I133">
        <v>3.32</v>
      </c>
      <c r="J133">
        <v>2231.04</v>
      </c>
      <c r="K133">
        <v>41</v>
      </c>
      <c r="L133">
        <v>54.42</v>
      </c>
      <c r="M133">
        <v>7232.57</v>
      </c>
      <c r="N133">
        <v>3.24</v>
      </c>
    </row>
    <row r="134" spans="1:14" x14ac:dyDescent="0.25">
      <c r="A134" s="1">
        <v>45409</v>
      </c>
      <c r="B134" t="s">
        <v>28</v>
      </c>
      <c r="C134" t="s">
        <v>24</v>
      </c>
      <c r="D134" t="s">
        <v>16</v>
      </c>
      <c r="E134" t="s">
        <v>32</v>
      </c>
      <c r="F134">
        <v>88986</v>
      </c>
      <c r="G134">
        <v>1308</v>
      </c>
      <c r="H134">
        <v>1.47E-2</v>
      </c>
      <c r="I134">
        <v>0.75</v>
      </c>
      <c r="J134">
        <v>981</v>
      </c>
      <c r="K134">
        <v>80</v>
      </c>
      <c r="L134">
        <v>12.26</v>
      </c>
      <c r="M134">
        <v>21439.34</v>
      </c>
      <c r="N134">
        <v>21.85</v>
      </c>
    </row>
    <row r="135" spans="1:14" x14ac:dyDescent="0.25">
      <c r="A135" s="1">
        <v>45301</v>
      </c>
      <c r="B135" t="s">
        <v>14</v>
      </c>
      <c r="C135" t="s">
        <v>21</v>
      </c>
      <c r="D135" t="s">
        <v>25</v>
      </c>
      <c r="E135" t="s">
        <v>20</v>
      </c>
      <c r="F135">
        <v>170268</v>
      </c>
      <c r="G135">
        <v>7917</v>
      </c>
      <c r="H135">
        <v>4.65E-2</v>
      </c>
      <c r="I135">
        <v>3.14</v>
      </c>
      <c r="J135">
        <v>24859.38</v>
      </c>
      <c r="K135">
        <v>98</v>
      </c>
      <c r="L135">
        <v>253.67</v>
      </c>
      <c r="M135">
        <v>22672.12</v>
      </c>
      <c r="N135">
        <v>0.91</v>
      </c>
    </row>
    <row r="136" spans="1:14" x14ac:dyDescent="0.25">
      <c r="A136" s="1">
        <v>45311</v>
      </c>
      <c r="B136" t="s">
        <v>14</v>
      </c>
      <c r="C136" t="s">
        <v>29</v>
      </c>
      <c r="D136" t="s">
        <v>22</v>
      </c>
      <c r="E136" t="s">
        <v>23</v>
      </c>
      <c r="F136">
        <v>122322</v>
      </c>
      <c r="G136">
        <v>6152</v>
      </c>
      <c r="H136">
        <v>5.0299999999999997E-2</v>
      </c>
      <c r="I136">
        <v>1.23</v>
      </c>
      <c r="J136">
        <v>7566.96</v>
      </c>
      <c r="K136">
        <v>155</v>
      </c>
      <c r="L136">
        <v>48.82</v>
      </c>
      <c r="M136">
        <v>10417.89</v>
      </c>
      <c r="N136">
        <v>1.38</v>
      </c>
    </row>
    <row r="137" spans="1:14" x14ac:dyDescent="0.25">
      <c r="A137" s="1">
        <v>45329</v>
      </c>
      <c r="B137" t="s">
        <v>28</v>
      </c>
      <c r="C137" t="s">
        <v>29</v>
      </c>
      <c r="D137" t="s">
        <v>22</v>
      </c>
      <c r="E137" t="s">
        <v>20</v>
      </c>
      <c r="F137">
        <v>69429</v>
      </c>
      <c r="G137">
        <v>2430</v>
      </c>
      <c r="H137">
        <v>3.5000000000000003E-2</v>
      </c>
      <c r="I137">
        <v>1.59</v>
      </c>
      <c r="J137">
        <v>3863.7</v>
      </c>
      <c r="K137">
        <v>119</v>
      </c>
      <c r="L137">
        <v>32.47</v>
      </c>
      <c r="M137">
        <v>21584.01</v>
      </c>
      <c r="N137">
        <v>5.59</v>
      </c>
    </row>
    <row r="138" spans="1:14" x14ac:dyDescent="0.25">
      <c r="A138" s="1">
        <v>45450</v>
      </c>
      <c r="B138" t="s">
        <v>28</v>
      </c>
      <c r="C138" t="s">
        <v>29</v>
      </c>
      <c r="D138" t="s">
        <v>25</v>
      </c>
      <c r="E138" t="s">
        <v>27</v>
      </c>
      <c r="F138">
        <v>196675</v>
      </c>
      <c r="G138">
        <v>4031</v>
      </c>
      <c r="H138">
        <v>2.0500000000000001E-2</v>
      </c>
      <c r="I138">
        <v>1.97</v>
      </c>
      <c r="J138">
        <v>7941.07</v>
      </c>
      <c r="K138">
        <v>186</v>
      </c>
      <c r="L138">
        <v>42.69</v>
      </c>
      <c r="M138">
        <v>27686.79</v>
      </c>
      <c r="N138">
        <v>3.49</v>
      </c>
    </row>
    <row r="139" spans="1:14" x14ac:dyDescent="0.25">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row>
    <row r="140" spans="1:14" x14ac:dyDescent="0.25">
      <c r="A140" s="1">
        <v>45650</v>
      </c>
      <c r="B140" t="s">
        <v>28</v>
      </c>
      <c r="C140" t="s">
        <v>29</v>
      </c>
      <c r="D140" t="s">
        <v>19</v>
      </c>
      <c r="E140" t="s">
        <v>27</v>
      </c>
      <c r="F140">
        <v>150544</v>
      </c>
      <c r="G140">
        <v>2890</v>
      </c>
      <c r="H140">
        <v>1.9199999999999998E-2</v>
      </c>
      <c r="I140">
        <v>1.7</v>
      </c>
      <c r="J140">
        <v>4913</v>
      </c>
      <c r="K140">
        <v>170</v>
      </c>
      <c r="L140">
        <v>28.9</v>
      </c>
      <c r="M140">
        <v>47769.42</v>
      </c>
      <c r="N140">
        <v>9.7200000000000006</v>
      </c>
    </row>
    <row r="141" spans="1:14" x14ac:dyDescent="0.25">
      <c r="A141" s="1">
        <v>45593</v>
      </c>
      <c r="B141" t="s">
        <v>18</v>
      </c>
      <c r="C141" t="s">
        <v>21</v>
      </c>
      <c r="D141" t="s">
        <v>25</v>
      </c>
      <c r="E141" t="s">
        <v>27</v>
      </c>
      <c r="F141">
        <v>75553</v>
      </c>
      <c r="G141">
        <v>3331</v>
      </c>
      <c r="H141">
        <v>4.41E-2</v>
      </c>
      <c r="I141">
        <v>0.44</v>
      </c>
      <c r="J141">
        <v>1465.64</v>
      </c>
      <c r="K141">
        <v>203</v>
      </c>
      <c r="L141">
        <v>7.22</v>
      </c>
      <c r="M141">
        <v>33301.040000000001</v>
      </c>
      <c r="N141">
        <v>22.72</v>
      </c>
    </row>
    <row r="142" spans="1:14" x14ac:dyDescent="0.25">
      <c r="A142" s="1">
        <v>45588</v>
      </c>
      <c r="B142" t="s">
        <v>28</v>
      </c>
      <c r="C142" t="s">
        <v>15</v>
      </c>
      <c r="D142" t="s">
        <v>19</v>
      </c>
      <c r="E142" t="s">
        <v>31</v>
      </c>
      <c r="F142">
        <v>149565</v>
      </c>
      <c r="G142">
        <v>2437</v>
      </c>
      <c r="H142">
        <v>1.6299999999999999E-2</v>
      </c>
      <c r="I142">
        <v>0.37</v>
      </c>
      <c r="J142">
        <v>901.69</v>
      </c>
      <c r="K142">
        <v>30</v>
      </c>
      <c r="L142">
        <v>30.06</v>
      </c>
      <c r="M142">
        <v>3133.33</v>
      </c>
      <c r="N142">
        <v>3.47</v>
      </c>
    </row>
    <row r="143" spans="1:14" x14ac:dyDescent="0.25">
      <c r="A143" s="1">
        <v>45397</v>
      </c>
      <c r="B143" t="s">
        <v>14</v>
      </c>
      <c r="C143" t="s">
        <v>29</v>
      </c>
      <c r="D143" t="s">
        <v>25</v>
      </c>
      <c r="E143" t="s">
        <v>31</v>
      </c>
      <c r="F143">
        <v>12896</v>
      </c>
      <c r="G143">
        <v>535</v>
      </c>
      <c r="H143">
        <v>4.1500000000000002E-2</v>
      </c>
      <c r="I143">
        <v>0.98</v>
      </c>
      <c r="J143">
        <v>524.29999999999995</v>
      </c>
      <c r="K143">
        <v>20</v>
      </c>
      <c r="L143">
        <v>26.21</v>
      </c>
      <c r="M143">
        <v>2475.65</v>
      </c>
      <c r="N143">
        <v>4.72</v>
      </c>
    </row>
    <row r="144" spans="1:14" x14ac:dyDescent="0.25">
      <c r="A144" s="1">
        <v>45434</v>
      </c>
      <c r="B144" t="s">
        <v>18</v>
      </c>
      <c r="C144" t="s">
        <v>29</v>
      </c>
      <c r="D144" t="s">
        <v>16</v>
      </c>
      <c r="E144" t="s">
        <v>26</v>
      </c>
      <c r="F144">
        <v>70428</v>
      </c>
      <c r="G144">
        <v>3310</v>
      </c>
      <c r="H144">
        <v>4.7E-2</v>
      </c>
      <c r="I144">
        <v>1.17</v>
      </c>
      <c r="J144">
        <v>3872.7</v>
      </c>
      <c r="K144">
        <v>164</v>
      </c>
      <c r="L144">
        <v>23.61</v>
      </c>
      <c r="M144">
        <v>25462.93</v>
      </c>
      <c r="N144">
        <v>6.57</v>
      </c>
    </row>
    <row r="145" spans="1:14" x14ac:dyDescent="0.25">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row>
    <row r="146" spans="1:14" x14ac:dyDescent="0.25">
      <c r="A146" s="1">
        <v>45621</v>
      </c>
      <c r="B146" t="s">
        <v>28</v>
      </c>
      <c r="C146" t="s">
        <v>29</v>
      </c>
      <c r="D146" t="s">
        <v>25</v>
      </c>
      <c r="E146" t="s">
        <v>23</v>
      </c>
      <c r="F146">
        <v>18140</v>
      </c>
      <c r="G146">
        <v>455</v>
      </c>
      <c r="H146">
        <v>2.5100000000000001E-2</v>
      </c>
      <c r="I146">
        <v>1.1499999999999999</v>
      </c>
      <c r="J146">
        <v>523.25</v>
      </c>
      <c r="K146">
        <v>29</v>
      </c>
      <c r="L146">
        <v>18.04</v>
      </c>
      <c r="M146">
        <v>1746.46</v>
      </c>
      <c r="N146">
        <v>3.34</v>
      </c>
    </row>
    <row r="147" spans="1:14" x14ac:dyDescent="0.25">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row>
    <row r="148" spans="1:14" x14ac:dyDescent="0.25">
      <c r="A148" s="1">
        <v>45317</v>
      </c>
      <c r="B148" t="s">
        <v>18</v>
      </c>
      <c r="C148" t="s">
        <v>24</v>
      </c>
      <c r="D148" t="s">
        <v>25</v>
      </c>
      <c r="E148" t="s">
        <v>26</v>
      </c>
      <c r="F148">
        <v>34118</v>
      </c>
      <c r="G148">
        <v>1470</v>
      </c>
      <c r="H148">
        <v>4.3099999999999999E-2</v>
      </c>
      <c r="I148">
        <v>0.85</v>
      </c>
      <c r="J148">
        <v>1249.5</v>
      </c>
      <c r="K148">
        <v>55</v>
      </c>
      <c r="L148">
        <v>22.72</v>
      </c>
      <c r="M148">
        <v>3037.11</v>
      </c>
      <c r="N148">
        <v>2.4300000000000002</v>
      </c>
    </row>
    <row r="149" spans="1:14" x14ac:dyDescent="0.25">
      <c r="A149" s="1">
        <v>45299</v>
      </c>
      <c r="B149" t="s">
        <v>28</v>
      </c>
      <c r="C149" t="s">
        <v>21</v>
      </c>
      <c r="D149" t="s">
        <v>19</v>
      </c>
      <c r="E149" t="s">
        <v>20</v>
      </c>
      <c r="F149">
        <v>127775</v>
      </c>
      <c r="G149">
        <v>3871</v>
      </c>
      <c r="H149">
        <v>3.0300000000000001E-2</v>
      </c>
      <c r="I149">
        <v>0.76</v>
      </c>
      <c r="J149">
        <v>2941.96</v>
      </c>
      <c r="K149">
        <v>159</v>
      </c>
      <c r="L149">
        <v>18.5</v>
      </c>
      <c r="M149">
        <v>28717.22</v>
      </c>
      <c r="N149">
        <v>9.76</v>
      </c>
    </row>
    <row r="150" spans="1:14" x14ac:dyDescent="0.25">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row>
    <row r="151" spans="1:14" x14ac:dyDescent="0.25">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row>
    <row r="152" spans="1:14" x14ac:dyDescent="0.25">
      <c r="A152" s="1">
        <v>45445</v>
      </c>
      <c r="B152" t="s">
        <v>28</v>
      </c>
      <c r="C152" t="s">
        <v>15</v>
      </c>
      <c r="D152" t="s">
        <v>19</v>
      </c>
      <c r="E152" t="s">
        <v>23</v>
      </c>
      <c r="F152">
        <v>37994</v>
      </c>
      <c r="G152">
        <v>1379</v>
      </c>
      <c r="H152">
        <v>3.6299999999999999E-2</v>
      </c>
      <c r="I152">
        <v>1.06</v>
      </c>
      <c r="J152">
        <v>1461.74</v>
      </c>
      <c r="K152">
        <v>58</v>
      </c>
      <c r="L152">
        <v>25.2</v>
      </c>
      <c r="M152">
        <v>7343.12</v>
      </c>
      <c r="N152">
        <v>5.0199999999999996</v>
      </c>
    </row>
    <row r="153" spans="1:14" x14ac:dyDescent="0.25">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row>
    <row r="154" spans="1:14" x14ac:dyDescent="0.25">
      <c r="A154" s="1">
        <v>45641</v>
      </c>
      <c r="B154" t="s">
        <v>14</v>
      </c>
      <c r="C154" t="s">
        <v>15</v>
      </c>
      <c r="D154" t="s">
        <v>19</v>
      </c>
      <c r="E154" t="s">
        <v>27</v>
      </c>
      <c r="F154">
        <v>176790</v>
      </c>
      <c r="G154">
        <v>4490</v>
      </c>
      <c r="H154">
        <v>2.5399999999999999E-2</v>
      </c>
      <c r="I154">
        <v>1.49</v>
      </c>
      <c r="J154">
        <v>6690.1</v>
      </c>
      <c r="K154">
        <v>250</v>
      </c>
      <c r="L154">
        <v>26.76</v>
      </c>
      <c r="M154">
        <v>74442.63</v>
      </c>
      <c r="N154">
        <v>11.13</v>
      </c>
    </row>
    <row r="155" spans="1:14" x14ac:dyDescent="0.25">
      <c r="A155" s="1">
        <v>45594</v>
      </c>
      <c r="B155" t="s">
        <v>14</v>
      </c>
      <c r="C155" t="s">
        <v>24</v>
      </c>
      <c r="D155" t="s">
        <v>16</v>
      </c>
      <c r="E155" t="s">
        <v>26</v>
      </c>
      <c r="F155">
        <v>60077</v>
      </c>
      <c r="G155">
        <v>1994</v>
      </c>
      <c r="H155">
        <v>3.32E-2</v>
      </c>
      <c r="I155">
        <v>3.11</v>
      </c>
      <c r="J155">
        <v>6201.34</v>
      </c>
      <c r="K155">
        <v>28</v>
      </c>
      <c r="L155">
        <v>221.48</v>
      </c>
      <c r="M155">
        <v>7635.29</v>
      </c>
      <c r="N155">
        <v>1.23</v>
      </c>
    </row>
    <row r="156" spans="1:14" x14ac:dyDescent="0.25">
      <c r="A156" s="1">
        <v>45382</v>
      </c>
      <c r="B156" t="s">
        <v>28</v>
      </c>
      <c r="C156" t="s">
        <v>29</v>
      </c>
      <c r="D156" t="s">
        <v>16</v>
      </c>
      <c r="E156" t="s">
        <v>27</v>
      </c>
      <c r="F156">
        <v>151295</v>
      </c>
      <c r="G156">
        <v>2163</v>
      </c>
      <c r="H156">
        <v>1.43E-2</v>
      </c>
      <c r="I156">
        <v>1.58</v>
      </c>
      <c r="J156">
        <v>3417.54</v>
      </c>
      <c r="K156">
        <v>85</v>
      </c>
      <c r="L156">
        <v>40.21</v>
      </c>
      <c r="M156">
        <v>3173.67</v>
      </c>
      <c r="N156">
        <v>0.93</v>
      </c>
    </row>
    <row r="157" spans="1:14" x14ac:dyDescent="0.25">
      <c r="A157" s="1">
        <v>45401</v>
      </c>
      <c r="B157" t="s">
        <v>18</v>
      </c>
      <c r="C157" t="s">
        <v>29</v>
      </c>
      <c r="D157" t="s">
        <v>30</v>
      </c>
      <c r="E157" t="s">
        <v>27</v>
      </c>
      <c r="F157">
        <v>20282</v>
      </c>
      <c r="G157">
        <v>1740</v>
      </c>
      <c r="H157">
        <v>8.5800000000000001E-2</v>
      </c>
      <c r="I157">
        <v>1.25</v>
      </c>
      <c r="J157">
        <v>2175</v>
      </c>
      <c r="K157">
        <v>94</v>
      </c>
      <c r="L157">
        <v>23.14</v>
      </c>
      <c r="M157">
        <v>14237</v>
      </c>
      <c r="N157">
        <v>6.55</v>
      </c>
    </row>
    <row r="158" spans="1:14" x14ac:dyDescent="0.25">
      <c r="A158" s="1">
        <v>45577</v>
      </c>
      <c r="B158" t="s">
        <v>14</v>
      </c>
      <c r="C158" t="s">
        <v>15</v>
      </c>
      <c r="D158" t="s">
        <v>22</v>
      </c>
      <c r="E158" t="s">
        <v>26</v>
      </c>
      <c r="F158">
        <v>185488</v>
      </c>
      <c r="G158">
        <v>3950</v>
      </c>
      <c r="H158">
        <v>2.1299999999999999E-2</v>
      </c>
      <c r="I158">
        <v>1.39</v>
      </c>
      <c r="J158">
        <v>5490.5</v>
      </c>
      <c r="K158">
        <v>289</v>
      </c>
      <c r="L158">
        <v>19</v>
      </c>
      <c r="M158">
        <v>75172.149999999994</v>
      </c>
      <c r="N158">
        <v>13.69</v>
      </c>
    </row>
    <row r="159" spans="1:14" x14ac:dyDescent="0.25">
      <c r="A159" s="1">
        <v>45546</v>
      </c>
      <c r="B159" t="s">
        <v>28</v>
      </c>
      <c r="C159" t="s">
        <v>29</v>
      </c>
      <c r="D159" t="s">
        <v>30</v>
      </c>
      <c r="E159" t="s">
        <v>32</v>
      </c>
      <c r="F159">
        <v>28567</v>
      </c>
      <c r="G159">
        <v>999</v>
      </c>
      <c r="H159">
        <v>3.5000000000000003E-2</v>
      </c>
      <c r="I159">
        <v>1.69</v>
      </c>
      <c r="J159">
        <v>1688.31</v>
      </c>
      <c r="K159">
        <v>68</v>
      </c>
      <c r="L159">
        <v>24.83</v>
      </c>
      <c r="M159">
        <v>13037.25</v>
      </c>
      <c r="N159">
        <v>7.72</v>
      </c>
    </row>
    <row r="160" spans="1:14" x14ac:dyDescent="0.25">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row>
    <row r="161" spans="1:14" x14ac:dyDescent="0.25">
      <c r="A161" s="1">
        <v>45329</v>
      </c>
      <c r="B161" t="s">
        <v>28</v>
      </c>
      <c r="C161" t="s">
        <v>24</v>
      </c>
      <c r="D161" t="s">
        <v>22</v>
      </c>
      <c r="E161" t="s">
        <v>27</v>
      </c>
      <c r="F161">
        <v>101019</v>
      </c>
      <c r="G161">
        <v>2515</v>
      </c>
      <c r="H161">
        <v>2.4899999999999999E-2</v>
      </c>
      <c r="I161">
        <v>1.69</v>
      </c>
      <c r="J161">
        <v>4250.3500000000004</v>
      </c>
      <c r="K161">
        <v>72</v>
      </c>
      <c r="L161">
        <v>59.03</v>
      </c>
      <c r="M161">
        <v>11353.12</v>
      </c>
      <c r="N161">
        <v>2.67</v>
      </c>
    </row>
    <row r="162" spans="1:14" x14ac:dyDescent="0.25">
      <c r="A162" s="1">
        <v>45352</v>
      </c>
      <c r="B162" t="s">
        <v>18</v>
      </c>
      <c r="C162" t="s">
        <v>24</v>
      </c>
      <c r="D162" t="s">
        <v>30</v>
      </c>
      <c r="E162" t="s">
        <v>20</v>
      </c>
      <c r="F162">
        <v>91795</v>
      </c>
      <c r="G162">
        <v>3800</v>
      </c>
      <c r="H162">
        <v>4.1399999999999999E-2</v>
      </c>
      <c r="I162">
        <v>1.22</v>
      </c>
      <c r="J162">
        <v>4636</v>
      </c>
      <c r="K162">
        <v>157</v>
      </c>
      <c r="L162">
        <v>29.53</v>
      </c>
      <c r="M162">
        <v>24815.09</v>
      </c>
      <c r="N162">
        <v>5.35</v>
      </c>
    </row>
    <row r="163" spans="1:14" x14ac:dyDescent="0.25">
      <c r="A163" s="1">
        <v>45481</v>
      </c>
      <c r="B163" t="s">
        <v>28</v>
      </c>
      <c r="C163" t="s">
        <v>15</v>
      </c>
      <c r="D163" t="s">
        <v>30</v>
      </c>
      <c r="E163" t="s">
        <v>31</v>
      </c>
      <c r="F163">
        <v>22543</v>
      </c>
      <c r="G163">
        <v>333</v>
      </c>
      <c r="H163">
        <v>1.4800000000000001E-2</v>
      </c>
      <c r="I163">
        <v>1.49</v>
      </c>
      <c r="J163">
        <v>496.17</v>
      </c>
      <c r="K163">
        <v>12</v>
      </c>
      <c r="L163">
        <v>41.35</v>
      </c>
      <c r="M163">
        <v>642.17999999999995</v>
      </c>
      <c r="N163">
        <v>1.29</v>
      </c>
    </row>
    <row r="164" spans="1:14" x14ac:dyDescent="0.25">
      <c r="A164" s="1">
        <v>45350</v>
      </c>
      <c r="B164" t="s">
        <v>28</v>
      </c>
      <c r="C164" t="s">
        <v>24</v>
      </c>
      <c r="D164" t="s">
        <v>22</v>
      </c>
      <c r="E164" t="s">
        <v>27</v>
      </c>
      <c r="F164">
        <v>119598</v>
      </c>
      <c r="G164">
        <v>1064</v>
      </c>
      <c r="H164">
        <v>8.8999999999999999E-3</v>
      </c>
      <c r="I164">
        <v>2</v>
      </c>
      <c r="J164">
        <v>2128</v>
      </c>
      <c r="K164">
        <v>64</v>
      </c>
      <c r="L164">
        <v>33.25</v>
      </c>
      <c r="M164">
        <v>17165.43</v>
      </c>
      <c r="N164">
        <v>8.07</v>
      </c>
    </row>
    <row r="165" spans="1:14" x14ac:dyDescent="0.25">
      <c r="A165" s="1">
        <v>45531</v>
      </c>
      <c r="B165" t="s">
        <v>28</v>
      </c>
      <c r="C165" t="s">
        <v>15</v>
      </c>
      <c r="D165" t="s">
        <v>19</v>
      </c>
      <c r="E165" t="s">
        <v>17</v>
      </c>
      <c r="F165">
        <v>158504</v>
      </c>
      <c r="G165">
        <v>4897</v>
      </c>
      <c r="H165">
        <v>3.09E-2</v>
      </c>
      <c r="I165">
        <v>0.43</v>
      </c>
      <c r="J165">
        <v>2105.71</v>
      </c>
      <c r="K165">
        <v>255</v>
      </c>
      <c r="L165">
        <v>8.26</v>
      </c>
      <c r="M165">
        <v>54921.72</v>
      </c>
      <c r="N165">
        <v>26.08</v>
      </c>
    </row>
    <row r="166" spans="1:14" x14ac:dyDescent="0.25">
      <c r="A166" s="1">
        <v>45373</v>
      </c>
      <c r="B166" t="s">
        <v>14</v>
      </c>
      <c r="C166" t="s">
        <v>29</v>
      </c>
      <c r="D166" t="s">
        <v>30</v>
      </c>
      <c r="E166" t="s">
        <v>32</v>
      </c>
      <c r="F166">
        <v>39542</v>
      </c>
      <c r="G166">
        <v>1209</v>
      </c>
      <c r="H166">
        <v>3.0599999999999999E-2</v>
      </c>
      <c r="I166">
        <v>1.85</v>
      </c>
      <c r="J166">
        <v>2236.65</v>
      </c>
      <c r="K166">
        <v>42</v>
      </c>
      <c r="L166">
        <v>53.25</v>
      </c>
      <c r="M166">
        <v>7992.11</v>
      </c>
      <c r="N166">
        <v>3.57</v>
      </c>
    </row>
    <row r="167" spans="1:14" x14ac:dyDescent="0.25">
      <c r="A167" s="1">
        <v>45492</v>
      </c>
      <c r="B167" t="s">
        <v>14</v>
      </c>
      <c r="C167" t="s">
        <v>29</v>
      </c>
      <c r="D167" t="s">
        <v>16</v>
      </c>
      <c r="E167" t="s">
        <v>31</v>
      </c>
      <c r="F167">
        <v>110848</v>
      </c>
      <c r="G167">
        <v>3181</v>
      </c>
      <c r="H167">
        <v>2.87E-2</v>
      </c>
      <c r="I167">
        <v>2.4500000000000002</v>
      </c>
      <c r="J167">
        <v>7793.45</v>
      </c>
      <c r="K167">
        <v>186</v>
      </c>
      <c r="L167">
        <v>41.9</v>
      </c>
      <c r="M167">
        <v>32321.78</v>
      </c>
      <c r="N167">
        <v>4.1500000000000004</v>
      </c>
    </row>
    <row r="168" spans="1:14" x14ac:dyDescent="0.25">
      <c r="A168" s="1">
        <v>45648</v>
      </c>
      <c r="B168" t="s">
        <v>28</v>
      </c>
      <c r="C168" t="s">
        <v>21</v>
      </c>
      <c r="D168" t="s">
        <v>22</v>
      </c>
      <c r="E168" t="s">
        <v>32</v>
      </c>
      <c r="F168">
        <v>79964</v>
      </c>
      <c r="G168">
        <v>1487</v>
      </c>
      <c r="H168">
        <v>1.8599999999999998E-2</v>
      </c>
      <c r="I168">
        <v>1.07</v>
      </c>
      <c r="J168">
        <v>1591.09</v>
      </c>
      <c r="K168">
        <v>22</v>
      </c>
      <c r="L168">
        <v>72.319999999999993</v>
      </c>
      <c r="M168">
        <v>3882.65</v>
      </c>
      <c r="N168">
        <v>2.44</v>
      </c>
    </row>
    <row r="169" spans="1:14" x14ac:dyDescent="0.25">
      <c r="A169" s="1">
        <v>45645</v>
      </c>
      <c r="B169" t="s">
        <v>18</v>
      </c>
      <c r="C169" t="s">
        <v>29</v>
      </c>
      <c r="D169" t="s">
        <v>19</v>
      </c>
      <c r="E169" t="s">
        <v>26</v>
      </c>
      <c r="F169">
        <v>105127</v>
      </c>
      <c r="G169">
        <v>7747</v>
      </c>
      <c r="H169">
        <v>7.3700000000000002E-2</v>
      </c>
      <c r="I169">
        <v>0.88</v>
      </c>
      <c r="J169">
        <v>6817.36</v>
      </c>
      <c r="K169">
        <v>460</v>
      </c>
      <c r="L169">
        <v>14.82</v>
      </c>
      <c r="M169">
        <v>99299.9</v>
      </c>
      <c r="N169">
        <v>14.57</v>
      </c>
    </row>
    <row r="170" spans="1:14" x14ac:dyDescent="0.25">
      <c r="A170" s="1">
        <v>45298</v>
      </c>
      <c r="B170" t="s">
        <v>14</v>
      </c>
      <c r="C170" t="s">
        <v>24</v>
      </c>
      <c r="D170" t="s">
        <v>19</v>
      </c>
      <c r="E170" t="s">
        <v>17</v>
      </c>
      <c r="F170">
        <v>73803</v>
      </c>
      <c r="G170">
        <v>1505</v>
      </c>
      <c r="H170">
        <v>2.0400000000000001E-2</v>
      </c>
      <c r="I170">
        <v>2.12</v>
      </c>
      <c r="J170">
        <v>3190.6</v>
      </c>
      <c r="K170">
        <v>98</v>
      </c>
      <c r="L170">
        <v>32.56</v>
      </c>
      <c r="M170">
        <v>18709.86</v>
      </c>
      <c r="N170">
        <v>5.86</v>
      </c>
    </row>
    <row r="171" spans="1:14" x14ac:dyDescent="0.25">
      <c r="A171" s="1">
        <v>45467</v>
      </c>
      <c r="B171" t="s">
        <v>14</v>
      </c>
      <c r="C171" t="s">
        <v>24</v>
      </c>
      <c r="D171" t="s">
        <v>22</v>
      </c>
      <c r="E171" t="s">
        <v>20</v>
      </c>
      <c r="F171">
        <v>96575</v>
      </c>
      <c r="G171">
        <v>4925</v>
      </c>
      <c r="H171">
        <v>5.0999999999999997E-2</v>
      </c>
      <c r="I171">
        <v>2.4</v>
      </c>
      <c r="J171">
        <v>11820</v>
      </c>
      <c r="K171">
        <v>181</v>
      </c>
      <c r="L171">
        <v>65.3</v>
      </c>
      <c r="M171">
        <v>7335.74</v>
      </c>
      <c r="N171">
        <v>0.62</v>
      </c>
    </row>
    <row r="172" spans="1:14" x14ac:dyDescent="0.25">
      <c r="A172" s="1">
        <v>45342</v>
      </c>
      <c r="B172" t="s">
        <v>14</v>
      </c>
      <c r="C172" t="s">
        <v>24</v>
      </c>
      <c r="D172" t="s">
        <v>16</v>
      </c>
      <c r="E172" t="s">
        <v>20</v>
      </c>
      <c r="F172">
        <v>162489</v>
      </c>
      <c r="G172">
        <v>4500</v>
      </c>
      <c r="H172">
        <v>2.7699999999999999E-2</v>
      </c>
      <c r="I172">
        <v>3.03</v>
      </c>
      <c r="J172">
        <v>13635</v>
      </c>
      <c r="K172">
        <v>184</v>
      </c>
      <c r="L172">
        <v>74.099999999999994</v>
      </c>
      <c r="M172">
        <v>54944.54</v>
      </c>
      <c r="N172">
        <v>4.03</v>
      </c>
    </row>
    <row r="173" spans="1:14" x14ac:dyDescent="0.25">
      <c r="A173" s="1">
        <v>45417</v>
      </c>
      <c r="B173" t="s">
        <v>28</v>
      </c>
      <c r="C173" t="s">
        <v>15</v>
      </c>
      <c r="D173" t="s">
        <v>22</v>
      </c>
      <c r="E173" t="s">
        <v>27</v>
      </c>
      <c r="F173">
        <v>76155</v>
      </c>
      <c r="G173">
        <v>3548</v>
      </c>
      <c r="H173">
        <v>4.6600000000000003E-2</v>
      </c>
      <c r="I173">
        <v>1.25</v>
      </c>
      <c r="J173">
        <v>4435</v>
      </c>
      <c r="K173">
        <v>243</v>
      </c>
      <c r="L173">
        <v>18.25</v>
      </c>
      <c r="M173">
        <v>30659.34</v>
      </c>
      <c r="N173">
        <v>6.91</v>
      </c>
    </row>
    <row r="174" spans="1:14" x14ac:dyDescent="0.25">
      <c r="A174" s="1">
        <v>45632</v>
      </c>
      <c r="B174" t="s">
        <v>18</v>
      </c>
      <c r="C174" t="s">
        <v>15</v>
      </c>
      <c r="D174" t="s">
        <v>16</v>
      </c>
      <c r="E174" t="s">
        <v>20</v>
      </c>
      <c r="F174">
        <v>180021</v>
      </c>
      <c r="G174">
        <v>13105</v>
      </c>
      <c r="H174">
        <v>7.2800000000000004E-2</v>
      </c>
      <c r="I174">
        <v>1.61</v>
      </c>
      <c r="J174">
        <v>21099.05</v>
      </c>
      <c r="K174">
        <v>880</v>
      </c>
      <c r="L174">
        <v>23.98</v>
      </c>
      <c r="M174">
        <v>75656.62</v>
      </c>
      <c r="N174">
        <v>3.59</v>
      </c>
    </row>
    <row r="175" spans="1:14" x14ac:dyDescent="0.25">
      <c r="A175" s="1">
        <v>45395</v>
      </c>
      <c r="B175" t="s">
        <v>18</v>
      </c>
      <c r="C175" t="s">
        <v>21</v>
      </c>
      <c r="D175" t="s">
        <v>19</v>
      </c>
      <c r="E175" t="s">
        <v>20</v>
      </c>
      <c r="F175">
        <v>79965</v>
      </c>
      <c r="G175">
        <v>3070</v>
      </c>
      <c r="H175">
        <v>3.8399999999999997E-2</v>
      </c>
      <c r="I175">
        <v>1.02</v>
      </c>
      <c r="J175">
        <v>3131.4</v>
      </c>
      <c r="K175">
        <v>237</v>
      </c>
      <c r="L175">
        <v>13.21</v>
      </c>
      <c r="M175">
        <v>65306</v>
      </c>
      <c r="N175">
        <v>20.86</v>
      </c>
    </row>
    <row r="176" spans="1:14" x14ac:dyDescent="0.25">
      <c r="A176" s="1">
        <v>45440</v>
      </c>
      <c r="B176" t="s">
        <v>28</v>
      </c>
      <c r="C176" t="s">
        <v>15</v>
      </c>
      <c r="D176" t="s">
        <v>19</v>
      </c>
      <c r="E176" t="s">
        <v>31</v>
      </c>
      <c r="F176">
        <v>49789</v>
      </c>
      <c r="G176">
        <v>622</v>
      </c>
      <c r="H176">
        <v>1.2500000000000001E-2</v>
      </c>
      <c r="I176">
        <v>2.08</v>
      </c>
      <c r="J176">
        <v>1293.76</v>
      </c>
      <c r="K176">
        <v>48</v>
      </c>
      <c r="L176">
        <v>26.95</v>
      </c>
      <c r="M176">
        <v>7704.96</v>
      </c>
      <c r="N176">
        <v>5.96</v>
      </c>
    </row>
    <row r="177" spans="1:14" x14ac:dyDescent="0.25">
      <c r="A177" s="1">
        <v>45393</v>
      </c>
      <c r="B177" t="s">
        <v>18</v>
      </c>
      <c r="C177" t="s">
        <v>21</v>
      </c>
      <c r="D177" t="s">
        <v>25</v>
      </c>
      <c r="E177" t="s">
        <v>26</v>
      </c>
      <c r="F177">
        <v>195026</v>
      </c>
      <c r="G177">
        <v>9653</v>
      </c>
      <c r="H177">
        <v>4.9500000000000002E-2</v>
      </c>
      <c r="I177">
        <v>1.83</v>
      </c>
      <c r="J177">
        <v>17664.990000000002</v>
      </c>
      <c r="K177">
        <v>371</v>
      </c>
      <c r="L177">
        <v>47.61</v>
      </c>
      <c r="M177">
        <v>94022.57</v>
      </c>
      <c r="N177">
        <v>5.32</v>
      </c>
    </row>
    <row r="178" spans="1:14" x14ac:dyDescent="0.25">
      <c r="A178" s="1">
        <v>45339</v>
      </c>
      <c r="B178" t="s">
        <v>18</v>
      </c>
      <c r="C178" t="s">
        <v>24</v>
      </c>
      <c r="D178" t="s">
        <v>22</v>
      </c>
      <c r="E178" t="s">
        <v>27</v>
      </c>
      <c r="F178">
        <v>130438</v>
      </c>
      <c r="G178">
        <v>7721</v>
      </c>
      <c r="H178">
        <v>5.9200000000000003E-2</v>
      </c>
      <c r="I178">
        <v>1.6</v>
      </c>
      <c r="J178">
        <v>12353.6</v>
      </c>
      <c r="K178">
        <v>353</v>
      </c>
      <c r="L178">
        <v>35</v>
      </c>
      <c r="M178">
        <v>70310.53</v>
      </c>
      <c r="N178">
        <v>5.69</v>
      </c>
    </row>
    <row r="179" spans="1:14" x14ac:dyDescent="0.25">
      <c r="A179" s="1">
        <v>45640</v>
      </c>
      <c r="B179" t="s">
        <v>18</v>
      </c>
      <c r="C179" t="s">
        <v>24</v>
      </c>
      <c r="D179" t="s">
        <v>25</v>
      </c>
      <c r="E179" t="s">
        <v>31</v>
      </c>
      <c r="F179">
        <v>141917</v>
      </c>
      <c r="G179">
        <v>4796</v>
      </c>
      <c r="H179">
        <v>3.3799999999999997E-2</v>
      </c>
      <c r="I179">
        <v>0.66</v>
      </c>
      <c r="J179">
        <v>3165.36</v>
      </c>
      <c r="K179">
        <v>369</v>
      </c>
      <c r="L179">
        <v>8.58</v>
      </c>
      <c r="M179">
        <v>11953.05</v>
      </c>
      <c r="N179">
        <v>3.78</v>
      </c>
    </row>
    <row r="180" spans="1:14" x14ac:dyDescent="0.25">
      <c r="A180" s="1">
        <v>45618</v>
      </c>
      <c r="B180" t="s">
        <v>18</v>
      </c>
      <c r="C180" t="s">
        <v>24</v>
      </c>
      <c r="D180" t="s">
        <v>25</v>
      </c>
      <c r="E180" t="s">
        <v>23</v>
      </c>
      <c r="F180">
        <v>146958</v>
      </c>
      <c r="G180">
        <v>7494</v>
      </c>
      <c r="H180">
        <v>5.0999999999999997E-2</v>
      </c>
      <c r="I180">
        <v>1.68</v>
      </c>
      <c r="J180">
        <v>12589.92</v>
      </c>
      <c r="K180">
        <v>538</v>
      </c>
      <c r="L180">
        <v>23.4</v>
      </c>
      <c r="M180">
        <v>117826.98</v>
      </c>
      <c r="N180">
        <v>9.36</v>
      </c>
    </row>
    <row r="181" spans="1:14" x14ac:dyDescent="0.25">
      <c r="A181" s="1">
        <v>45551</v>
      </c>
      <c r="B181" t="s">
        <v>14</v>
      </c>
      <c r="C181" t="s">
        <v>21</v>
      </c>
      <c r="D181" t="s">
        <v>30</v>
      </c>
      <c r="E181" t="s">
        <v>20</v>
      </c>
      <c r="F181">
        <v>13605</v>
      </c>
      <c r="G181">
        <v>300</v>
      </c>
      <c r="H181">
        <v>2.2100000000000002E-2</v>
      </c>
      <c r="I181">
        <v>2.08</v>
      </c>
      <c r="J181">
        <v>624</v>
      </c>
      <c r="K181">
        <v>21</v>
      </c>
      <c r="L181">
        <v>29.71</v>
      </c>
      <c r="M181">
        <v>4495.51</v>
      </c>
      <c r="N181">
        <v>7.2</v>
      </c>
    </row>
    <row r="182" spans="1:14" x14ac:dyDescent="0.25">
      <c r="A182" s="1">
        <v>45435</v>
      </c>
      <c r="B182" t="s">
        <v>14</v>
      </c>
      <c r="C182" t="s">
        <v>29</v>
      </c>
      <c r="D182" t="s">
        <v>25</v>
      </c>
      <c r="E182" t="s">
        <v>26</v>
      </c>
      <c r="F182">
        <v>116041</v>
      </c>
      <c r="G182">
        <v>6428</v>
      </c>
      <c r="H182">
        <v>5.5399999999999998E-2</v>
      </c>
      <c r="I182">
        <v>1.75</v>
      </c>
      <c r="J182">
        <v>11249</v>
      </c>
      <c r="K182">
        <v>74</v>
      </c>
      <c r="L182">
        <v>152.01</v>
      </c>
      <c r="M182">
        <v>13873.48</v>
      </c>
      <c r="N182">
        <v>1.23</v>
      </c>
    </row>
    <row r="183" spans="1:14" x14ac:dyDescent="0.25">
      <c r="A183" s="1">
        <v>45560</v>
      </c>
      <c r="B183" t="s">
        <v>18</v>
      </c>
      <c r="C183" t="s">
        <v>15</v>
      </c>
      <c r="D183" t="s">
        <v>30</v>
      </c>
      <c r="E183" t="s">
        <v>31</v>
      </c>
      <c r="F183">
        <v>170396</v>
      </c>
      <c r="G183">
        <v>10138</v>
      </c>
      <c r="H183">
        <v>5.9499999999999997E-2</v>
      </c>
      <c r="I183">
        <v>1.08</v>
      </c>
      <c r="J183">
        <v>10949.04</v>
      </c>
      <c r="K183">
        <v>494</v>
      </c>
      <c r="L183">
        <v>22.16</v>
      </c>
      <c r="M183">
        <v>99795.18</v>
      </c>
      <c r="N183">
        <v>9.11</v>
      </c>
    </row>
    <row r="184" spans="1:14" x14ac:dyDescent="0.25">
      <c r="A184" s="1">
        <v>45344</v>
      </c>
      <c r="B184" t="s">
        <v>28</v>
      </c>
      <c r="C184" t="s">
        <v>29</v>
      </c>
      <c r="D184" t="s">
        <v>19</v>
      </c>
      <c r="E184" t="s">
        <v>31</v>
      </c>
      <c r="F184">
        <v>19743</v>
      </c>
      <c r="G184">
        <v>619</v>
      </c>
      <c r="H184">
        <v>3.1399999999999997E-2</v>
      </c>
      <c r="I184">
        <v>1.25</v>
      </c>
      <c r="J184">
        <v>773.75</v>
      </c>
      <c r="K184">
        <v>41</v>
      </c>
      <c r="L184">
        <v>18.87</v>
      </c>
      <c r="M184">
        <v>9219.4599999999991</v>
      </c>
      <c r="N184">
        <v>11.92</v>
      </c>
    </row>
    <row r="185" spans="1:14" x14ac:dyDescent="0.25">
      <c r="A185" s="1">
        <v>45532</v>
      </c>
      <c r="B185" t="s">
        <v>14</v>
      </c>
      <c r="C185" t="s">
        <v>15</v>
      </c>
      <c r="D185" t="s">
        <v>30</v>
      </c>
      <c r="E185" t="s">
        <v>32</v>
      </c>
      <c r="F185">
        <v>94081</v>
      </c>
      <c r="G185">
        <v>5588</v>
      </c>
      <c r="H185">
        <v>5.9400000000000001E-2</v>
      </c>
      <c r="I185">
        <v>2.69</v>
      </c>
      <c r="J185">
        <v>15031.72</v>
      </c>
      <c r="K185">
        <v>88</v>
      </c>
      <c r="L185">
        <v>170.81</v>
      </c>
      <c r="M185">
        <v>24757.88</v>
      </c>
      <c r="N185">
        <v>1.65</v>
      </c>
    </row>
    <row r="186" spans="1:14" x14ac:dyDescent="0.25">
      <c r="A186" s="1">
        <v>45453</v>
      </c>
      <c r="B186" t="s">
        <v>18</v>
      </c>
      <c r="C186" t="s">
        <v>21</v>
      </c>
      <c r="D186" t="s">
        <v>16</v>
      </c>
      <c r="E186" t="s">
        <v>23</v>
      </c>
      <c r="F186">
        <v>141643</v>
      </c>
      <c r="G186">
        <v>8526</v>
      </c>
      <c r="H186">
        <v>6.0199999999999997E-2</v>
      </c>
      <c r="I186">
        <v>0.46</v>
      </c>
      <c r="J186">
        <v>3921.96</v>
      </c>
      <c r="K186">
        <v>379</v>
      </c>
      <c r="L186">
        <v>10.35</v>
      </c>
      <c r="M186">
        <v>51038.1</v>
      </c>
      <c r="N186">
        <v>13.01</v>
      </c>
    </row>
    <row r="187" spans="1:14" x14ac:dyDescent="0.25">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row>
    <row r="188" spans="1:14" x14ac:dyDescent="0.25">
      <c r="A188" s="1">
        <v>45646</v>
      </c>
      <c r="B188" t="s">
        <v>14</v>
      </c>
      <c r="C188" t="s">
        <v>15</v>
      </c>
      <c r="D188" t="s">
        <v>19</v>
      </c>
      <c r="E188" t="s">
        <v>23</v>
      </c>
      <c r="F188">
        <v>72055</v>
      </c>
      <c r="G188">
        <v>1678</v>
      </c>
      <c r="H188">
        <v>2.3300000000000001E-2</v>
      </c>
      <c r="I188">
        <v>3.17</v>
      </c>
      <c r="J188">
        <v>5319.26</v>
      </c>
      <c r="K188">
        <v>41</v>
      </c>
      <c r="L188">
        <v>129.74</v>
      </c>
      <c r="M188">
        <v>8506.9</v>
      </c>
      <c r="N188">
        <v>1.6</v>
      </c>
    </row>
    <row r="189" spans="1:14" x14ac:dyDescent="0.25">
      <c r="A189" s="1">
        <v>45400</v>
      </c>
      <c r="B189" t="s">
        <v>28</v>
      </c>
      <c r="C189" t="s">
        <v>24</v>
      </c>
      <c r="D189" t="s">
        <v>30</v>
      </c>
      <c r="E189" t="s">
        <v>26</v>
      </c>
      <c r="F189">
        <v>112692</v>
      </c>
      <c r="G189">
        <v>2096</v>
      </c>
      <c r="H189">
        <v>1.8599999999999998E-2</v>
      </c>
      <c r="I189">
        <v>2.27</v>
      </c>
      <c r="J189">
        <v>4757.92</v>
      </c>
      <c r="K189">
        <v>89</v>
      </c>
      <c r="L189">
        <v>53.46</v>
      </c>
      <c r="M189">
        <v>16587.580000000002</v>
      </c>
      <c r="N189">
        <v>3.49</v>
      </c>
    </row>
    <row r="190" spans="1:14" x14ac:dyDescent="0.25">
      <c r="A190" s="1">
        <v>45604</v>
      </c>
      <c r="B190" t="s">
        <v>14</v>
      </c>
      <c r="C190" t="s">
        <v>21</v>
      </c>
      <c r="D190" t="s">
        <v>16</v>
      </c>
      <c r="E190" t="s">
        <v>17</v>
      </c>
      <c r="F190">
        <v>31672</v>
      </c>
      <c r="G190">
        <v>877</v>
      </c>
      <c r="H190">
        <v>2.7699999999999999E-2</v>
      </c>
      <c r="I190">
        <v>0.72</v>
      </c>
      <c r="J190">
        <v>631.44000000000005</v>
      </c>
      <c r="K190">
        <v>16</v>
      </c>
      <c r="L190">
        <v>39.47</v>
      </c>
      <c r="M190">
        <v>2266.94</v>
      </c>
      <c r="N190">
        <v>3.59</v>
      </c>
    </row>
    <row r="191" spans="1:14" x14ac:dyDescent="0.25">
      <c r="A191" s="1">
        <v>45473</v>
      </c>
      <c r="B191" t="s">
        <v>28</v>
      </c>
      <c r="C191" t="s">
        <v>21</v>
      </c>
      <c r="D191" t="s">
        <v>30</v>
      </c>
      <c r="E191" t="s">
        <v>26</v>
      </c>
      <c r="F191">
        <v>59131</v>
      </c>
      <c r="G191">
        <v>1425</v>
      </c>
      <c r="H191">
        <v>2.41E-2</v>
      </c>
      <c r="I191">
        <v>1.04</v>
      </c>
      <c r="J191">
        <v>1482</v>
      </c>
      <c r="K191">
        <v>66</v>
      </c>
      <c r="L191">
        <v>22.45</v>
      </c>
      <c r="M191">
        <v>19372.57</v>
      </c>
      <c r="N191">
        <v>13.07</v>
      </c>
    </row>
    <row r="192" spans="1:14" x14ac:dyDescent="0.25">
      <c r="A192" s="1">
        <v>45466</v>
      </c>
      <c r="B192" t="s">
        <v>14</v>
      </c>
      <c r="C192" t="s">
        <v>15</v>
      </c>
      <c r="D192" t="s">
        <v>25</v>
      </c>
      <c r="E192" t="s">
        <v>27</v>
      </c>
      <c r="F192">
        <v>119397</v>
      </c>
      <c r="G192">
        <v>3868</v>
      </c>
      <c r="H192">
        <v>3.2399999999999998E-2</v>
      </c>
      <c r="I192">
        <v>1.8</v>
      </c>
      <c r="J192">
        <v>6962.4</v>
      </c>
      <c r="K192">
        <v>193</v>
      </c>
      <c r="L192">
        <v>36.07</v>
      </c>
      <c r="M192">
        <v>35393.300000000003</v>
      </c>
      <c r="N192">
        <v>5.08</v>
      </c>
    </row>
    <row r="193" spans="1:14" x14ac:dyDescent="0.25">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row>
    <row r="194" spans="1:14" x14ac:dyDescent="0.25">
      <c r="A194" s="1">
        <v>45295</v>
      </c>
      <c r="B194" t="s">
        <v>28</v>
      </c>
      <c r="C194" t="s">
        <v>24</v>
      </c>
      <c r="D194" t="s">
        <v>19</v>
      </c>
      <c r="E194" t="s">
        <v>20</v>
      </c>
      <c r="F194">
        <v>117217</v>
      </c>
      <c r="G194">
        <v>2133</v>
      </c>
      <c r="H194">
        <v>1.8200000000000001E-2</v>
      </c>
      <c r="I194">
        <v>1.29</v>
      </c>
      <c r="J194">
        <v>2751.57</v>
      </c>
      <c r="K194">
        <v>129</v>
      </c>
      <c r="L194">
        <v>21.33</v>
      </c>
      <c r="M194">
        <v>25455.360000000001</v>
      </c>
      <c r="N194">
        <v>9.25</v>
      </c>
    </row>
    <row r="195" spans="1:14" x14ac:dyDescent="0.25">
      <c r="A195" s="1">
        <v>45592</v>
      </c>
      <c r="B195" t="s">
        <v>18</v>
      </c>
      <c r="C195" t="s">
        <v>15</v>
      </c>
      <c r="D195" t="s">
        <v>25</v>
      </c>
      <c r="E195" t="s">
        <v>27</v>
      </c>
      <c r="F195">
        <v>111956</v>
      </c>
      <c r="G195">
        <v>5911</v>
      </c>
      <c r="H195">
        <v>5.28E-2</v>
      </c>
      <c r="I195">
        <v>1.57</v>
      </c>
      <c r="J195">
        <v>9280.27</v>
      </c>
      <c r="K195">
        <v>253</v>
      </c>
      <c r="L195">
        <v>36.68</v>
      </c>
      <c r="M195">
        <v>68395.539999999994</v>
      </c>
      <c r="N195">
        <v>7.37</v>
      </c>
    </row>
    <row r="196" spans="1:14" x14ac:dyDescent="0.25">
      <c r="A196" s="1">
        <v>45296</v>
      </c>
      <c r="B196" t="s">
        <v>28</v>
      </c>
      <c r="C196" t="s">
        <v>29</v>
      </c>
      <c r="D196" t="s">
        <v>25</v>
      </c>
      <c r="E196" t="s">
        <v>23</v>
      </c>
      <c r="F196">
        <v>10939</v>
      </c>
      <c r="G196">
        <v>113</v>
      </c>
      <c r="H196">
        <v>1.04E-2</v>
      </c>
      <c r="I196">
        <v>1.18</v>
      </c>
      <c r="J196">
        <v>133.34</v>
      </c>
      <c r="K196">
        <v>6</v>
      </c>
      <c r="L196">
        <v>22.22</v>
      </c>
      <c r="M196">
        <v>1684.43</v>
      </c>
      <c r="N196">
        <v>12.63</v>
      </c>
    </row>
    <row r="197" spans="1:14" x14ac:dyDescent="0.25">
      <c r="A197" s="1">
        <v>45514</v>
      </c>
      <c r="B197" t="s">
        <v>18</v>
      </c>
      <c r="C197" t="s">
        <v>29</v>
      </c>
      <c r="D197" t="s">
        <v>25</v>
      </c>
      <c r="E197" t="s">
        <v>31</v>
      </c>
      <c r="F197">
        <v>72293</v>
      </c>
      <c r="G197">
        <v>4532</v>
      </c>
      <c r="H197">
        <v>6.2700000000000006E-2</v>
      </c>
      <c r="I197">
        <v>1.81</v>
      </c>
      <c r="J197">
        <v>8202.92</v>
      </c>
      <c r="K197">
        <v>169</v>
      </c>
      <c r="L197">
        <v>48.54</v>
      </c>
      <c r="M197">
        <v>35145.360000000001</v>
      </c>
      <c r="N197">
        <v>4.28</v>
      </c>
    </row>
    <row r="198" spans="1:14" x14ac:dyDescent="0.25">
      <c r="A198" s="1">
        <v>45339</v>
      </c>
      <c r="B198" t="s">
        <v>14</v>
      </c>
      <c r="C198" t="s">
        <v>24</v>
      </c>
      <c r="D198" t="s">
        <v>16</v>
      </c>
      <c r="E198" t="s">
        <v>26</v>
      </c>
      <c r="F198">
        <v>78402</v>
      </c>
      <c r="G198">
        <v>4531</v>
      </c>
      <c r="H198">
        <v>5.7799999999999997E-2</v>
      </c>
      <c r="I198">
        <v>2.75</v>
      </c>
      <c r="J198">
        <v>12460.25</v>
      </c>
      <c r="K198">
        <v>105</v>
      </c>
      <c r="L198">
        <v>118.67</v>
      </c>
      <c r="M198">
        <v>25620.07</v>
      </c>
      <c r="N198">
        <v>2.06</v>
      </c>
    </row>
    <row r="199" spans="1:14" x14ac:dyDescent="0.25">
      <c r="A199" s="1">
        <v>45590</v>
      </c>
      <c r="B199" t="s">
        <v>18</v>
      </c>
      <c r="C199" t="s">
        <v>29</v>
      </c>
      <c r="D199" t="s">
        <v>30</v>
      </c>
      <c r="E199" t="s">
        <v>27</v>
      </c>
      <c r="F199">
        <v>160892</v>
      </c>
      <c r="G199">
        <v>9122</v>
      </c>
      <c r="H199">
        <v>5.67E-2</v>
      </c>
      <c r="I199">
        <v>0.64</v>
      </c>
      <c r="J199">
        <v>5838.08</v>
      </c>
      <c r="K199">
        <v>590</v>
      </c>
      <c r="L199">
        <v>9.9</v>
      </c>
      <c r="M199">
        <v>170654.73</v>
      </c>
      <c r="N199">
        <v>29.23</v>
      </c>
    </row>
    <row r="200" spans="1:14" x14ac:dyDescent="0.25">
      <c r="A200" s="1">
        <v>45365</v>
      </c>
      <c r="B200" t="s">
        <v>18</v>
      </c>
      <c r="C200" t="s">
        <v>15</v>
      </c>
      <c r="D200" t="s">
        <v>19</v>
      </c>
      <c r="E200" t="s">
        <v>23</v>
      </c>
      <c r="F200">
        <v>154092</v>
      </c>
      <c r="G200">
        <v>8860</v>
      </c>
      <c r="H200">
        <v>5.7500000000000002E-2</v>
      </c>
      <c r="I200">
        <v>1.17</v>
      </c>
      <c r="J200">
        <v>10366.200000000001</v>
      </c>
      <c r="K200">
        <v>246</v>
      </c>
      <c r="L200">
        <v>42.14</v>
      </c>
      <c r="M200">
        <v>23706.53</v>
      </c>
      <c r="N200">
        <v>2.29</v>
      </c>
    </row>
    <row r="201" spans="1:14" x14ac:dyDescent="0.25">
      <c r="A201" s="1">
        <v>45301</v>
      </c>
      <c r="B201" t="s">
        <v>28</v>
      </c>
      <c r="C201" t="s">
        <v>24</v>
      </c>
      <c r="D201" t="s">
        <v>22</v>
      </c>
      <c r="E201" t="s">
        <v>17</v>
      </c>
      <c r="F201">
        <v>73323</v>
      </c>
      <c r="G201">
        <v>1928</v>
      </c>
      <c r="H201">
        <v>2.63E-2</v>
      </c>
      <c r="I201">
        <v>1.71</v>
      </c>
      <c r="J201">
        <v>3296.88</v>
      </c>
      <c r="K201">
        <v>121</v>
      </c>
      <c r="L201">
        <v>27.25</v>
      </c>
      <c r="M201">
        <v>33634.99</v>
      </c>
      <c r="N201">
        <v>10.199999999999999</v>
      </c>
    </row>
    <row r="202" spans="1:14" x14ac:dyDescent="0.25">
      <c r="A202" s="1">
        <v>45308</v>
      </c>
      <c r="B202" t="s">
        <v>18</v>
      </c>
      <c r="C202" t="s">
        <v>21</v>
      </c>
      <c r="D202" t="s">
        <v>25</v>
      </c>
      <c r="E202" t="s">
        <v>31</v>
      </c>
      <c r="F202">
        <v>58521</v>
      </c>
      <c r="G202">
        <v>3318</v>
      </c>
      <c r="H202">
        <v>5.67E-2</v>
      </c>
      <c r="I202">
        <v>1.85</v>
      </c>
      <c r="J202">
        <v>6138.3</v>
      </c>
      <c r="K202">
        <v>39</v>
      </c>
      <c r="L202">
        <v>157.38999999999999</v>
      </c>
      <c r="M202">
        <v>10013.26</v>
      </c>
      <c r="N202">
        <v>1.63</v>
      </c>
    </row>
    <row r="203" spans="1:14" x14ac:dyDescent="0.25">
      <c r="A203" s="1">
        <v>45569</v>
      </c>
      <c r="B203" t="s">
        <v>18</v>
      </c>
      <c r="C203" t="s">
        <v>15</v>
      </c>
      <c r="D203" t="s">
        <v>25</v>
      </c>
      <c r="E203" t="s">
        <v>23</v>
      </c>
      <c r="F203">
        <v>48361</v>
      </c>
      <c r="G203">
        <v>2713</v>
      </c>
      <c r="H203">
        <v>5.6099999999999997E-2</v>
      </c>
      <c r="I203">
        <v>0.87</v>
      </c>
      <c r="J203">
        <v>2360.31</v>
      </c>
      <c r="K203">
        <v>54</v>
      </c>
      <c r="L203">
        <v>43.71</v>
      </c>
      <c r="M203">
        <v>7890.9</v>
      </c>
      <c r="N203">
        <v>3.34</v>
      </c>
    </row>
    <row r="204" spans="1:14" x14ac:dyDescent="0.25">
      <c r="A204" s="1">
        <v>45423</v>
      </c>
      <c r="B204" t="s">
        <v>18</v>
      </c>
      <c r="C204" t="s">
        <v>29</v>
      </c>
      <c r="D204" t="s">
        <v>22</v>
      </c>
      <c r="E204" t="s">
        <v>17</v>
      </c>
      <c r="F204">
        <v>179870</v>
      </c>
      <c r="G204">
        <v>7500</v>
      </c>
      <c r="H204">
        <v>4.1700000000000001E-2</v>
      </c>
      <c r="I204">
        <v>1.44</v>
      </c>
      <c r="J204">
        <v>10800</v>
      </c>
      <c r="K204">
        <v>112</v>
      </c>
      <c r="L204">
        <v>96.43</v>
      </c>
      <c r="M204">
        <v>5446.79</v>
      </c>
      <c r="N204">
        <v>0.5</v>
      </c>
    </row>
    <row r="205" spans="1:14" x14ac:dyDescent="0.25">
      <c r="A205" s="1">
        <v>45571</v>
      </c>
      <c r="B205" t="s">
        <v>18</v>
      </c>
      <c r="C205" t="s">
        <v>15</v>
      </c>
      <c r="D205" t="s">
        <v>30</v>
      </c>
      <c r="E205" t="s">
        <v>27</v>
      </c>
      <c r="F205">
        <v>114850</v>
      </c>
      <c r="G205">
        <v>8234</v>
      </c>
      <c r="H205">
        <v>7.17E-2</v>
      </c>
      <c r="I205">
        <v>1.63</v>
      </c>
      <c r="J205">
        <v>13421.42</v>
      </c>
      <c r="K205">
        <v>245</v>
      </c>
      <c r="L205">
        <v>54.78</v>
      </c>
      <c r="M205">
        <v>35478.839999999997</v>
      </c>
      <c r="N205">
        <v>2.64</v>
      </c>
    </row>
    <row r="206" spans="1:14" x14ac:dyDescent="0.25">
      <c r="A206" s="1">
        <v>45460</v>
      </c>
      <c r="B206" t="s">
        <v>14</v>
      </c>
      <c r="C206" t="s">
        <v>29</v>
      </c>
      <c r="D206" t="s">
        <v>22</v>
      </c>
      <c r="E206" t="s">
        <v>31</v>
      </c>
      <c r="F206">
        <v>54976</v>
      </c>
      <c r="G206">
        <v>2611</v>
      </c>
      <c r="H206">
        <v>4.7500000000000001E-2</v>
      </c>
      <c r="I206">
        <v>1.32</v>
      </c>
      <c r="J206">
        <v>3446.52</v>
      </c>
      <c r="K206">
        <v>187</v>
      </c>
      <c r="L206">
        <v>18.43</v>
      </c>
      <c r="M206">
        <v>8230.48</v>
      </c>
      <c r="N206">
        <v>2.39</v>
      </c>
    </row>
    <row r="207" spans="1:14" x14ac:dyDescent="0.25">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row>
    <row r="208" spans="1:14" x14ac:dyDescent="0.25">
      <c r="A208" s="1">
        <v>45440</v>
      </c>
      <c r="B208" t="s">
        <v>14</v>
      </c>
      <c r="C208" t="s">
        <v>29</v>
      </c>
      <c r="D208" t="s">
        <v>22</v>
      </c>
      <c r="E208" t="s">
        <v>31</v>
      </c>
      <c r="F208">
        <v>23375</v>
      </c>
      <c r="G208">
        <v>1175</v>
      </c>
      <c r="H208">
        <v>5.0299999999999997E-2</v>
      </c>
      <c r="I208">
        <v>1.42</v>
      </c>
      <c r="J208">
        <v>1668.5</v>
      </c>
      <c r="K208">
        <v>15</v>
      </c>
      <c r="L208">
        <v>111.23</v>
      </c>
      <c r="M208">
        <v>1524.57</v>
      </c>
      <c r="N208">
        <v>0.91</v>
      </c>
    </row>
    <row r="209" spans="1:14" x14ac:dyDescent="0.25">
      <c r="A209" s="1">
        <v>45648</v>
      </c>
      <c r="B209" t="s">
        <v>28</v>
      </c>
      <c r="C209" t="s">
        <v>24</v>
      </c>
      <c r="D209" t="s">
        <v>30</v>
      </c>
      <c r="E209" t="s">
        <v>27</v>
      </c>
      <c r="F209">
        <v>167917</v>
      </c>
      <c r="G209">
        <v>6246</v>
      </c>
      <c r="H209">
        <v>3.7199999999999997E-2</v>
      </c>
      <c r="I209">
        <v>0.6</v>
      </c>
      <c r="J209">
        <v>3747.6</v>
      </c>
      <c r="K209">
        <v>413</v>
      </c>
      <c r="L209">
        <v>9.07</v>
      </c>
      <c r="M209">
        <v>25997.62</v>
      </c>
      <c r="N209">
        <v>6.94</v>
      </c>
    </row>
    <row r="210" spans="1:14" x14ac:dyDescent="0.25">
      <c r="A210" s="1">
        <v>45542</v>
      </c>
      <c r="B210" t="s">
        <v>14</v>
      </c>
      <c r="C210" t="s">
        <v>15</v>
      </c>
      <c r="D210" t="s">
        <v>30</v>
      </c>
      <c r="E210" t="s">
        <v>23</v>
      </c>
      <c r="F210">
        <v>71216</v>
      </c>
      <c r="G210">
        <v>2357</v>
      </c>
      <c r="H210">
        <v>3.3099999999999997E-2</v>
      </c>
      <c r="I210">
        <v>3.17</v>
      </c>
      <c r="J210">
        <v>7471.69</v>
      </c>
      <c r="K210">
        <v>179</v>
      </c>
      <c r="L210">
        <v>41.74</v>
      </c>
      <c r="M210">
        <v>29354.19</v>
      </c>
      <c r="N210">
        <v>3.93</v>
      </c>
    </row>
    <row r="211" spans="1:14" x14ac:dyDescent="0.25">
      <c r="A211" s="1">
        <v>45630</v>
      </c>
      <c r="B211" t="s">
        <v>14</v>
      </c>
      <c r="C211" t="s">
        <v>21</v>
      </c>
      <c r="D211" t="s">
        <v>19</v>
      </c>
      <c r="E211" t="s">
        <v>26</v>
      </c>
      <c r="F211">
        <v>29618</v>
      </c>
      <c r="G211">
        <v>1883</v>
      </c>
      <c r="H211">
        <v>6.3600000000000004E-2</v>
      </c>
      <c r="I211">
        <v>2.17</v>
      </c>
      <c r="J211">
        <v>4086.11</v>
      </c>
      <c r="K211">
        <v>90</v>
      </c>
      <c r="L211">
        <v>45.4</v>
      </c>
      <c r="M211">
        <v>26198.959999999999</v>
      </c>
      <c r="N211">
        <v>6.41</v>
      </c>
    </row>
    <row r="212" spans="1:14" x14ac:dyDescent="0.25">
      <c r="A212" s="1">
        <v>45627</v>
      </c>
      <c r="B212" t="s">
        <v>14</v>
      </c>
      <c r="C212" t="s">
        <v>15</v>
      </c>
      <c r="D212" t="s">
        <v>22</v>
      </c>
      <c r="E212" t="s">
        <v>27</v>
      </c>
      <c r="F212">
        <v>136461</v>
      </c>
      <c r="G212">
        <v>3984</v>
      </c>
      <c r="H212">
        <v>2.92E-2</v>
      </c>
      <c r="I212">
        <v>1.49</v>
      </c>
      <c r="J212">
        <v>5936.16</v>
      </c>
      <c r="K212">
        <v>214</v>
      </c>
      <c r="L212">
        <v>27.74</v>
      </c>
      <c r="M212">
        <v>24710.240000000002</v>
      </c>
      <c r="N212">
        <v>4.16</v>
      </c>
    </row>
    <row r="213" spans="1:14" x14ac:dyDescent="0.25">
      <c r="A213" s="1">
        <v>45497</v>
      </c>
      <c r="B213" t="s">
        <v>18</v>
      </c>
      <c r="C213" t="s">
        <v>15</v>
      </c>
      <c r="D213" t="s">
        <v>22</v>
      </c>
      <c r="E213" t="s">
        <v>32</v>
      </c>
      <c r="F213">
        <v>132426</v>
      </c>
      <c r="G213">
        <v>7309</v>
      </c>
      <c r="H213">
        <v>5.5199999999999999E-2</v>
      </c>
      <c r="I213">
        <v>0.32</v>
      </c>
      <c r="J213">
        <v>2338.88</v>
      </c>
      <c r="K213">
        <v>171</v>
      </c>
      <c r="L213">
        <v>13.68</v>
      </c>
      <c r="M213">
        <v>24136.13</v>
      </c>
      <c r="N213">
        <v>10.32</v>
      </c>
    </row>
    <row r="214" spans="1:14" x14ac:dyDescent="0.25">
      <c r="A214" s="1">
        <v>45625</v>
      </c>
      <c r="B214" t="s">
        <v>18</v>
      </c>
      <c r="C214" t="s">
        <v>15</v>
      </c>
      <c r="D214" t="s">
        <v>30</v>
      </c>
      <c r="E214" t="s">
        <v>26</v>
      </c>
      <c r="F214">
        <v>159692</v>
      </c>
      <c r="G214">
        <v>6882</v>
      </c>
      <c r="H214">
        <v>4.3099999999999999E-2</v>
      </c>
      <c r="I214">
        <v>0.37</v>
      </c>
      <c r="J214">
        <v>2546.34</v>
      </c>
      <c r="K214">
        <v>523</v>
      </c>
      <c r="L214">
        <v>4.87</v>
      </c>
      <c r="M214">
        <v>106309.31</v>
      </c>
      <c r="N214">
        <v>41.75</v>
      </c>
    </row>
    <row r="215" spans="1:14" x14ac:dyDescent="0.25">
      <c r="A215" s="1">
        <v>45539</v>
      </c>
      <c r="B215" t="s">
        <v>28</v>
      </c>
      <c r="C215" t="s">
        <v>21</v>
      </c>
      <c r="D215" t="s">
        <v>16</v>
      </c>
      <c r="E215" t="s">
        <v>31</v>
      </c>
      <c r="F215">
        <v>27931</v>
      </c>
      <c r="G215">
        <v>608</v>
      </c>
      <c r="H215">
        <v>2.18E-2</v>
      </c>
      <c r="I215">
        <v>1.52</v>
      </c>
      <c r="J215">
        <v>924.16</v>
      </c>
      <c r="K215">
        <v>10</v>
      </c>
      <c r="L215">
        <v>92.42</v>
      </c>
      <c r="M215">
        <v>1389.72</v>
      </c>
      <c r="N215">
        <v>1.5</v>
      </c>
    </row>
    <row r="216" spans="1:14" x14ac:dyDescent="0.25">
      <c r="A216" s="1">
        <v>45510</v>
      </c>
      <c r="B216" t="s">
        <v>28</v>
      </c>
      <c r="C216" t="s">
        <v>29</v>
      </c>
      <c r="D216" t="s">
        <v>19</v>
      </c>
      <c r="E216" t="s">
        <v>23</v>
      </c>
      <c r="F216">
        <v>131155</v>
      </c>
      <c r="G216">
        <v>4052</v>
      </c>
      <c r="H216">
        <v>3.09E-2</v>
      </c>
      <c r="I216">
        <v>1.24</v>
      </c>
      <c r="J216">
        <v>5024.4799999999996</v>
      </c>
      <c r="K216">
        <v>209</v>
      </c>
      <c r="L216">
        <v>24.04</v>
      </c>
      <c r="M216">
        <v>15982.2</v>
      </c>
      <c r="N216">
        <v>3.18</v>
      </c>
    </row>
    <row r="217" spans="1:14" x14ac:dyDescent="0.25">
      <c r="A217" s="1">
        <v>45439</v>
      </c>
      <c r="B217" t="s">
        <v>18</v>
      </c>
      <c r="C217" t="s">
        <v>24</v>
      </c>
      <c r="D217" t="s">
        <v>16</v>
      </c>
      <c r="E217" t="s">
        <v>23</v>
      </c>
      <c r="F217">
        <v>66842</v>
      </c>
      <c r="G217">
        <v>2339</v>
      </c>
      <c r="H217">
        <v>3.5000000000000003E-2</v>
      </c>
      <c r="I217">
        <v>1.4</v>
      </c>
      <c r="J217">
        <v>3274.6</v>
      </c>
      <c r="K217">
        <v>123</v>
      </c>
      <c r="L217">
        <v>26.62</v>
      </c>
      <c r="M217">
        <v>14081.65</v>
      </c>
      <c r="N217">
        <v>4.3</v>
      </c>
    </row>
    <row r="218" spans="1:14" x14ac:dyDescent="0.25">
      <c r="A218" s="1">
        <v>45356</v>
      </c>
      <c r="B218" t="s">
        <v>14</v>
      </c>
      <c r="C218" t="s">
        <v>24</v>
      </c>
      <c r="D218" t="s">
        <v>25</v>
      </c>
      <c r="E218" t="s">
        <v>17</v>
      </c>
      <c r="F218">
        <v>7642</v>
      </c>
      <c r="G218">
        <v>202</v>
      </c>
      <c r="H218">
        <v>2.6499999999999999E-2</v>
      </c>
      <c r="I218">
        <v>3.38</v>
      </c>
      <c r="J218">
        <v>682.76</v>
      </c>
      <c r="K218">
        <v>11</v>
      </c>
      <c r="L218">
        <v>62.07</v>
      </c>
      <c r="M218">
        <v>1542.21</v>
      </c>
      <c r="N218">
        <v>2.2599999999999998</v>
      </c>
    </row>
    <row r="219" spans="1:14" x14ac:dyDescent="0.25">
      <c r="A219" s="1">
        <v>45455</v>
      </c>
      <c r="B219" t="s">
        <v>14</v>
      </c>
      <c r="C219" t="s">
        <v>24</v>
      </c>
      <c r="D219" t="s">
        <v>30</v>
      </c>
      <c r="E219" t="s">
        <v>23</v>
      </c>
      <c r="F219">
        <v>70618</v>
      </c>
      <c r="G219">
        <v>3601</v>
      </c>
      <c r="H219">
        <v>5.0999999999999997E-2</v>
      </c>
      <c r="I219">
        <v>2.23</v>
      </c>
      <c r="J219">
        <v>8030.23</v>
      </c>
      <c r="K219">
        <v>145</v>
      </c>
      <c r="L219">
        <v>55.38</v>
      </c>
      <c r="M219">
        <v>7976.29</v>
      </c>
      <c r="N219">
        <v>0.99</v>
      </c>
    </row>
    <row r="220" spans="1:14" x14ac:dyDescent="0.25">
      <c r="A220" s="1">
        <v>45562</v>
      </c>
      <c r="B220" t="s">
        <v>28</v>
      </c>
      <c r="C220" t="s">
        <v>21</v>
      </c>
      <c r="D220" t="s">
        <v>30</v>
      </c>
      <c r="E220" t="s">
        <v>26</v>
      </c>
      <c r="F220">
        <v>74212</v>
      </c>
      <c r="G220">
        <v>1528</v>
      </c>
      <c r="H220">
        <v>2.06E-2</v>
      </c>
      <c r="I220">
        <v>1.46</v>
      </c>
      <c r="J220">
        <v>2230.88</v>
      </c>
      <c r="K220">
        <v>85</v>
      </c>
      <c r="L220">
        <v>26.25</v>
      </c>
      <c r="M220">
        <v>21331.58</v>
      </c>
      <c r="N220">
        <v>9.56</v>
      </c>
    </row>
    <row r="221" spans="1:14" x14ac:dyDescent="0.25">
      <c r="A221" s="1">
        <v>45360</v>
      </c>
      <c r="B221" t="s">
        <v>14</v>
      </c>
      <c r="C221" t="s">
        <v>24</v>
      </c>
      <c r="D221" t="s">
        <v>30</v>
      </c>
      <c r="E221" t="s">
        <v>23</v>
      </c>
      <c r="F221">
        <v>10039</v>
      </c>
      <c r="G221">
        <v>501</v>
      </c>
      <c r="H221">
        <v>0.05</v>
      </c>
      <c r="I221">
        <v>2.29</v>
      </c>
      <c r="J221">
        <v>1147.29</v>
      </c>
      <c r="K221">
        <v>36</v>
      </c>
      <c r="L221">
        <v>31.87</v>
      </c>
      <c r="M221">
        <v>4805.5200000000004</v>
      </c>
      <c r="N221">
        <v>4.1900000000000004</v>
      </c>
    </row>
    <row r="222" spans="1:14" x14ac:dyDescent="0.25">
      <c r="A222" s="1">
        <v>45649</v>
      </c>
      <c r="B222" t="s">
        <v>28</v>
      </c>
      <c r="C222" t="s">
        <v>21</v>
      </c>
      <c r="D222" t="s">
        <v>22</v>
      </c>
      <c r="E222" t="s">
        <v>31</v>
      </c>
      <c r="F222">
        <v>102088</v>
      </c>
      <c r="G222">
        <v>4481</v>
      </c>
      <c r="H222">
        <v>4.3900000000000002E-2</v>
      </c>
      <c r="I222">
        <v>0.73</v>
      </c>
      <c r="J222">
        <v>3271.13</v>
      </c>
      <c r="K222">
        <v>316</v>
      </c>
      <c r="L222">
        <v>10.35</v>
      </c>
      <c r="M222">
        <v>87569.74</v>
      </c>
      <c r="N222">
        <v>26.77</v>
      </c>
    </row>
    <row r="223" spans="1:14" x14ac:dyDescent="0.25">
      <c r="A223" s="1">
        <v>45549</v>
      </c>
      <c r="B223" t="s">
        <v>18</v>
      </c>
      <c r="C223" t="s">
        <v>29</v>
      </c>
      <c r="D223" t="s">
        <v>16</v>
      </c>
      <c r="E223" t="s">
        <v>17</v>
      </c>
      <c r="F223">
        <v>25025</v>
      </c>
      <c r="G223">
        <v>1256</v>
      </c>
      <c r="H223">
        <v>5.0200000000000002E-2</v>
      </c>
      <c r="I223">
        <v>0.43</v>
      </c>
      <c r="J223">
        <v>540.08000000000004</v>
      </c>
      <c r="K223">
        <v>38</v>
      </c>
      <c r="L223">
        <v>14.21</v>
      </c>
      <c r="M223">
        <v>5694.61</v>
      </c>
      <c r="N223">
        <v>10.54</v>
      </c>
    </row>
    <row r="224" spans="1:14" x14ac:dyDescent="0.25">
      <c r="A224" s="1">
        <v>45601</v>
      </c>
      <c r="B224" t="s">
        <v>14</v>
      </c>
      <c r="C224" t="s">
        <v>24</v>
      </c>
      <c r="D224" t="s">
        <v>22</v>
      </c>
      <c r="E224" t="s">
        <v>27</v>
      </c>
      <c r="F224">
        <v>36707</v>
      </c>
      <c r="G224">
        <v>943</v>
      </c>
      <c r="H224">
        <v>2.5700000000000001E-2</v>
      </c>
      <c r="I224">
        <v>1.31</v>
      </c>
      <c r="J224">
        <v>1235.33</v>
      </c>
      <c r="K224">
        <v>21</v>
      </c>
      <c r="L224">
        <v>58.83</v>
      </c>
      <c r="M224">
        <v>4396.12</v>
      </c>
      <c r="N224">
        <v>3.56</v>
      </c>
    </row>
    <row r="225" spans="1:14" x14ac:dyDescent="0.25">
      <c r="A225" s="1">
        <v>45582</v>
      </c>
      <c r="B225" t="s">
        <v>18</v>
      </c>
      <c r="C225" t="s">
        <v>15</v>
      </c>
      <c r="D225" t="s">
        <v>19</v>
      </c>
      <c r="E225" t="s">
        <v>27</v>
      </c>
      <c r="F225">
        <v>17356</v>
      </c>
      <c r="G225">
        <v>925</v>
      </c>
      <c r="H225">
        <v>5.33E-2</v>
      </c>
      <c r="I225">
        <v>0.46</v>
      </c>
      <c r="J225">
        <v>425.5</v>
      </c>
      <c r="K225">
        <v>62</v>
      </c>
      <c r="L225">
        <v>6.86</v>
      </c>
      <c r="M225">
        <v>5476.85</v>
      </c>
      <c r="N225">
        <v>12.87</v>
      </c>
    </row>
    <row r="226" spans="1:14" x14ac:dyDescent="0.25">
      <c r="A226" s="1">
        <v>45468</v>
      </c>
      <c r="B226" t="s">
        <v>18</v>
      </c>
      <c r="C226" t="s">
        <v>15</v>
      </c>
      <c r="D226" t="s">
        <v>19</v>
      </c>
      <c r="E226" t="s">
        <v>31</v>
      </c>
      <c r="F226">
        <v>86257</v>
      </c>
      <c r="G226">
        <v>4597</v>
      </c>
      <c r="H226">
        <v>5.33E-2</v>
      </c>
      <c r="I226">
        <v>0.83</v>
      </c>
      <c r="J226">
        <v>3815.51</v>
      </c>
      <c r="K226">
        <v>301</v>
      </c>
      <c r="L226">
        <v>12.68</v>
      </c>
      <c r="M226">
        <v>80903.28</v>
      </c>
      <c r="N226">
        <v>21.2</v>
      </c>
    </row>
    <row r="227" spans="1:14" x14ac:dyDescent="0.25">
      <c r="A227" s="1">
        <v>45604</v>
      </c>
      <c r="B227" t="s">
        <v>14</v>
      </c>
      <c r="C227" t="s">
        <v>24</v>
      </c>
      <c r="D227" t="s">
        <v>16</v>
      </c>
      <c r="E227" t="s">
        <v>31</v>
      </c>
      <c r="F227">
        <v>32518</v>
      </c>
      <c r="G227">
        <v>1258</v>
      </c>
      <c r="H227">
        <v>3.8699999999999998E-2</v>
      </c>
      <c r="I227">
        <v>2.41</v>
      </c>
      <c r="J227">
        <v>3031.78</v>
      </c>
      <c r="K227">
        <v>12</v>
      </c>
      <c r="L227">
        <v>252.65</v>
      </c>
      <c r="M227">
        <v>2688.72</v>
      </c>
      <c r="N227">
        <v>0.89</v>
      </c>
    </row>
    <row r="228" spans="1:14" x14ac:dyDescent="0.25">
      <c r="A228" s="1">
        <v>45500</v>
      </c>
      <c r="B228" t="s">
        <v>28</v>
      </c>
      <c r="C228" t="s">
        <v>29</v>
      </c>
      <c r="D228" t="s">
        <v>30</v>
      </c>
      <c r="E228" t="s">
        <v>31</v>
      </c>
      <c r="F228">
        <v>75269</v>
      </c>
      <c r="G228">
        <v>2604</v>
      </c>
      <c r="H228">
        <v>3.4599999999999999E-2</v>
      </c>
      <c r="I228">
        <v>0.83</v>
      </c>
      <c r="J228">
        <v>2161.3200000000002</v>
      </c>
      <c r="K228">
        <v>70</v>
      </c>
      <c r="L228">
        <v>30.88</v>
      </c>
      <c r="M228">
        <v>3191.14</v>
      </c>
      <c r="N228">
        <v>1.48</v>
      </c>
    </row>
    <row r="229" spans="1:14" x14ac:dyDescent="0.25">
      <c r="A229" s="1">
        <v>45428</v>
      </c>
      <c r="B229" t="s">
        <v>14</v>
      </c>
      <c r="C229" t="s">
        <v>21</v>
      </c>
      <c r="D229" t="s">
        <v>19</v>
      </c>
      <c r="E229" t="s">
        <v>27</v>
      </c>
      <c r="F229">
        <v>20534</v>
      </c>
      <c r="G229">
        <v>993</v>
      </c>
      <c r="H229">
        <v>4.8399999999999999E-2</v>
      </c>
      <c r="I229">
        <v>2.87</v>
      </c>
      <c r="J229">
        <v>2849.91</v>
      </c>
      <c r="K229">
        <v>49</v>
      </c>
      <c r="L229">
        <v>58.16</v>
      </c>
      <c r="M229">
        <v>1762.93</v>
      </c>
      <c r="N229">
        <v>0.62</v>
      </c>
    </row>
    <row r="230" spans="1:14" x14ac:dyDescent="0.25">
      <c r="A230" s="1">
        <v>45611</v>
      </c>
      <c r="B230" t="s">
        <v>18</v>
      </c>
      <c r="C230" t="s">
        <v>24</v>
      </c>
      <c r="D230" t="s">
        <v>30</v>
      </c>
      <c r="E230" t="s">
        <v>17</v>
      </c>
      <c r="F230">
        <v>98500</v>
      </c>
      <c r="G230">
        <v>5614</v>
      </c>
      <c r="H230">
        <v>5.7000000000000002E-2</v>
      </c>
      <c r="I230">
        <v>0.61</v>
      </c>
      <c r="J230">
        <v>3424.54</v>
      </c>
      <c r="K230">
        <v>220</v>
      </c>
      <c r="L230">
        <v>15.57</v>
      </c>
      <c r="M230">
        <v>7676.57</v>
      </c>
      <c r="N230">
        <v>2.2400000000000002</v>
      </c>
    </row>
    <row r="231" spans="1:14" x14ac:dyDescent="0.25">
      <c r="A231" s="1">
        <v>45498</v>
      </c>
      <c r="B231" t="s">
        <v>18</v>
      </c>
      <c r="C231" t="s">
        <v>15</v>
      </c>
      <c r="D231" t="s">
        <v>16</v>
      </c>
      <c r="E231" t="s">
        <v>17</v>
      </c>
      <c r="F231">
        <v>41468</v>
      </c>
      <c r="G231">
        <v>3354</v>
      </c>
      <c r="H231">
        <v>8.09E-2</v>
      </c>
      <c r="I231">
        <v>1.1100000000000001</v>
      </c>
      <c r="J231">
        <v>3722.94</v>
      </c>
      <c r="K231">
        <v>81</v>
      </c>
      <c r="L231">
        <v>45.96</v>
      </c>
      <c r="M231">
        <v>5215.9399999999996</v>
      </c>
      <c r="N231">
        <v>1.4</v>
      </c>
    </row>
    <row r="232" spans="1:14" x14ac:dyDescent="0.25">
      <c r="A232" s="1">
        <v>45438</v>
      </c>
      <c r="B232" t="s">
        <v>14</v>
      </c>
      <c r="C232" t="s">
        <v>21</v>
      </c>
      <c r="D232" t="s">
        <v>22</v>
      </c>
      <c r="E232" t="s">
        <v>27</v>
      </c>
      <c r="F232">
        <v>123696</v>
      </c>
      <c r="G232">
        <v>6531</v>
      </c>
      <c r="H232">
        <v>5.28E-2</v>
      </c>
      <c r="I232">
        <v>2.58</v>
      </c>
      <c r="J232">
        <v>16849.98</v>
      </c>
      <c r="K232">
        <v>466</v>
      </c>
      <c r="L232">
        <v>36.159999999999997</v>
      </c>
      <c r="M232">
        <v>62974.93</v>
      </c>
      <c r="N232">
        <v>3.74</v>
      </c>
    </row>
    <row r="233" spans="1:14" x14ac:dyDescent="0.25">
      <c r="A233" s="1">
        <v>45604</v>
      </c>
      <c r="B233" t="s">
        <v>28</v>
      </c>
      <c r="C233" t="s">
        <v>24</v>
      </c>
      <c r="D233" t="s">
        <v>19</v>
      </c>
      <c r="E233" t="s">
        <v>26</v>
      </c>
      <c r="F233">
        <v>81848</v>
      </c>
      <c r="G233">
        <v>1694</v>
      </c>
      <c r="H233">
        <v>2.07E-2</v>
      </c>
      <c r="I233">
        <v>1.29</v>
      </c>
      <c r="J233">
        <v>2185.2600000000002</v>
      </c>
      <c r="K233">
        <v>58</v>
      </c>
      <c r="L233">
        <v>37.68</v>
      </c>
      <c r="M233">
        <v>7573.87</v>
      </c>
      <c r="N233">
        <v>3.47</v>
      </c>
    </row>
    <row r="234" spans="1:14" x14ac:dyDescent="0.25">
      <c r="A234" s="1">
        <v>45351</v>
      </c>
      <c r="B234" t="s">
        <v>14</v>
      </c>
      <c r="C234" t="s">
        <v>29</v>
      </c>
      <c r="D234" t="s">
        <v>19</v>
      </c>
      <c r="E234" t="s">
        <v>27</v>
      </c>
      <c r="F234">
        <v>92923</v>
      </c>
      <c r="G234">
        <v>1932</v>
      </c>
      <c r="H234">
        <v>2.0799999999999999E-2</v>
      </c>
      <c r="I234">
        <v>3.17</v>
      </c>
      <c r="J234">
        <v>6124.44</v>
      </c>
      <c r="K234">
        <v>32</v>
      </c>
      <c r="L234">
        <v>191.39</v>
      </c>
      <c r="M234">
        <v>1855.78</v>
      </c>
      <c r="N234">
        <v>0.3</v>
      </c>
    </row>
    <row r="235" spans="1:14" x14ac:dyDescent="0.25">
      <c r="A235" s="1">
        <v>45605</v>
      </c>
      <c r="B235" t="s">
        <v>14</v>
      </c>
      <c r="C235" t="s">
        <v>24</v>
      </c>
      <c r="D235" t="s">
        <v>30</v>
      </c>
      <c r="E235" t="s">
        <v>20</v>
      </c>
      <c r="F235">
        <v>170732</v>
      </c>
      <c r="G235">
        <v>7700</v>
      </c>
      <c r="H235">
        <v>4.5100000000000001E-2</v>
      </c>
      <c r="I235">
        <v>0.81</v>
      </c>
      <c r="J235">
        <v>6237</v>
      </c>
      <c r="K235">
        <v>434</v>
      </c>
      <c r="L235">
        <v>14.37</v>
      </c>
      <c r="M235">
        <v>53677.08</v>
      </c>
      <c r="N235">
        <v>8.61</v>
      </c>
    </row>
    <row r="236" spans="1:14" x14ac:dyDescent="0.25">
      <c r="A236" s="1">
        <v>45568</v>
      </c>
      <c r="B236" t="s">
        <v>14</v>
      </c>
      <c r="C236" t="s">
        <v>29</v>
      </c>
      <c r="D236" t="s">
        <v>30</v>
      </c>
      <c r="E236" t="s">
        <v>32</v>
      </c>
      <c r="F236">
        <v>86471</v>
      </c>
      <c r="G236">
        <v>4859</v>
      </c>
      <c r="H236">
        <v>5.62E-2</v>
      </c>
      <c r="I236">
        <v>1.57</v>
      </c>
      <c r="J236">
        <v>7628.63</v>
      </c>
      <c r="K236">
        <v>248</v>
      </c>
      <c r="L236">
        <v>30.76</v>
      </c>
      <c r="M236">
        <v>19852.560000000001</v>
      </c>
      <c r="N236">
        <v>2.6</v>
      </c>
    </row>
    <row r="237" spans="1:14" x14ac:dyDescent="0.25">
      <c r="A237" s="1">
        <v>45591</v>
      </c>
      <c r="B237" t="s">
        <v>28</v>
      </c>
      <c r="C237" t="s">
        <v>29</v>
      </c>
      <c r="D237" t="s">
        <v>19</v>
      </c>
      <c r="E237" t="s">
        <v>20</v>
      </c>
      <c r="F237">
        <v>115986</v>
      </c>
      <c r="G237">
        <v>1357</v>
      </c>
      <c r="H237">
        <v>1.17E-2</v>
      </c>
      <c r="I237">
        <v>1.48</v>
      </c>
      <c r="J237">
        <v>2008.36</v>
      </c>
      <c r="K237">
        <v>79</v>
      </c>
      <c r="L237">
        <v>25.42</v>
      </c>
      <c r="M237">
        <v>8002.44</v>
      </c>
      <c r="N237">
        <v>3.98</v>
      </c>
    </row>
    <row r="238" spans="1:14" x14ac:dyDescent="0.25">
      <c r="A238" s="1">
        <v>45464</v>
      </c>
      <c r="B238" t="s">
        <v>18</v>
      </c>
      <c r="C238" t="s">
        <v>29</v>
      </c>
      <c r="D238" t="s">
        <v>22</v>
      </c>
      <c r="E238" t="s">
        <v>23</v>
      </c>
      <c r="F238">
        <v>42019</v>
      </c>
      <c r="G238">
        <v>2979</v>
      </c>
      <c r="H238">
        <v>7.0900000000000005E-2</v>
      </c>
      <c r="I238">
        <v>1.51</v>
      </c>
      <c r="J238">
        <v>4498.29</v>
      </c>
      <c r="K238">
        <v>234</v>
      </c>
      <c r="L238">
        <v>19.22</v>
      </c>
      <c r="M238">
        <v>56724.23</v>
      </c>
      <c r="N238">
        <v>12.61</v>
      </c>
    </row>
    <row r="239" spans="1:14" x14ac:dyDescent="0.25">
      <c r="A239" s="1">
        <v>45319</v>
      </c>
      <c r="B239" t="s">
        <v>18</v>
      </c>
      <c r="C239" t="s">
        <v>24</v>
      </c>
      <c r="D239" t="s">
        <v>19</v>
      </c>
      <c r="E239" t="s">
        <v>23</v>
      </c>
      <c r="F239">
        <v>34063</v>
      </c>
      <c r="G239">
        <v>1243</v>
      </c>
      <c r="H239">
        <v>3.6499999999999998E-2</v>
      </c>
      <c r="I239">
        <v>0.38</v>
      </c>
      <c r="J239">
        <v>472.34</v>
      </c>
      <c r="K239">
        <v>40</v>
      </c>
      <c r="L239">
        <v>11.81</v>
      </c>
      <c r="M239">
        <v>10897.53</v>
      </c>
      <c r="N239">
        <v>23.07</v>
      </c>
    </row>
    <row r="240" spans="1:14" x14ac:dyDescent="0.25">
      <c r="A240" s="1">
        <v>45395</v>
      </c>
      <c r="B240" t="s">
        <v>18</v>
      </c>
      <c r="C240" t="s">
        <v>24</v>
      </c>
      <c r="D240" t="s">
        <v>22</v>
      </c>
      <c r="E240" t="s">
        <v>32</v>
      </c>
      <c r="F240">
        <v>107476</v>
      </c>
      <c r="G240">
        <v>4707</v>
      </c>
      <c r="H240">
        <v>4.3799999999999999E-2</v>
      </c>
      <c r="I240">
        <v>1.7</v>
      </c>
      <c r="J240">
        <v>8001.9</v>
      </c>
      <c r="K240">
        <v>293</v>
      </c>
      <c r="L240">
        <v>27.31</v>
      </c>
      <c r="M240">
        <v>72605.27</v>
      </c>
      <c r="N240">
        <v>9.07</v>
      </c>
    </row>
    <row r="241" spans="1:14" x14ac:dyDescent="0.25">
      <c r="A241" s="1">
        <v>45642</v>
      </c>
      <c r="B241" t="s">
        <v>18</v>
      </c>
      <c r="C241" t="s">
        <v>15</v>
      </c>
      <c r="D241" t="s">
        <v>16</v>
      </c>
      <c r="E241" t="s">
        <v>27</v>
      </c>
      <c r="F241">
        <v>33302</v>
      </c>
      <c r="G241">
        <v>3007</v>
      </c>
      <c r="H241">
        <v>9.0300000000000005E-2</v>
      </c>
      <c r="I241">
        <v>0.28000000000000003</v>
      </c>
      <c r="J241">
        <v>841.96</v>
      </c>
      <c r="K241">
        <v>95</v>
      </c>
      <c r="L241">
        <v>8.86</v>
      </c>
      <c r="M241">
        <v>3253.81</v>
      </c>
      <c r="N241">
        <v>3.86</v>
      </c>
    </row>
    <row r="242" spans="1:14" x14ac:dyDescent="0.25">
      <c r="A242" s="1">
        <v>45647</v>
      </c>
      <c r="B242" t="s">
        <v>14</v>
      </c>
      <c r="C242" t="s">
        <v>24</v>
      </c>
      <c r="D242" t="s">
        <v>25</v>
      </c>
      <c r="E242" t="s">
        <v>23</v>
      </c>
      <c r="F242">
        <v>70206</v>
      </c>
      <c r="G242">
        <v>3945</v>
      </c>
      <c r="H242">
        <v>5.62E-2</v>
      </c>
      <c r="I242">
        <v>3.6</v>
      </c>
      <c r="J242">
        <v>14202</v>
      </c>
      <c r="K242">
        <v>248</v>
      </c>
      <c r="L242">
        <v>57.27</v>
      </c>
      <c r="M242">
        <v>37055.99</v>
      </c>
      <c r="N242">
        <v>2.61</v>
      </c>
    </row>
    <row r="243" spans="1:14" x14ac:dyDescent="0.25">
      <c r="A243" s="1">
        <v>45339</v>
      </c>
      <c r="B243" t="s">
        <v>28</v>
      </c>
      <c r="C243" t="s">
        <v>21</v>
      </c>
      <c r="D243" t="s">
        <v>30</v>
      </c>
      <c r="E243" t="s">
        <v>26</v>
      </c>
      <c r="F243">
        <v>16094</v>
      </c>
      <c r="G243">
        <v>616</v>
      </c>
      <c r="H243">
        <v>3.8300000000000001E-2</v>
      </c>
      <c r="I243">
        <v>2.29</v>
      </c>
      <c r="J243">
        <v>1410.64</v>
      </c>
      <c r="K243">
        <v>40</v>
      </c>
      <c r="L243">
        <v>35.270000000000003</v>
      </c>
      <c r="M243">
        <v>8923.08</v>
      </c>
      <c r="N243">
        <v>6.33</v>
      </c>
    </row>
    <row r="244" spans="1:14" x14ac:dyDescent="0.25">
      <c r="A244" s="1">
        <v>45446</v>
      </c>
      <c r="B244" t="s">
        <v>28</v>
      </c>
      <c r="C244" t="s">
        <v>21</v>
      </c>
      <c r="D244" t="s">
        <v>16</v>
      </c>
      <c r="E244" t="s">
        <v>17</v>
      </c>
      <c r="F244">
        <v>182718</v>
      </c>
      <c r="G244">
        <v>2558</v>
      </c>
      <c r="H244">
        <v>1.4E-2</v>
      </c>
      <c r="I244">
        <v>1.36</v>
      </c>
      <c r="J244">
        <v>3478.88</v>
      </c>
      <c r="K244">
        <v>124</v>
      </c>
      <c r="L244">
        <v>28.06</v>
      </c>
      <c r="M244">
        <v>28756.15</v>
      </c>
      <c r="N244">
        <v>8.27</v>
      </c>
    </row>
    <row r="245" spans="1:14" x14ac:dyDescent="0.25">
      <c r="A245" s="1">
        <v>45505</v>
      </c>
      <c r="B245" t="s">
        <v>18</v>
      </c>
      <c r="C245" t="s">
        <v>15</v>
      </c>
      <c r="D245" t="s">
        <v>19</v>
      </c>
      <c r="E245" t="s">
        <v>31</v>
      </c>
      <c r="F245">
        <v>66169</v>
      </c>
      <c r="G245">
        <v>2057</v>
      </c>
      <c r="H245">
        <v>3.1099999999999999E-2</v>
      </c>
      <c r="I245">
        <v>1.49</v>
      </c>
      <c r="J245">
        <v>3064.93</v>
      </c>
      <c r="K245">
        <v>136</v>
      </c>
      <c r="L245">
        <v>22.54</v>
      </c>
      <c r="M245">
        <v>39364.99</v>
      </c>
      <c r="N245">
        <v>12.84</v>
      </c>
    </row>
    <row r="246" spans="1:14" x14ac:dyDescent="0.25">
      <c r="A246" s="1">
        <v>45304</v>
      </c>
      <c r="B246" t="s">
        <v>28</v>
      </c>
      <c r="C246" t="s">
        <v>24</v>
      </c>
      <c r="D246" t="s">
        <v>25</v>
      </c>
      <c r="E246" t="s">
        <v>31</v>
      </c>
      <c r="F246">
        <v>24404</v>
      </c>
      <c r="G246">
        <v>710</v>
      </c>
      <c r="H246">
        <v>2.9100000000000001E-2</v>
      </c>
      <c r="I246">
        <v>0.61</v>
      </c>
      <c r="J246">
        <v>433.1</v>
      </c>
      <c r="K246">
        <v>10</v>
      </c>
      <c r="L246">
        <v>43.31</v>
      </c>
      <c r="M246">
        <v>923.15</v>
      </c>
      <c r="N246">
        <v>2.13</v>
      </c>
    </row>
    <row r="247" spans="1:14" x14ac:dyDescent="0.25">
      <c r="A247" s="1">
        <v>45435</v>
      </c>
      <c r="B247" t="s">
        <v>18</v>
      </c>
      <c r="C247" t="s">
        <v>24</v>
      </c>
      <c r="D247" t="s">
        <v>19</v>
      </c>
      <c r="E247" t="s">
        <v>32</v>
      </c>
      <c r="F247">
        <v>30517</v>
      </c>
      <c r="G247">
        <v>2575</v>
      </c>
      <c r="H247">
        <v>8.4400000000000003E-2</v>
      </c>
      <c r="I247">
        <v>0.8</v>
      </c>
      <c r="J247">
        <v>2060</v>
      </c>
      <c r="K247">
        <v>205</v>
      </c>
      <c r="L247">
        <v>10.050000000000001</v>
      </c>
      <c r="M247">
        <v>7811.94</v>
      </c>
      <c r="N247">
        <v>3.79</v>
      </c>
    </row>
    <row r="248" spans="1:14" x14ac:dyDescent="0.25">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row>
    <row r="249" spans="1:14" x14ac:dyDescent="0.25">
      <c r="A249" s="1">
        <v>45341</v>
      </c>
      <c r="B249" t="s">
        <v>14</v>
      </c>
      <c r="C249" t="s">
        <v>29</v>
      </c>
      <c r="D249" t="s">
        <v>16</v>
      </c>
      <c r="E249" t="s">
        <v>26</v>
      </c>
      <c r="F249">
        <v>37101</v>
      </c>
      <c r="G249">
        <v>2166</v>
      </c>
      <c r="H249">
        <v>5.8400000000000001E-2</v>
      </c>
      <c r="I249">
        <v>2.95</v>
      </c>
      <c r="J249">
        <v>6389.7</v>
      </c>
      <c r="K249">
        <v>45</v>
      </c>
      <c r="L249">
        <v>141.99</v>
      </c>
      <c r="M249">
        <v>3868.37</v>
      </c>
      <c r="N249">
        <v>0.61</v>
      </c>
    </row>
    <row r="250" spans="1:14" x14ac:dyDescent="0.25">
      <c r="A250" s="1">
        <v>45330</v>
      </c>
      <c r="B250" t="s">
        <v>28</v>
      </c>
      <c r="C250" t="s">
        <v>15</v>
      </c>
      <c r="D250" t="s">
        <v>19</v>
      </c>
      <c r="E250" t="s">
        <v>20</v>
      </c>
      <c r="F250">
        <v>151480</v>
      </c>
      <c r="G250">
        <v>2514</v>
      </c>
      <c r="H250">
        <v>1.66E-2</v>
      </c>
      <c r="I250">
        <v>2.06</v>
      </c>
      <c r="J250">
        <v>5178.84</v>
      </c>
      <c r="K250">
        <v>72</v>
      </c>
      <c r="L250">
        <v>71.930000000000007</v>
      </c>
      <c r="M250">
        <v>4076.45</v>
      </c>
      <c r="N250">
        <v>0.79</v>
      </c>
    </row>
    <row r="251" spans="1:14" x14ac:dyDescent="0.25">
      <c r="A251" s="1">
        <v>45387</v>
      </c>
      <c r="B251" t="s">
        <v>18</v>
      </c>
      <c r="C251" t="s">
        <v>21</v>
      </c>
      <c r="D251" t="s">
        <v>19</v>
      </c>
      <c r="E251" t="s">
        <v>31</v>
      </c>
      <c r="F251">
        <v>159813</v>
      </c>
      <c r="G251">
        <v>7575</v>
      </c>
      <c r="H251">
        <v>4.7399999999999998E-2</v>
      </c>
      <c r="I251">
        <v>0.9</v>
      </c>
      <c r="J251">
        <v>6817.5</v>
      </c>
      <c r="K251">
        <v>319</v>
      </c>
      <c r="L251">
        <v>21.37</v>
      </c>
      <c r="M251">
        <v>35965.699999999997</v>
      </c>
      <c r="N251">
        <v>5.28</v>
      </c>
    </row>
    <row r="252" spans="1:14" x14ac:dyDescent="0.25">
      <c r="A252" s="1">
        <v>45556</v>
      </c>
      <c r="B252" t="s">
        <v>18</v>
      </c>
      <c r="C252" t="s">
        <v>29</v>
      </c>
      <c r="D252" t="s">
        <v>22</v>
      </c>
      <c r="E252" t="s">
        <v>20</v>
      </c>
      <c r="F252">
        <v>135956</v>
      </c>
      <c r="G252">
        <v>11529</v>
      </c>
      <c r="H252">
        <v>8.48E-2</v>
      </c>
      <c r="I252">
        <v>0.5</v>
      </c>
      <c r="J252">
        <v>5764.5</v>
      </c>
      <c r="K252">
        <v>732</v>
      </c>
      <c r="L252">
        <v>7.88</v>
      </c>
      <c r="M252">
        <v>207824.45</v>
      </c>
      <c r="N252">
        <v>36.049999999999997</v>
      </c>
    </row>
    <row r="253" spans="1:14" x14ac:dyDescent="0.25">
      <c r="A253" s="1">
        <v>45499</v>
      </c>
      <c r="B253" t="s">
        <v>14</v>
      </c>
      <c r="C253" t="s">
        <v>15</v>
      </c>
      <c r="D253" t="s">
        <v>25</v>
      </c>
      <c r="E253" t="s">
        <v>17</v>
      </c>
      <c r="F253">
        <v>70982</v>
      </c>
      <c r="G253">
        <v>2548</v>
      </c>
      <c r="H253">
        <v>3.5900000000000001E-2</v>
      </c>
      <c r="I253">
        <v>2.88</v>
      </c>
      <c r="J253">
        <v>7338.24</v>
      </c>
      <c r="K253">
        <v>117</v>
      </c>
      <c r="L253">
        <v>62.72</v>
      </c>
      <c r="M253">
        <v>32045.18</v>
      </c>
      <c r="N253">
        <v>4.37</v>
      </c>
    </row>
    <row r="254" spans="1:14" x14ac:dyDescent="0.25">
      <c r="A254" s="1">
        <v>45368</v>
      </c>
      <c r="B254" t="s">
        <v>18</v>
      </c>
      <c r="C254" t="s">
        <v>15</v>
      </c>
      <c r="D254" t="s">
        <v>22</v>
      </c>
      <c r="E254" t="s">
        <v>31</v>
      </c>
      <c r="F254">
        <v>132992</v>
      </c>
      <c r="G254">
        <v>7926</v>
      </c>
      <c r="H254">
        <v>5.96E-2</v>
      </c>
      <c r="I254">
        <v>0.64</v>
      </c>
      <c r="J254">
        <v>5072.6400000000003</v>
      </c>
      <c r="K254">
        <v>553</v>
      </c>
      <c r="L254">
        <v>9.17</v>
      </c>
      <c r="M254">
        <v>41271.279999999999</v>
      </c>
      <c r="N254">
        <v>8.14</v>
      </c>
    </row>
    <row r="255" spans="1:14" x14ac:dyDescent="0.25">
      <c r="A255" s="1">
        <v>45517</v>
      </c>
      <c r="B255" t="s">
        <v>18</v>
      </c>
      <c r="C255" t="s">
        <v>21</v>
      </c>
      <c r="D255" t="s">
        <v>22</v>
      </c>
      <c r="E255" t="s">
        <v>31</v>
      </c>
      <c r="F255">
        <v>13597</v>
      </c>
      <c r="G255">
        <v>747</v>
      </c>
      <c r="H255">
        <v>5.5E-2</v>
      </c>
      <c r="I255">
        <v>1.91</v>
      </c>
      <c r="J255">
        <v>1426.77</v>
      </c>
      <c r="K255">
        <v>25</v>
      </c>
      <c r="L255">
        <v>57.07</v>
      </c>
      <c r="M255">
        <v>5673.88</v>
      </c>
      <c r="N255">
        <v>3.98</v>
      </c>
    </row>
    <row r="256" spans="1:14" x14ac:dyDescent="0.25">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row>
    <row r="257" spans="1:14" x14ac:dyDescent="0.25">
      <c r="A257" s="1">
        <v>45349</v>
      </c>
      <c r="B257" t="s">
        <v>14</v>
      </c>
      <c r="C257" t="s">
        <v>15</v>
      </c>
      <c r="D257" t="s">
        <v>22</v>
      </c>
      <c r="E257" t="s">
        <v>23</v>
      </c>
      <c r="F257">
        <v>108751</v>
      </c>
      <c r="G257">
        <v>5459</v>
      </c>
      <c r="H257">
        <v>5.0200000000000002E-2</v>
      </c>
      <c r="I257">
        <v>1.43</v>
      </c>
      <c r="J257">
        <v>7806.37</v>
      </c>
      <c r="K257">
        <v>345</v>
      </c>
      <c r="L257">
        <v>22.63</v>
      </c>
      <c r="M257">
        <v>24740.95</v>
      </c>
      <c r="N257">
        <v>3.17</v>
      </c>
    </row>
    <row r="258" spans="1:14" x14ac:dyDescent="0.25">
      <c r="A258" s="1">
        <v>45650</v>
      </c>
      <c r="B258" t="s">
        <v>28</v>
      </c>
      <c r="C258" t="s">
        <v>29</v>
      </c>
      <c r="D258" t="s">
        <v>30</v>
      </c>
      <c r="E258" t="s">
        <v>31</v>
      </c>
      <c r="F258">
        <v>175591</v>
      </c>
      <c r="G258">
        <v>5864</v>
      </c>
      <c r="H258">
        <v>3.3399999999999999E-2</v>
      </c>
      <c r="I258">
        <v>0.44</v>
      </c>
      <c r="J258">
        <v>2580.16</v>
      </c>
      <c r="K258">
        <v>333</v>
      </c>
      <c r="L258">
        <v>7.75</v>
      </c>
      <c r="M258">
        <v>52097.57</v>
      </c>
      <c r="N258">
        <v>20.190000000000001</v>
      </c>
    </row>
    <row r="259" spans="1:14" x14ac:dyDescent="0.25">
      <c r="A259" s="1">
        <v>45604</v>
      </c>
      <c r="B259" t="s">
        <v>18</v>
      </c>
      <c r="C259" t="s">
        <v>15</v>
      </c>
      <c r="D259" t="s">
        <v>19</v>
      </c>
      <c r="E259" t="s">
        <v>31</v>
      </c>
      <c r="F259">
        <v>36027</v>
      </c>
      <c r="G259">
        <v>2770</v>
      </c>
      <c r="H259">
        <v>7.6899999999999996E-2</v>
      </c>
      <c r="I259">
        <v>1.08</v>
      </c>
      <c r="J259">
        <v>2991.6</v>
      </c>
      <c r="K259">
        <v>205</v>
      </c>
      <c r="L259">
        <v>14.59</v>
      </c>
      <c r="M259">
        <v>16618.849999999999</v>
      </c>
      <c r="N259">
        <v>5.56</v>
      </c>
    </row>
    <row r="260" spans="1:14" x14ac:dyDescent="0.25">
      <c r="A260" s="1">
        <v>45523</v>
      </c>
      <c r="B260" t="s">
        <v>18</v>
      </c>
      <c r="C260" t="s">
        <v>24</v>
      </c>
      <c r="D260" t="s">
        <v>30</v>
      </c>
      <c r="E260" t="s">
        <v>27</v>
      </c>
      <c r="F260">
        <v>57265</v>
      </c>
      <c r="G260">
        <v>2302</v>
      </c>
      <c r="H260">
        <v>4.02E-2</v>
      </c>
      <c r="I260">
        <v>1.3</v>
      </c>
      <c r="J260">
        <v>2992.6</v>
      </c>
      <c r="K260">
        <v>85</v>
      </c>
      <c r="L260">
        <v>35.21</v>
      </c>
      <c r="M260">
        <v>4068.49</v>
      </c>
      <c r="N260">
        <v>1.36</v>
      </c>
    </row>
    <row r="261" spans="1:14" x14ac:dyDescent="0.25">
      <c r="A261" s="1">
        <v>45491</v>
      </c>
      <c r="B261" t="s">
        <v>14</v>
      </c>
      <c r="C261" t="s">
        <v>24</v>
      </c>
      <c r="D261" t="s">
        <v>16</v>
      </c>
      <c r="E261" t="s">
        <v>31</v>
      </c>
      <c r="F261">
        <v>161904</v>
      </c>
      <c r="G261">
        <v>4727</v>
      </c>
      <c r="H261">
        <v>2.92E-2</v>
      </c>
      <c r="I261">
        <v>1.64</v>
      </c>
      <c r="J261">
        <v>7752.28</v>
      </c>
      <c r="K261">
        <v>263</v>
      </c>
      <c r="L261">
        <v>29.48</v>
      </c>
      <c r="M261">
        <v>21545.93</v>
      </c>
      <c r="N261">
        <v>2.78</v>
      </c>
    </row>
    <row r="262" spans="1:14" x14ac:dyDescent="0.25">
      <c r="A262" s="1">
        <v>45535</v>
      </c>
      <c r="B262" t="s">
        <v>14</v>
      </c>
      <c r="C262" t="s">
        <v>29</v>
      </c>
      <c r="D262" t="s">
        <v>22</v>
      </c>
      <c r="E262" t="s">
        <v>27</v>
      </c>
      <c r="F262">
        <v>49757</v>
      </c>
      <c r="G262">
        <v>1243</v>
      </c>
      <c r="H262">
        <v>2.5000000000000001E-2</v>
      </c>
      <c r="I262">
        <v>3.14</v>
      </c>
      <c r="J262">
        <v>3903.02</v>
      </c>
      <c r="K262">
        <v>39</v>
      </c>
      <c r="L262">
        <v>100.08</v>
      </c>
      <c r="M262">
        <v>4749.8999999999996</v>
      </c>
      <c r="N262">
        <v>1.22</v>
      </c>
    </row>
    <row r="263" spans="1:14" x14ac:dyDescent="0.25">
      <c r="A263" s="1">
        <v>45501</v>
      </c>
      <c r="B263" t="s">
        <v>14</v>
      </c>
      <c r="C263" t="s">
        <v>21</v>
      </c>
      <c r="D263" t="s">
        <v>19</v>
      </c>
      <c r="E263" t="s">
        <v>23</v>
      </c>
      <c r="F263">
        <v>168623</v>
      </c>
      <c r="G263">
        <v>6896</v>
      </c>
      <c r="H263">
        <v>4.0899999999999999E-2</v>
      </c>
      <c r="I263">
        <v>1.42</v>
      </c>
      <c r="J263">
        <v>9792.32</v>
      </c>
      <c r="K263">
        <v>200</v>
      </c>
      <c r="L263">
        <v>48.96</v>
      </c>
      <c r="M263">
        <v>24436.959999999999</v>
      </c>
      <c r="N263">
        <v>2.5</v>
      </c>
    </row>
    <row r="264" spans="1:14" x14ac:dyDescent="0.25">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row>
    <row r="265" spans="1:14" x14ac:dyDescent="0.25">
      <c r="A265" s="1">
        <v>45466</v>
      </c>
      <c r="B265" t="s">
        <v>14</v>
      </c>
      <c r="C265" t="s">
        <v>15</v>
      </c>
      <c r="D265" t="s">
        <v>19</v>
      </c>
      <c r="E265" t="s">
        <v>20</v>
      </c>
      <c r="F265">
        <v>11305</v>
      </c>
      <c r="G265">
        <v>562</v>
      </c>
      <c r="H265">
        <v>4.9799999999999997E-2</v>
      </c>
      <c r="I265">
        <v>1.72</v>
      </c>
      <c r="J265">
        <v>966.64</v>
      </c>
      <c r="K265">
        <v>42</v>
      </c>
      <c r="L265">
        <v>23.02</v>
      </c>
      <c r="M265">
        <v>8107.06</v>
      </c>
      <c r="N265">
        <v>8.39</v>
      </c>
    </row>
    <row r="266" spans="1:14" x14ac:dyDescent="0.25">
      <c r="A266" s="1">
        <v>45585</v>
      </c>
      <c r="B266" t="s">
        <v>18</v>
      </c>
      <c r="C266" t="s">
        <v>24</v>
      </c>
      <c r="D266" t="s">
        <v>22</v>
      </c>
      <c r="E266" t="s">
        <v>31</v>
      </c>
      <c r="F266">
        <v>109188</v>
      </c>
      <c r="G266">
        <v>6354</v>
      </c>
      <c r="H266">
        <v>5.8200000000000002E-2</v>
      </c>
      <c r="I266">
        <v>1.26</v>
      </c>
      <c r="J266">
        <v>8006.04</v>
      </c>
      <c r="K266">
        <v>216</v>
      </c>
      <c r="L266">
        <v>37.06</v>
      </c>
      <c r="M266">
        <v>49228.57</v>
      </c>
      <c r="N266">
        <v>6.15</v>
      </c>
    </row>
    <row r="267" spans="1:14" x14ac:dyDescent="0.25">
      <c r="A267" s="1">
        <v>45518</v>
      </c>
      <c r="B267" t="s">
        <v>28</v>
      </c>
      <c r="C267" t="s">
        <v>29</v>
      </c>
      <c r="D267" t="s">
        <v>22</v>
      </c>
      <c r="E267" t="s">
        <v>26</v>
      </c>
      <c r="F267">
        <v>73309</v>
      </c>
      <c r="G267">
        <v>2323</v>
      </c>
      <c r="H267">
        <v>3.1699999999999999E-2</v>
      </c>
      <c r="I267">
        <v>0.6</v>
      </c>
      <c r="J267">
        <v>1393.8</v>
      </c>
      <c r="K267">
        <v>39</v>
      </c>
      <c r="L267">
        <v>35.74</v>
      </c>
      <c r="M267">
        <v>1966.71</v>
      </c>
      <c r="N267">
        <v>1.41</v>
      </c>
    </row>
    <row r="268" spans="1:14" x14ac:dyDescent="0.25">
      <c r="A268" s="1">
        <v>45640</v>
      </c>
      <c r="B268" t="s">
        <v>14</v>
      </c>
      <c r="C268" t="s">
        <v>21</v>
      </c>
      <c r="D268" t="s">
        <v>22</v>
      </c>
      <c r="E268" t="s">
        <v>31</v>
      </c>
      <c r="F268">
        <v>81996</v>
      </c>
      <c r="G268">
        <v>1508</v>
      </c>
      <c r="H268">
        <v>1.84E-2</v>
      </c>
      <c r="I268">
        <v>2.33</v>
      </c>
      <c r="J268">
        <v>3513.64</v>
      </c>
      <c r="K268">
        <v>75</v>
      </c>
      <c r="L268">
        <v>46.85</v>
      </c>
      <c r="M268">
        <v>8251.24</v>
      </c>
      <c r="N268">
        <v>2.35</v>
      </c>
    </row>
    <row r="269" spans="1:14" x14ac:dyDescent="0.25">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row>
    <row r="270" spans="1:14" x14ac:dyDescent="0.25">
      <c r="A270" s="1">
        <v>45626</v>
      </c>
      <c r="B270" t="s">
        <v>14</v>
      </c>
      <c r="C270" t="s">
        <v>29</v>
      </c>
      <c r="D270" t="s">
        <v>25</v>
      </c>
      <c r="E270" t="s">
        <v>17</v>
      </c>
      <c r="F270">
        <v>79960</v>
      </c>
      <c r="G270">
        <v>1591</v>
      </c>
      <c r="H270">
        <v>1.9900000000000001E-2</v>
      </c>
      <c r="I270">
        <v>1.03</v>
      </c>
      <c r="J270">
        <v>1638.73</v>
      </c>
      <c r="K270">
        <v>55</v>
      </c>
      <c r="L270">
        <v>29.8</v>
      </c>
      <c r="M270">
        <v>15206.45</v>
      </c>
      <c r="N270">
        <v>9.2799999999999994</v>
      </c>
    </row>
    <row r="271" spans="1:14" x14ac:dyDescent="0.25">
      <c r="A271" s="1">
        <v>45601</v>
      </c>
      <c r="B271" t="s">
        <v>28</v>
      </c>
      <c r="C271" t="s">
        <v>29</v>
      </c>
      <c r="D271" t="s">
        <v>22</v>
      </c>
      <c r="E271" t="s">
        <v>32</v>
      </c>
      <c r="F271">
        <v>188804</v>
      </c>
      <c r="G271">
        <v>5267</v>
      </c>
      <c r="H271">
        <v>2.7900000000000001E-2</v>
      </c>
      <c r="I271">
        <v>2.1</v>
      </c>
      <c r="J271">
        <v>11060.7</v>
      </c>
      <c r="K271">
        <v>64</v>
      </c>
      <c r="L271">
        <v>172.82</v>
      </c>
      <c r="M271">
        <v>10138.299999999999</v>
      </c>
      <c r="N271">
        <v>0.92</v>
      </c>
    </row>
    <row r="272" spans="1:14" x14ac:dyDescent="0.25">
      <c r="A272" s="1">
        <v>45437</v>
      </c>
      <c r="B272" t="s">
        <v>28</v>
      </c>
      <c r="C272" t="s">
        <v>29</v>
      </c>
      <c r="D272" t="s">
        <v>16</v>
      </c>
      <c r="E272" t="s">
        <v>20</v>
      </c>
      <c r="F272">
        <v>80139</v>
      </c>
      <c r="G272">
        <v>2436</v>
      </c>
      <c r="H272">
        <v>3.04E-2</v>
      </c>
      <c r="I272">
        <v>1.58</v>
      </c>
      <c r="J272">
        <v>3848.88</v>
      </c>
      <c r="K272">
        <v>37</v>
      </c>
      <c r="L272">
        <v>104.02</v>
      </c>
      <c r="M272">
        <v>4653.12</v>
      </c>
      <c r="N272">
        <v>1.21</v>
      </c>
    </row>
    <row r="273" spans="1:14" x14ac:dyDescent="0.25">
      <c r="A273" s="1">
        <v>45651</v>
      </c>
      <c r="B273" t="s">
        <v>28</v>
      </c>
      <c r="C273" t="s">
        <v>24</v>
      </c>
      <c r="D273" t="s">
        <v>25</v>
      </c>
      <c r="E273" t="s">
        <v>26</v>
      </c>
      <c r="F273">
        <v>51999</v>
      </c>
      <c r="G273">
        <v>930</v>
      </c>
      <c r="H273">
        <v>1.7899999999999999E-2</v>
      </c>
      <c r="I273">
        <v>1.2</v>
      </c>
      <c r="J273">
        <v>1116</v>
      </c>
      <c r="K273">
        <v>13</v>
      </c>
      <c r="L273">
        <v>85.85</v>
      </c>
      <c r="M273">
        <v>1777.36</v>
      </c>
      <c r="N273">
        <v>1.59</v>
      </c>
    </row>
    <row r="274" spans="1:14" x14ac:dyDescent="0.25">
      <c r="A274" s="1">
        <v>45637</v>
      </c>
      <c r="B274" t="s">
        <v>14</v>
      </c>
      <c r="C274" t="s">
        <v>21</v>
      </c>
      <c r="D274" t="s">
        <v>19</v>
      </c>
      <c r="E274" t="s">
        <v>31</v>
      </c>
      <c r="F274">
        <v>119527</v>
      </c>
      <c r="G274">
        <v>6597</v>
      </c>
      <c r="H274">
        <v>5.5199999999999999E-2</v>
      </c>
      <c r="I274">
        <v>3.1</v>
      </c>
      <c r="J274">
        <v>20450.7</v>
      </c>
      <c r="K274">
        <v>497</v>
      </c>
      <c r="L274">
        <v>41.15</v>
      </c>
      <c r="M274">
        <v>137884.47</v>
      </c>
      <c r="N274">
        <v>6.74</v>
      </c>
    </row>
    <row r="275" spans="1:14" x14ac:dyDescent="0.25">
      <c r="A275" s="1">
        <v>45521</v>
      </c>
      <c r="B275" t="s">
        <v>28</v>
      </c>
      <c r="C275" t="s">
        <v>15</v>
      </c>
      <c r="D275" t="s">
        <v>16</v>
      </c>
      <c r="E275" t="s">
        <v>31</v>
      </c>
      <c r="F275">
        <v>194073</v>
      </c>
      <c r="G275">
        <v>6346</v>
      </c>
      <c r="H275">
        <v>3.27E-2</v>
      </c>
      <c r="I275">
        <v>1.8</v>
      </c>
      <c r="J275">
        <v>11422.8</v>
      </c>
      <c r="K275">
        <v>168</v>
      </c>
      <c r="L275">
        <v>67.989999999999995</v>
      </c>
      <c r="M275">
        <v>9921.3799999999992</v>
      </c>
      <c r="N275">
        <v>0.87</v>
      </c>
    </row>
    <row r="276" spans="1:14" x14ac:dyDescent="0.25">
      <c r="A276" s="1">
        <v>45562</v>
      </c>
      <c r="B276" t="s">
        <v>18</v>
      </c>
      <c r="C276" t="s">
        <v>29</v>
      </c>
      <c r="D276" t="s">
        <v>25</v>
      </c>
      <c r="E276" t="s">
        <v>20</v>
      </c>
      <c r="F276">
        <v>55599</v>
      </c>
      <c r="G276">
        <v>3697</v>
      </c>
      <c r="H276">
        <v>6.6500000000000004E-2</v>
      </c>
      <c r="I276">
        <v>1.64</v>
      </c>
      <c r="J276">
        <v>6063.08</v>
      </c>
      <c r="K276">
        <v>217</v>
      </c>
      <c r="L276">
        <v>27.94</v>
      </c>
      <c r="M276">
        <v>25513.42</v>
      </c>
      <c r="N276">
        <v>4.21</v>
      </c>
    </row>
    <row r="277" spans="1:14" x14ac:dyDescent="0.25">
      <c r="A277" s="1">
        <v>45582</v>
      </c>
      <c r="B277" t="s">
        <v>14</v>
      </c>
      <c r="C277" t="s">
        <v>21</v>
      </c>
      <c r="D277" t="s">
        <v>22</v>
      </c>
      <c r="E277" t="s">
        <v>31</v>
      </c>
      <c r="F277">
        <v>176541</v>
      </c>
      <c r="G277">
        <v>4378</v>
      </c>
      <c r="H277">
        <v>2.4799999999999999E-2</v>
      </c>
      <c r="I277">
        <v>2.87</v>
      </c>
      <c r="J277">
        <v>12564.86</v>
      </c>
      <c r="K277">
        <v>175</v>
      </c>
      <c r="L277">
        <v>71.8</v>
      </c>
      <c r="M277">
        <v>19637.27</v>
      </c>
      <c r="N277">
        <v>1.56</v>
      </c>
    </row>
    <row r="278" spans="1:14" x14ac:dyDescent="0.25">
      <c r="A278" s="1">
        <v>45466</v>
      </c>
      <c r="B278" t="s">
        <v>14</v>
      </c>
      <c r="C278" t="s">
        <v>29</v>
      </c>
      <c r="D278" t="s">
        <v>16</v>
      </c>
      <c r="E278" t="s">
        <v>17</v>
      </c>
      <c r="F278">
        <v>118710</v>
      </c>
      <c r="G278">
        <v>4036</v>
      </c>
      <c r="H278">
        <v>3.4000000000000002E-2</v>
      </c>
      <c r="I278">
        <v>2.48</v>
      </c>
      <c r="J278">
        <v>10009.280000000001</v>
      </c>
      <c r="K278">
        <v>235</v>
      </c>
      <c r="L278">
        <v>42.59</v>
      </c>
      <c r="M278">
        <v>28657.57</v>
      </c>
      <c r="N278">
        <v>2.86</v>
      </c>
    </row>
    <row r="279" spans="1:14" x14ac:dyDescent="0.25">
      <c r="A279" s="1">
        <v>45339</v>
      </c>
      <c r="B279" t="s">
        <v>18</v>
      </c>
      <c r="C279" t="s">
        <v>15</v>
      </c>
      <c r="D279" t="s">
        <v>16</v>
      </c>
      <c r="E279" t="s">
        <v>26</v>
      </c>
      <c r="F279">
        <v>113297</v>
      </c>
      <c r="G279">
        <v>9675</v>
      </c>
      <c r="H279">
        <v>8.5400000000000004E-2</v>
      </c>
      <c r="I279">
        <v>1.81</v>
      </c>
      <c r="J279">
        <v>17511.75</v>
      </c>
      <c r="K279">
        <v>380</v>
      </c>
      <c r="L279">
        <v>46.08</v>
      </c>
      <c r="M279">
        <v>16593.87</v>
      </c>
      <c r="N279">
        <v>0.95</v>
      </c>
    </row>
    <row r="280" spans="1:14" x14ac:dyDescent="0.25">
      <c r="A280" s="1">
        <v>45478</v>
      </c>
      <c r="B280" t="s">
        <v>14</v>
      </c>
      <c r="C280" t="s">
        <v>15</v>
      </c>
      <c r="D280" t="s">
        <v>16</v>
      </c>
      <c r="E280" t="s">
        <v>20</v>
      </c>
      <c r="F280">
        <v>6881</v>
      </c>
      <c r="G280">
        <v>357</v>
      </c>
      <c r="H280">
        <v>5.1999999999999998E-2</v>
      </c>
      <c r="I280">
        <v>2.29</v>
      </c>
      <c r="J280">
        <v>817.53</v>
      </c>
      <c r="K280">
        <v>5</v>
      </c>
      <c r="L280">
        <v>163.51</v>
      </c>
      <c r="M280">
        <v>872.75</v>
      </c>
      <c r="N280">
        <v>1.07</v>
      </c>
    </row>
    <row r="281" spans="1:14" x14ac:dyDescent="0.25">
      <c r="A281" s="1">
        <v>45432</v>
      </c>
      <c r="B281" t="s">
        <v>28</v>
      </c>
      <c r="C281" t="s">
        <v>24</v>
      </c>
      <c r="D281" t="s">
        <v>19</v>
      </c>
      <c r="E281" t="s">
        <v>26</v>
      </c>
      <c r="F281">
        <v>121477</v>
      </c>
      <c r="G281">
        <v>1834</v>
      </c>
      <c r="H281">
        <v>1.5100000000000001E-2</v>
      </c>
      <c r="I281">
        <v>0.49</v>
      </c>
      <c r="J281">
        <v>898.66</v>
      </c>
      <c r="K281">
        <v>98</v>
      </c>
      <c r="L281">
        <v>9.17</v>
      </c>
      <c r="M281">
        <v>10542.66</v>
      </c>
      <c r="N281">
        <v>11.73</v>
      </c>
    </row>
    <row r="282" spans="1:14" x14ac:dyDescent="0.25">
      <c r="A282" s="1">
        <v>45471</v>
      </c>
      <c r="B282" t="s">
        <v>14</v>
      </c>
      <c r="C282" t="s">
        <v>29</v>
      </c>
      <c r="D282" t="s">
        <v>25</v>
      </c>
      <c r="E282" t="s">
        <v>32</v>
      </c>
      <c r="F282">
        <v>188419</v>
      </c>
      <c r="G282">
        <v>10231</v>
      </c>
      <c r="H282">
        <v>5.4300000000000001E-2</v>
      </c>
      <c r="I282">
        <v>2.15</v>
      </c>
      <c r="J282">
        <v>21996.65</v>
      </c>
      <c r="K282">
        <v>754</v>
      </c>
      <c r="L282">
        <v>29.17</v>
      </c>
      <c r="M282">
        <v>134062.71</v>
      </c>
      <c r="N282">
        <v>6.09</v>
      </c>
    </row>
    <row r="283" spans="1:14" x14ac:dyDescent="0.25">
      <c r="A283" s="1">
        <v>45515</v>
      </c>
      <c r="B283" t="s">
        <v>28</v>
      </c>
      <c r="C283" t="s">
        <v>21</v>
      </c>
      <c r="D283" t="s">
        <v>19</v>
      </c>
      <c r="E283" t="s">
        <v>20</v>
      </c>
      <c r="F283">
        <v>46743</v>
      </c>
      <c r="G283">
        <v>1523</v>
      </c>
      <c r="H283">
        <v>3.2599999999999997E-2</v>
      </c>
      <c r="I283">
        <v>0.8</v>
      </c>
      <c r="J283">
        <v>1218.4000000000001</v>
      </c>
      <c r="K283">
        <v>51</v>
      </c>
      <c r="L283">
        <v>23.89</v>
      </c>
      <c r="M283">
        <v>5825.03</v>
      </c>
      <c r="N283">
        <v>4.78</v>
      </c>
    </row>
    <row r="284" spans="1:14" x14ac:dyDescent="0.25">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row>
    <row r="285" spans="1:14" x14ac:dyDescent="0.25">
      <c r="A285" s="1">
        <v>45426</v>
      </c>
      <c r="B285" t="s">
        <v>14</v>
      </c>
      <c r="C285" t="s">
        <v>15</v>
      </c>
      <c r="D285" t="s">
        <v>25</v>
      </c>
      <c r="E285" t="s">
        <v>32</v>
      </c>
      <c r="F285">
        <v>140747</v>
      </c>
      <c r="G285">
        <v>8571</v>
      </c>
      <c r="H285">
        <v>6.0900000000000003E-2</v>
      </c>
      <c r="I285">
        <v>3.25</v>
      </c>
      <c r="J285">
        <v>27855.75</v>
      </c>
      <c r="K285">
        <v>332</v>
      </c>
      <c r="L285">
        <v>83.9</v>
      </c>
      <c r="M285">
        <v>48279.89</v>
      </c>
      <c r="N285">
        <v>1.73</v>
      </c>
    </row>
    <row r="286" spans="1:14" x14ac:dyDescent="0.25">
      <c r="A286" s="1">
        <v>45398</v>
      </c>
      <c r="B286" t="s">
        <v>14</v>
      </c>
      <c r="C286" t="s">
        <v>15</v>
      </c>
      <c r="D286" t="s">
        <v>22</v>
      </c>
      <c r="E286" t="s">
        <v>32</v>
      </c>
      <c r="F286">
        <v>36831</v>
      </c>
      <c r="G286">
        <v>1572</v>
      </c>
      <c r="H286">
        <v>4.2700000000000002E-2</v>
      </c>
      <c r="I286">
        <v>3.45</v>
      </c>
      <c r="J286">
        <v>5423.4</v>
      </c>
      <c r="K286">
        <v>48</v>
      </c>
      <c r="L286">
        <v>112.99</v>
      </c>
      <c r="M286">
        <v>4165.7299999999996</v>
      </c>
      <c r="N286">
        <v>0.77</v>
      </c>
    </row>
    <row r="287" spans="1:14" x14ac:dyDescent="0.25">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row>
    <row r="288" spans="1:14" x14ac:dyDescent="0.25">
      <c r="A288" s="1">
        <v>45387</v>
      </c>
      <c r="B288" t="s">
        <v>28</v>
      </c>
      <c r="C288" t="s">
        <v>29</v>
      </c>
      <c r="D288" t="s">
        <v>19</v>
      </c>
      <c r="E288" t="s">
        <v>23</v>
      </c>
      <c r="F288">
        <v>69892</v>
      </c>
      <c r="G288">
        <v>2851</v>
      </c>
      <c r="H288">
        <v>4.0800000000000003E-2</v>
      </c>
      <c r="I288">
        <v>0.78</v>
      </c>
      <c r="J288">
        <v>2223.7800000000002</v>
      </c>
      <c r="K288">
        <v>52</v>
      </c>
      <c r="L288">
        <v>42.77</v>
      </c>
      <c r="M288">
        <v>11407.42</v>
      </c>
      <c r="N288">
        <v>5.13</v>
      </c>
    </row>
    <row r="289" spans="1:14" x14ac:dyDescent="0.25">
      <c r="A289" s="1">
        <v>45380</v>
      </c>
      <c r="B289" t="s">
        <v>14</v>
      </c>
      <c r="C289" t="s">
        <v>24</v>
      </c>
      <c r="D289" t="s">
        <v>25</v>
      </c>
      <c r="E289" t="s">
        <v>20</v>
      </c>
      <c r="F289">
        <v>118985</v>
      </c>
      <c r="G289">
        <v>4545</v>
      </c>
      <c r="H289">
        <v>3.8199999999999998E-2</v>
      </c>
      <c r="I289">
        <v>3.23</v>
      </c>
      <c r="J289">
        <v>14680.35</v>
      </c>
      <c r="K289">
        <v>259</v>
      </c>
      <c r="L289">
        <v>56.68</v>
      </c>
      <c r="M289">
        <v>58417.120000000003</v>
      </c>
      <c r="N289">
        <v>3.98</v>
      </c>
    </row>
    <row r="290" spans="1:14" x14ac:dyDescent="0.25">
      <c r="A290" s="1">
        <v>45485</v>
      </c>
      <c r="B290" t="s">
        <v>28</v>
      </c>
      <c r="C290" t="s">
        <v>29</v>
      </c>
      <c r="D290" t="s">
        <v>30</v>
      </c>
      <c r="E290" t="s">
        <v>31</v>
      </c>
      <c r="F290">
        <v>12452</v>
      </c>
      <c r="G290">
        <v>280</v>
      </c>
      <c r="H290">
        <v>2.2499999999999999E-2</v>
      </c>
      <c r="I290">
        <v>1.23</v>
      </c>
      <c r="J290">
        <v>344.4</v>
      </c>
      <c r="K290">
        <v>18</v>
      </c>
      <c r="L290">
        <v>19.13</v>
      </c>
      <c r="M290">
        <v>4734.22</v>
      </c>
      <c r="N290">
        <v>13.75</v>
      </c>
    </row>
    <row r="291" spans="1:14" x14ac:dyDescent="0.25">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row>
    <row r="292" spans="1:14" x14ac:dyDescent="0.25">
      <c r="A292" s="1">
        <v>45522</v>
      </c>
      <c r="B292" t="s">
        <v>18</v>
      </c>
      <c r="C292" t="s">
        <v>15</v>
      </c>
      <c r="D292" t="s">
        <v>16</v>
      </c>
      <c r="E292" t="s">
        <v>31</v>
      </c>
      <c r="F292">
        <v>39782</v>
      </c>
      <c r="G292">
        <v>3393</v>
      </c>
      <c r="H292">
        <v>8.5300000000000001E-2</v>
      </c>
      <c r="I292">
        <v>1.71</v>
      </c>
      <c r="J292">
        <v>5802.03</v>
      </c>
      <c r="K292">
        <v>143</v>
      </c>
      <c r="L292">
        <v>40.57</v>
      </c>
      <c r="M292">
        <v>23555.27</v>
      </c>
      <c r="N292">
        <v>4.0599999999999996</v>
      </c>
    </row>
    <row r="293" spans="1:14" x14ac:dyDescent="0.25">
      <c r="A293" s="1">
        <v>45395</v>
      </c>
      <c r="B293" t="s">
        <v>14</v>
      </c>
      <c r="C293" t="s">
        <v>21</v>
      </c>
      <c r="D293" t="s">
        <v>19</v>
      </c>
      <c r="E293" t="s">
        <v>32</v>
      </c>
      <c r="F293">
        <v>192135</v>
      </c>
      <c r="G293">
        <v>10663</v>
      </c>
      <c r="H293">
        <v>5.5500000000000001E-2</v>
      </c>
      <c r="I293">
        <v>1.78</v>
      </c>
      <c r="J293">
        <v>18980.14</v>
      </c>
      <c r="K293">
        <v>741</v>
      </c>
      <c r="L293">
        <v>25.61</v>
      </c>
      <c r="M293">
        <v>213823.35999999999</v>
      </c>
      <c r="N293">
        <v>11.27</v>
      </c>
    </row>
    <row r="294" spans="1:14" x14ac:dyDescent="0.25">
      <c r="A294" s="1">
        <v>45386</v>
      </c>
      <c r="B294" t="s">
        <v>28</v>
      </c>
      <c r="C294" t="s">
        <v>15</v>
      </c>
      <c r="D294" t="s">
        <v>22</v>
      </c>
      <c r="E294" t="s">
        <v>31</v>
      </c>
      <c r="F294">
        <v>156317</v>
      </c>
      <c r="G294">
        <v>5924</v>
      </c>
      <c r="H294">
        <v>3.7900000000000003E-2</v>
      </c>
      <c r="I294">
        <v>0.71</v>
      </c>
      <c r="J294">
        <v>4206.04</v>
      </c>
      <c r="K294">
        <v>464</v>
      </c>
      <c r="L294">
        <v>9.06</v>
      </c>
      <c r="M294">
        <v>64623.96</v>
      </c>
      <c r="N294">
        <v>15.36</v>
      </c>
    </row>
    <row r="295" spans="1:14" x14ac:dyDescent="0.25">
      <c r="A295" s="1">
        <v>45337</v>
      </c>
      <c r="B295" t="s">
        <v>14</v>
      </c>
      <c r="C295" t="s">
        <v>24</v>
      </c>
      <c r="D295" t="s">
        <v>16</v>
      </c>
      <c r="E295" t="s">
        <v>26</v>
      </c>
      <c r="F295">
        <v>39754</v>
      </c>
      <c r="G295">
        <v>2007</v>
      </c>
      <c r="H295">
        <v>5.0500000000000003E-2</v>
      </c>
      <c r="I295">
        <v>2.33</v>
      </c>
      <c r="J295">
        <v>4676.3100000000004</v>
      </c>
      <c r="K295">
        <v>108</v>
      </c>
      <c r="L295">
        <v>43.3</v>
      </c>
      <c r="M295">
        <v>6981.98</v>
      </c>
      <c r="N295">
        <v>1.49</v>
      </c>
    </row>
    <row r="296" spans="1:14" x14ac:dyDescent="0.25">
      <c r="A296" s="1">
        <v>45567</v>
      </c>
      <c r="B296" t="s">
        <v>28</v>
      </c>
      <c r="C296" t="s">
        <v>24</v>
      </c>
      <c r="D296" t="s">
        <v>19</v>
      </c>
      <c r="E296" t="s">
        <v>17</v>
      </c>
      <c r="F296">
        <v>84526</v>
      </c>
      <c r="G296">
        <v>2214</v>
      </c>
      <c r="H296">
        <v>2.6200000000000001E-2</v>
      </c>
      <c r="I296">
        <v>0.44</v>
      </c>
      <c r="J296">
        <v>974.16</v>
      </c>
      <c r="K296">
        <v>117</v>
      </c>
      <c r="L296">
        <v>8.33</v>
      </c>
      <c r="M296">
        <v>30360.22</v>
      </c>
      <c r="N296">
        <v>31.17</v>
      </c>
    </row>
    <row r="297" spans="1:14" x14ac:dyDescent="0.25">
      <c r="A297" s="1">
        <v>45531</v>
      </c>
      <c r="B297" t="s">
        <v>14</v>
      </c>
      <c r="C297" t="s">
        <v>24</v>
      </c>
      <c r="D297" t="s">
        <v>25</v>
      </c>
      <c r="E297" t="s">
        <v>20</v>
      </c>
      <c r="F297">
        <v>159226</v>
      </c>
      <c r="G297">
        <v>5206</v>
      </c>
      <c r="H297">
        <v>3.27E-2</v>
      </c>
      <c r="I297">
        <v>0.97</v>
      </c>
      <c r="J297">
        <v>5049.82</v>
      </c>
      <c r="K297">
        <v>137</v>
      </c>
      <c r="L297">
        <v>36.86</v>
      </c>
      <c r="M297">
        <v>27701.27</v>
      </c>
      <c r="N297">
        <v>5.49</v>
      </c>
    </row>
    <row r="298" spans="1:14" x14ac:dyDescent="0.25">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row>
    <row r="299" spans="1:14" x14ac:dyDescent="0.25">
      <c r="A299" s="1">
        <v>45431</v>
      </c>
      <c r="B299" t="s">
        <v>18</v>
      </c>
      <c r="C299" t="s">
        <v>24</v>
      </c>
      <c r="D299" t="s">
        <v>25</v>
      </c>
      <c r="E299" t="s">
        <v>31</v>
      </c>
      <c r="F299">
        <v>176946</v>
      </c>
      <c r="G299">
        <v>13784</v>
      </c>
      <c r="H299">
        <v>7.7899999999999997E-2</v>
      </c>
      <c r="I299">
        <v>0.86</v>
      </c>
      <c r="J299">
        <v>11854.24</v>
      </c>
      <c r="K299">
        <v>743</v>
      </c>
      <c r="L299">
        <v>15.95</v>
      </c>
      <c r="M299">
        <v>208986.19</v>
      </c>
      <c r="N299">
        <v>17.63</v>
      </c>
    </row>
    <row r="300" spans="1:14" x14ac:dyDescent="0.25">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row>
    <row r="301" spans="1:14" x14ac:dyDescent="0.25">
      <c r="A301" s="1">
        <v>45464</v>
      </c>
      <c r="B301" t="s">
        <v>28</v>
      </c>
      <c r="C301" t="s">
        <v>29</v>
      </c>
      <c r="D301" t="s">
        <v>19</v>
      </c>
      <c r="E301" t="s">
        <v>17</v>
      </c>
      <c r="F301">
        <v>150486</v>
      </c>
      <c r="G301">
        <v>6230</v>
      </c>
      <c r="H301">
        <v>4.1399999999999999E-2</v>
      </c>
      <c r="I301">
        <v>1.21</v>
      </c>
      <c r="J301">
        <v>7538.3</v>
      </c>
      <c r="K301">
        <v>243</v>
      </c>
      <c r="L301">
        <v>31.02</v>
      </c>
      <c r="M301">
        <v>55217.61</v>
      </c>
      <c r="N301">
        <v>7.32</v>
      </c>
    </row>
    <row r="302" spans="1:14" x14ac:dyDescent="0.25">
      <c r="A302" s="1">
        <v>45429</v>
      </c>
      <c r="B302" t="s">
        <v>14</v>
      </c>
      <c r="C302" t="s">
        <v>15</v>
      </c>
      <c r="D302" t="s">
        <v>30</v>
      </c>
      <c r="E302" t="s">
        <v>20</v>
      </c>
      <c r="F302">
        <v>88384</v>
      </c>
      <c r="G302">
        <v>3641</v>
      </c>
      <c r="H302">
        <v>4.1200000000000001E-2</v>
      </c>
      <c r="I302">
        <v>1.22</v>
      </c>
      <c r="J302">
        <v>4442.0200000000004</v>
      </c>
      <c r="K302">
        <v>89</v>
      </c>
      <c r="L302">
        <v>49.91</v>
      </c>
      <c r="M302">
        <v>4077.32</v>
      </c>
      <c r="N302">
        <v>0.92</v>
      </c>
    </row>
    <row r="303" spans="1:14" x14ac:dyDescent="0.25">
      <c r="A303" s="1">
        <v>45480</v>
      </c>
      <c r="B303" t="s">
        <v>28</v>
      </c>
      <c r="C303" t="s">
        <v>29</v>
      </c>
      <c r="D303" t="s">
        <v>25</v>
      </c>
      <c r="E303" t="s">
        <v>23</v>
      </c>
      <c r="F303">
        <v>74922</v>
      </c>
      <c r="G303">
        <v>1333</v>
      </c>
      <c r="H303">
        <v>1.78E-2</v>
      </c>
      <c r="I303">
        <v>1.32</v>
      </c>
      <c r="J303">
        <v>1759.56</v>
      </c>
      <c r="K303">
        <v>95</v>
      </c>
      <c r="L303">
        <v>18.52</v>
      </c>
      <c r="M303">
        <v>17171.740000000002</v>
      </c>
      <c r="N303">
        <v>9.76</v>
      </c>
    </row>
    <row r="304" spans="1:14" x14ac:dyDescent="0.25">
      <c r="A304" s="1">
        <v>45308</v>
      </c>
      <c r="B304" t="s">
        <v>18</v>
      </c>
      <c r="C304" t="s">
        <v>21</v>
      </c>
      <c r="D304" t="s">
        <v>19</v>
      </c>
      <c r="E304" t="s">
        <v>17</v>
      </c>
      <c r="F304">
        <v>188846</v>
      </c>
      <c r="G304">
        <v>12671</v>
      </c>
      <c r="H304">
        <v>6.7100000000000007E-2</v>
      </c>
      <c r="I304">
        <v>1.37</v>
      </c>
      <c r="J304">
        <v>17359.27</v>
      </c>
      <c r="K304">
        <v>821</v>
      </c>
      <c r="L304">
        <v>21.14</v>
      </c>
      <c r="M304">
        <v>86047.94</v>
      </c>
      <c r="N304">
        <v>4.96</v>
      </c>
    </row>
    <row r="305" spans="1:14" x14ac:dyDescent="0.25">
      <c r="A305" s="1">
        <v>45378</v>
      </c>
      <c r="B305" t="s">
        <v>18</v>
      </c>
      <c r="C305" t="s">
        <v>15</v>
      </c>
      <c r="D305" t="s">
        <v>25</v>
      </c>
      <c r="E305" t="s">
        <v>20</v>
      </c>
      <c r="F305">
        <v>10209</v>
      </c>
      <c r="G305">
        <v>314</v>
      </c>
      <c r="H305">
        <v>3.0800000000000001E-2</v>
      </c>
      <c r="I305">
        <v>1.79</v>
      </c>
      <c r="J305">
        <v>562.05999999999995</v>
      </c>
      <c r="K305">
        <v>13</v>
      </c>
      <c r="L305">
        <v>43.24</v>
      </c>
      <c r="M305">
        <v>3231.96</v>
      </c>
      <c r="N305">
        <v>5.75</v>
      </c>
    </row>
    <row r="306" spans="1:14" x14ac:dyDescent="0.25">
      <c r="A306" s="1">
        <v>45623</v>
      </c>
      <c r="B306" t="s">
        <v>18</v>
      </c>
      <c r="C306" t="s">
        <v>21</v>
      </c>
      <c r="D306" t="s">
        <v>30</v>
      </c>
      <c r="E306" t="s">
        <v>31</v>
      </c>
      <c r="F306">
        <v>31140</v>
      </c>
      <c r="G306">
        <v>1712</v>
      </c>
      <c r="H306">
        <v>5.5E-2</v>
      </c>
      <c r="I306">
        <v>1.34</v>
      </c>
      <c r="J306">
        <v>2294.08</v>
      </c>
      <c r="K306">
        <v>63</v>
      </c>
      <c r="L306">
        <v>36.409999999999997</v>
      </c>
      <c r="M306">
        <v>5569.82</v>
      </c>
      <c r="N306">
        <v>2.4300000000000002</v>
      </c>
    </row>
    <row r="307" spans="1:14" x14ac:dyDescent="0.25">
      <c r="A307" s="1">
        <v>45359</v>
      </c>
      <c r="B307" t="s">
        <v>28</v>
      </c>
      <c r="C307" t="s">
        <v>21</v>
      </c>
      <c r="D307" t="s">
        <v>25</v>
      </c>
      <c r="E307" t="s">
        <v>27</v>
      </c>
      <c r="F307">
        <v>46850</v>
      </c>
      <c r="G307">
        <v>983</v>
      </c>
      <c r="H307">
        <v>2.1000000000000001E-2</v>
      </c>
      <c r="I307">
        <v>1.58</v>
      </c>
      <c r="J307">
        <v>1553.14</v>
      </c>
      <c r="K307">
        <v>38</v>
      </c>
      <c r="L307">
        <v>40.869999999999997</v>
      </c>
      <c r="M307">
        <v>10968.52</v>
      </c>
      <c r="N307">
        <v>7.06</v>
      </c>
    </row>
    <row r="308" spans="1:14" x14ac:dyDescent="0.25">
      <c r="A308" s="1">
        <v>45410</v>
      </c>
      <c r="B308" t="s">
        <v>28</v>
      </c>
      <c r="C308" t="s">
        <v>24</v>
      </c>
      <c r="D308" t="s">
        <v>19</v>
      </c>
      <c r="E308" t="s">
        <v>27</v>
      </c>
      <c r="F308">
        <v>17720</v>
      </c>
      <c r="G308">
        <v>287</v>
      </c>
      <c r="H308">
        <v>1.6199999999999999E-2</v>
      </c>
      <c r="I308">
        <v>1.41</v>
      </c>
      <c r="J308">
        <v>404.67</v>
      </c>
      <c r="K308">
        <v>4</v>
      </c>
      <c r="L308">
        <v>101.17</v>
      </c>
      <c r="M308">
        <v>597.17999999999995</v>
      </c>
      <c r="N308">
        <v>1.48</v>
      </c>
    </row>
    <row r="309" spans="1:14" x14ac:dyDescent="0.25">
      <c r="A309" s="1">
        <v>45320</v>
      </c>
      <c r="B309" t="s">
        <v>14</v>
      </c>
      <c r="C309" t="s">
        <v>21</v>
      </c>
      <c r="D309" t="s">
        <v>25</v>
      </c>
      <c r="E309" t="s">
        <v>26</v>
      </c>
      <c r="F309">
        <v>16781</v>
      </c>
      <c r="G309">
        <v>684</v>
      </c>
      <c r="H309">
        <v>4.0800000000000003E-2</v>
      </c>
      <c r="I309">
        <v>1.3</v>
      </c>
      <c r="J309">
        <v>889.2</v>
      </c>
      <c r="K309">
        <v>8</v>
      </c>
      <c r="L309">
        <v>111.15</v>
      </c>
      <c r="M309">
        <v>1435.11</v>
      </c>
      <c r="N309">
        <v>1.61</v>
      </c>
    </row>
    <row r="310" spans="1:14" x14ac:dyDescent="0.25">
      <c r="A310" s="1">
        <v>45625</v>
      </c>
      <c r="B310" t="s">
        <v>28</v>
      </c>
      <c r="C310" t="s">
        <v>21</v>
      </c>
      <c r="D310" t="s">
        <v>30</v>
      </c>
      <c r="E310" t="s">
        <v>26</v>
      </c>
      <c r="F310">
        <v>61652</v>
      </c>
      <c r="G310">
        <v>2614</v>
      </c>
      <c r="H310">
        <v>4.24E-2</v>
      </c>
      <c r="I310">
        <v>1.28</v>
      </c>
      <c r="J310">
        <v>3345.92</v>
      </c>
      <c r="K310">
        <v>133</v>
      </c>
      <c r="L310">
        <v>25.16</v>
      </c>
      <c r="M310">
        <v>20303.14</v>
      </c>
      <c r="N310">
        <v>6.07</v>
      </c>
    </row>
    <row r="311" spans="1:14" x14ac:dyDescent="0.25">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row>
    <row r="312" spans="1:14" x14ac:dyDescent="0.25">
      <c r="A312" s="1">
        <v>45347</v>
      </c>
      <c r="B312" t="s">
        <v>14</v>
      </c>
      <c r="C312" t="s">
        <v>15</v>
      </c>
      <c r="D312" t="s">
        <v>19</v>
      </c>
      <c r="E312" t="s">
        <v>27</v>
      </c>
      <c r="F312">
        <v>100386</v>
      </c>
      <c r="G312">
        <v>5250</v>
      </c>
      <c r="H312">
        <v>5.2299999999999999E-2</v>
      </c>
      <c r="I312">
        <v>0.98</v>
      </c>
      <c r="J312">
        <v>5145</v>
      </c>
      <c r="K312">
        <v>254</v>
      </c>
      <c r="L312">
        <v>20.260000000000002</v>
      </c>
      <c r="M312">
        <v>73673.45</v>
      </c>
      <c r="N312">
        <v>14.32</v>
      </c>
    </row>
    <row r="313" spans="1:14" x14ac:dyDescent="0.25">
      <c r="A313" s="1">
        <v>45316</v>
      </c>
      <c r="B313" t="s">
        <v>14</v>
      </c>
      <c r="C313" t="s">
        <v>15</v>
      </c>
      <c r="D313" t="s">
        <v>22</v>
      </c>
      <c r="E313" t="s">
        <v>17</v>
      </c>
      <c r="F313">
        <v>50203</v>
      </c>
      <c r="G313">
        <v>1390</v>
      </c>
      <c r="H313">
        <v>2.7699999999999999E-2</v>
      </c>
      <c r="I313">
        <v>1.95</v>
      </c>
      <c r="J313">
        <v>2710.5</v>
      </c>
      <c r="K313">
        <v>47</v>
      </c>
      <c r="L313">
        <v>57.67</v>
      </c>
      <c r="M313">
        <v>11338.98</v>
      </c>
      <c r="N313">
        <v>4.18</v>
      </c>
    </row>
    <row r="314" spans="1:14" x14ac:dyDescent="0.25">
      <c r="A314" s="1">
        <v>45305</v>
      </c>
      <c r="B314" t="s">
        <v>18</v>
      </c>
      <c r="C314" t="s">
        <v>15</v>
      </c>
      <c r="D314" t="s">
        <v>25</v>
      </c>
      <c r="E314" t="s">
        <v>31</v>
      </c>
      <c r="F314">
        <v>85428</v>
      </c>
      <c r="G314">
        <v>5134</v>
      </c>
      <c r="H314">
        <v>6.0100000000000001E-2</v>
      </c>
      <c r="I314">
        <v>0.86</v>
      </c>
      <c r="J314">
        <v>4415.24</v>
      </c>
      <c r="K314">
        <v>202</v>
      </c>
      <c r="L314">
        <v>21.86</v>
      </c>
      <c r="M314">
        <v>37603.74</v>
      </c>
      <c r="N314">
        <v>8.52</v>
      </c>
    </row>
    <row r="315" spans="1:14" x14ac:dyDescent="0.25">
      <c r="A315" s="1">
        <v>45417</v>
      </c>
      <c r="B315" t="s">
        <v>18</v>
      </c>
      <c r="C315" t="s">
        <v>21</v>
      </c>
      <c r="D315" t="s">
        <v>19</v>
      </c>
      <c r="E315" t="s">
        <v>17</v>
      </c>
      <c r="F315">
        <v>192428</v>
      </c>
      <c r="G315">
        <v>9967</v>
      </c>
      <c r="H315">
        <v>5.1799999999999999E-2</v>
      </c>
      <c r="I315">
        <v>1.6</v>
      </c>
      <c r="J315">
        <v>15947.2</v>
      </c>
      <c r="K315">
        <v>570</v>
      </c>
      <c r="L315">
        <v>27.98</v>
      </c>
      <c r="M315">
        <v>78044.55</v>
      </c>
      <c r="N315">
        <v>4.8899999999999997</v>
      </c>
    </row>
    <row r="316" spans="1:14" x14ac:dyDescent="0.25">
      <c r="A316" s="1">
        <v>45523</v>
      </c>
      <c r="B316" t="s">
        <v>14</v>
      </c>
      <c r="C316" t="s">
        <v>24</v>
      </c>
      <c r="D316" t="s">
        <v>22</v>
      </c>
      <c r="E316" t="s">
        <v>20</v>
      </c>
      <c r="F316">
        <v>33756</v>
      </c>
      <c r="G316">
        <v>2150</v>
      </c>
      <c r="H316">
        <v>6.3700000000000007E-2</v>
      </c>
      <c r="I316">
        <v>2.17</v>
      </c>
      <c r="J316">
        <v>4665.5</v>
      </c>
      <c r="K316">
        <v>108</v>
      </c>
      <c r="L316">
        <v>43.2</v>
      </c>
      <c r="M316">
        <v>7948.11</v>
      </c>
      <c r="N316">
        <v>1.7</v>
      </c>
    </row>
    <row r="317" spans="1:14" x14ac:dyDescent="0.25">
      <c r="A317" s="1">
        <v>45379</v>
      </c>
      <c r="B317" t="s">
        <v>28</v>
      </c>
      <c r="C317" t="s">
        <v>21</v>
      </c>
      <c r="D317" t="s">
        <v>16</v>
      </c>
      <c r="E317" t="s">
        <v>17</v>
      </c>
      <c r="F317">
        <v>103162</v>
      </c>
      <c r="G317">
        <v>1485</v>
      </c>
      <c r="H317">
        <v>1.44E-2</v>
      </c>
      <c r="I317">
        <v>0.97</v>
      </c>
      <c r="J317">
        <v>1440.45</v>
      </c>
      <c r="K317">
        <v>35</v>
      </c>
      <c r="L317">
        <v>41.16</v>
      </c>
      <c r="M317">
        <v>5899.5</v>
      </c>
      <c r="N317">
        <v>4.0999999999999996</v>
      </c>
    </row>
    <row r="318" spans="1:14" x14ac:dyDescent="0.25">
      <c r="A318" s="1">
        <v>45537</v>
      </c>
      <c r="B318" t="s">
        <v>14</v>
      </c>
      <c r="C318" t="s">
        <v>15</v>
      </c>
      <c r="D318" t="s">
        <v>19</v>
      </c>
      <c r="E318" t="s">
        <v>17</v>
      </c>
      <c r="F318">
        <v>142844</v>
      </c>
      <c r="G318">
        <v>2971</v>
      </c>
      <c r="H318">
        <v>2.0799999999999999E-2</v>
      </c>
      <c r="I318">
        <v>1.69</v>
      </c>
      <c r="J318">
        <v>5020.99</v>
      </c>
      <c r="K318">
        <v>95</v>
      </c>
      <c r="L318">
        <v>52.85</v>
      </c>
      <c r="M318">
        <v>5534.94</v>
      </c>
      <c r="N318">
        <v>1.1000000000000001</v>
      </c>
    </row>
    <row r="319" spans="1:14" x14ac:dyDescent="0.25">
      <c r="A319" s="1">
        <v>45443</v>
      </c>
      <c r="B319" t="s">
        <v>14</v>
      </c>
      <c r="C319" t="s">
        <v>15</v>
      </c>
      <c r="D319" t="s">
        <v>16</v>
      </c>
      <c r="E319" t="s">
        <v>23</v>
      </c>
      <c r="F319">
        <v>50201</v>
      </c>
      <c r="G319">
        <v>2198</v>
      </c>
      <c r="H319">
        <v>4.3799999999999999E-2</v>
      </c>
      <c r="I319">
        <v>2.25</v>
      </c>
      <c r="J319">
        <v>4945.5</v>
      </c>
      <c r="K319">
        <v>112</v>
      </c>
      <c r="L319">
        <v>44.16</v>
      </c>
      <c r="M319">
        <v>12918.19</v>
      </c>
      <c r="N319">
        <v>2.61</v>
      </c>
    </row>
    <row r="320" spans="1:14" x14ac:dyDescent="0.25">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row>
    <row r="321" spans="1:14" x14ac:dyDescent="0.25">
      <c r="A321" s="1">
        <v>45578</v>
      </c>
      <c r="B321" t="s">
        <v>28</v>
      </c>
      <c r="C321" t="s">
        <v>24</v>
      </c>
      <c r="D321" t="s">
        <v>16</v>
      </c>
      <c r="E321" t="s">
        <v>32</v>
      </c>
      <c r="F321">
        <v>71537</v>
      </c>
      <c r="G321">
        <v>1809</v>
      </c>
      <c r="H321">
        <v>2.53E-2</v>
      </c>
      <c r="I321">
        <v>1.65</v>
      </c>
      <c r="J321">
        <v>2984.85</v>
      </c>
      <c r="K321">
        <v>57</v>
      </c>
      <c r="L321">
        <v>52.37</v>
      </c>
      <c r="M321">
        <v>6227.5</v>
      </c>
      <c r="N321">
        <v>2.09</v>
      </c>
    </row>
    <row r="322" spans="1:14" x14ac:dyDescent="0.25">
      <c r="A322" s="1">
        <v>45599</v>
      </c>
      <c r="B322" t="s">
        <v>14</v>
      </c>
      <c r="C322" t="s">
        <v>21</v>
      </c>
      <c r="D322" t="s">
        <v>16</v>
      </c>
      <c r="E322" t="s">
        <v>23</v>
      </c>
      <c r="F322">
        <v>198604</v>
      </c>
      <c r="G322">
        <v>8162</v>
      </c>
      <c r="H322">
        <v>4.1099999999999998E-2</v>
      </c>
      <c r="I322">
        <v>3.1</v>
      </c>
      <c r="J322">
        <v>25302.2</v>
      </c>
      <c r="K322">
        <v>584</v>
      </c>
      <c r="L322">
        <v>43.33</v>
      </c>
      <c r="M322">
        <v>25281.15</v>
      </c>
      <c r="N322">
        <v>1</v>
      </c>
    </row>
    <row r="323" spans="1:14" x14ac:dyDescent="0.25">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row>
    <row r="324" spans="1:14" x14ac:dyDescent="0.25">
      <c r="A324" s="1">
        <v>45448</v>
      </c>
      <c r="B324" t="s">
        <v>18</v>
      </c>
      <c r="C324" t="s">
        <v>21</v>
      </c>
      <c r="D324" t="s">
        <v>22</v>
      </c>
      <c r="E324" t="s">
        <v>32</v>
      </c>
      <c r="F324">
        <v>180309</v>
      </c>
      <c r="G324">
        <v>5823</v>
      </c>
      <c r="H324">
        <v>3.2300000000000002E-2</v>
      </c>
      <c r="I324">
        <v>0.65</v>
      </c>
      <c r="J324">
        <v>3784.95</v>
      </c>
      <c r="K324">
        <v>232</v>
      </c>
      <c r="L324">
        <v>16.309999999999999</v>
      </c>
      <c r="M324">
        <v>46549.68</v>
      </c>
      <c r="N324">
        <v>12.3</v>
      </c>
    </row>
    <row r="325" spans="1:14" x14ac:dyDescent="0.25">
      <c r="A325" s="1">
        <v>45373</v>
      </c>
      <c r="B325" t="s">
        <v>28</v>
      </c>
      <c r="C325" t="s">
        <v>21</v>
      </c>
      <c r="D325" t="s">
        <v>25</v>
      </c>
      <c r="E325" t="s">
        <v>27</v>
      </c>
      <c r="F325">
        <v>168402</v>
      </c>
      <c r="G325">
        <v>5237</v>
      </c>
      <c r="H325">
        <v>3.1099999999999999E-2</v>
      </c>
      <c r="I325">
        <v>0.85</v>
      </c>
      <c r="J325">
        <v>4451.45</v>
      </c>
      <c r="K325">
        <v>188</v>
      </c>
      <c r="L325">
        <v>23.68</v>
      </c>
      <c r="M325">
        <v>43774.92</v>
      </c>
      <c r="N325">
        <v>9.83</v>
      </c>
    </row>
    <row r="326" spans="1:14" x14ac:dyDescent="0.25">
      <c r="A326" s="1">
        <v>45649</v>
      </c>
      <c r="B326" t="s">
        <v>18</v>
      </c>
      <c r="C326" t="s">
        <v>21</v>
      </c>
      <c r="D326" t="s">
        <v>30</v>
      </c>
      <c r="E326" t="s">
        <v>27</v>
      </c>
      <c r="F326">
        <v>125419</v>
      </c>
      <c r="G326">
        <v>4126</v>
      </c>
      <c r="H326">
        <v>3.2899999999999999E-2</v>
      </c>
      <c r="I326">
        <v>0.85</v>
      </c>
      <c r="J326">
        <v>3507.1</v>
      </c>
      <c r="K326">
        <v>294</v>
      </c>
      <c r="L326">
        <v>11.93</v>
      </c>
      <c r="M326">
        <v>32829.78</v>
      </c>
      <c r="N326">
        <v>9.36</v>
      </c>
    </row>
    <row r="327" spans="1:14" x14ac:dyDescent="0.25">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row>
    <row r="328" spans="1:14" x14ac:dyDescent="0.25">
      <c r="A328" s="1">
        <v>45467</v>
      </c>
      <c r="B328" t="s">
        <v>14</v>
      </c>
      <c r="C328" t="s">
        <v>15</v>
      </c>
      <c r="D328" t="s">
        <v>16</v>
      </c>
      <c r="E328" t="s">
        <v>20</v>
      </c>
      <c r="F328">
        <v>117660</v>
      </c>
      <c r="G328">
        <v>6388</v>
      </c>
      <c r="H328">
        <v>5.4300000000000001E-2</v>
      </c>
      <c r="I328">
        <v>1.81</v>
      </c>
      <c r="J328">
        <v>11562.28</v>
      </c>
      <c r="K328">
        <v>331</v>
      </c>
      <c r="L328">
        <v>34.93</v>
      </c>
      <c r="M328">
        <v>17255.28</v>
      </c>
      <c r="N328">
        <v>1.49</v>
      </c>
    </row>
    <row r="329" spans="1:14" x14ac:dyDescent="0.25">
      <c r="A329" s="1">
        <v>45537</v>
      </c>
      <c r="B329" t="s">
        <v>28</v>
      </c>
      <c r="C329" t="s">
        <v>21</v>
      </c>
      <c r="D329" t="s">
        <v>16</v>
      </c>
      <c r="E329" t="s">
        <v>27</v>
      </c>
      <c r="F329">
        <v>76916</v>
      </c>
      <c r="G329">
        <v>2761</v>
      </c>
      <c r="H329">
        <v>3.5900000000000001E-2</v>
      </c>
      <c r="I329">
        <v>0.71</v>
      </c>
      <c r="J329">
        <v>1960.31</v>
      </c>
      <c r="K329">
        <v>64</v>
      </c>
      <c r="L329">
        <v>30.63</v>
      </c>
      <c r="M329">
        <v>14368.24</v>
      </c>
      <c r="N329">
        <v>7.33</v>
      </c>
    </row>
    <row r="330" spans="1:14" x14ac:dyDescent="0.25">
      <c r="A330" s="1">
        <v>45339</v>
      </c>
      <c r="B330" t="s">
        <v>28</v>
      </c>
      <c r="C330" t="s">
        <v>21</v>
      </c>
      <c r="D330" t="s">
        <v>30</v>
      </c>
      <c r="E330" t="s">
        <v>27</v>
      </c>
      <c r="F330">
        <v>150631</v>
      </c>
      <c r="G330">
        <v>5648</v>
      </c>
      <c r="H330">
        <v>3.7499999999999999E-2</v>
      </c>
      <c r="I330">
        <v>1.94</v>
      </c>
      <c r="J330">
        <v>10957.12</v>
      </c>
      <c r="K330">
        <v>111</v>
      </c>
      <c r="L330">
        <v>98.71</v>
      </c>
      <c r="M330">
        <v>21671.9</v>
      </c>
      <c r="N330">
        <v>1.98</v>
      </c>
    </row>
    <row r="331" spans="1:14" x14ac:dyDescent="0.25">
      <c r="A331" s="1">
        <v>45341</v>
      </c>
      <c r="B331" t="s">
        <v>14</v>
      </c>
      <c r="C331" t="s">
        <v>29</v>
      </c>
      <c r="D331" t="s">
        <v>16</v>
      </c>
      <c r="E331" t="s">
        <v>32</v>
      </c>
      <c r="F331">
        <v>126635</v>
      </c>
      <c r="G331">
        <v>4254</v>
      </c>
      <c r="H331">
        <v>3.3599999999999998E-2</v>
      </c>
      <c r="I331">
        <v>1.33</v>
      </c>
      <c r="J331">
        <v>5657.82</v>
      </c>
      <c r="K331">
        <v>313</v>
      </c>
      <c r="L331">
        <v>18.079999999999998</v>
      </c>
      <c r="M331">
        <v>28110.42</v>
      </c>
      <c r="N331">
        <v>4.97</v>
      </c>
    </row>
    <row r="332" spans="1:14" x14ac:dyDescent="0.25">
      <c r="A332" s="1">
        <v>45640</v>
      </c>
      <c r="B332" t="s">
        <v>14</v>
      </c>
      <c r="C332" t="s">
        <v>21</v>
      </c>
      <c r="D332" t="s">
        <v>19</v>
      </c>
      <c r="E332" t="s">
        <v>31</v>
      </c>
      <c r="F332">
        <v>159721</v>
      </c>
      <c r="G332">
        <v>3625</v>
      </c>
      <c r="H332">
        <v>2.2700000000000001E-2</v>
      </c>
      <c r="I332">
        <v>1.91</v>
      </c>
      <c r="J332">
        <v>6923.75</v>
      </c>
      <c r="K332">
        <v>150</v>
      </c>
      <c r="L332">
        <v>46.16</v>
      </c>
      <c r="M332">
        <v>39701.58</v>
      </c>
      <c r="N332">
        <v>5.73</v>
      </c>
    </row>
    <row r="333" spans="1:14" x14ac:dyDescent="0.25">
      <c r="A333" s="1">
        <v>45536</v>
      </c>
      <c r="B333" t="s">
        <v>28</v>
      </c>
      <c r="C333" t="s">
        <v>24</v>
      </c>
      <c r="D333" t="s">
        <v>22</v>
      </c>
      <c r="E333" t="s">
        <v>17</v>
      </c>
      <c r="F333">
        <v>150698</v>
      </c>
      <c r="G333">
        <v>4581</v>
      </c>
      <c r="H333">
        <v>3.04E-2</v>
      </c>
      <c r="I333">
        <v>0.51</v>
      </c>
      <c r="J333">
        <v>2336.31</v>
      </c>
      <c r="K333">
        <v>285</v>
      </c>
      <c r="L333">
        <v>8.1999999999999993</v>
      </c>
      <c r="M333">
        <v>32525.45</v>
      </c>
      <c r="N333">
        <v>13.92</v>
      </c>
    </row>
    <row r="334" spans="1:14" x14ac:dyDescent="0.25">
      <c r="A334" s="1">
        <v>45396</v>
      </c>
      <c r="B334" t="s">
        <v>18</v>
      </c>
      <c r="C334" t="s">
        <v>15</v>
      </c>
      <c r="D334" t="s">
        <v>19</v>
      </c>
      <c r="E334" t="s">
        <v>27</v>
      </c>
      <c r="F334">
        <v>98348</v>
      </c>
      <c r="G334">
        <v>3225</v>
      </c>
      <c r="H334">
        <v>3.2800000000000003E-2</v>
      </c>
      <c r="I334">
        <v>1.27</v>
      </c>
      <c r="J334">
        <v>4095.75</v>
      </c>
      <c r="K334">
        <v>59</v>
      </c>
      <c r="L334">
        <v>69.42</v>
      </c>
      <c r="M334">
        <v>2846.94</v>
      </c>
      <c r="N334">
        <v>0.7</v>
      </c>
    </row>
    <row r="335" spans="1:14" x14ac:dyDescent="0.25">
      <c r="A335" s="1">
        <v>45507</v>
      </c>
      <c r="B335" t="s">
        <v>28</v>
      </c>
      <c r="C335" t="s">
        <v>15</v>
      </c>
      <c r="D335" t="s">
        <v>30</v>
      </c>
      <c r="E335" t="s">
        <v>23</v>
      </c>
      <c r="F335">
        <v>110603</v>
      </c>
      <c r="G335">
        <v>2377</v>
      </c>
      <c r="H335">
        <v>2.1499999999999998E-2</v>
      </c>
      <c r="I335">
        <v>0.69</v>
      </c>
      <c r="J335">
        <v>1640.13</v>
      </c>
      <c r="K335">
        <v>62</v>
      </c>
      <c r="L335">
        <v>26.45</v>
      </c>
      <c r="M335">
        <v>2761.12</v>
      </c>
      <c r="N335">
        <v>1.68</v>
      </c>
    </row>
    <row r="336" spans="1:14" x14ac:dyDescent="0.25">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row>
    <row r="337" spans="1:14" x14ac:dyDescent="0.25">
      <c r="A337" s="1">
        <v>45359</v>
      </c>
      <c r="B337" t="s">
        <v>18</v>
      </c>
      <c r="C337" t="s">
        <v>24</v>
      </c>
      <c r="D337" t="s">
        <v>25</v>
      </c>
      <c r="E337" t="s">
        <v>23</v>
      </c>
      <c r="F337">
        <v>44405</v>
      </c>
      <c r="G337">
        <v>1953</v>
      </c>
      <c r="H337">
        <v>4.3999999999999997E-2</v>
      </c>
      <c r="I337">
        <v>1.53</v>
      </c>
      <c r="J337">
        <v>2988.09</v>
      </c>
      <c r="K337">
        <v>22</v>
      </c>
      <c r="L337">
        <v>135.82</v>
      </c>
      <c r="M337">
        <v>6030.56</v>
      </c>
      <c r="N337">
        <v>2.02</v>
      </c>
    </row>
    <row r="338" spans="1:14" x14ac:dyDescent="0.25">
      <c r="A338" s="1">
        <v>45532</v>
      </c>
      <c r="B338" t="s">
        <v>14</v>
      </c>
      <c r="C338" t="s">
        <v>24</v>
      </c>
      <c r="D338" t="s">
        <v>30</v>
      </c>
      <c r="E338" t="s">
        <v>31</v>
      </c>
      <c r="F338">
        <v>49462</v>
      </c>
      <c r="G338">
        <v>1206</v>
      </c>
      <c r="H338">
        <v>2.4400000000000002E-2</v>
      </c>
      <c r="I338">
        <v>1.95</v>
      </c>
      <c r="J338">
        <v>2351.6999999999998</v>
      </c>
      <c r="K338">
        <v>74</v>
      </c>
      <c r="L338">
        <v>31.78</v>
      </c>
      <c r="M338">
        <v>12950.09</v>
      </c>
      <c r="N338">
        <v>5.51</v>
      </c>
    </row>
    <row r="339" spans="1:14" x14ac:dyDescent="0.25">
      <c r="A339" s="1">
        <v>45413</v>
      </c>
      <c r="B339" t="s">
        <v>18</v>
      </c>
      <c r="C339" t="s">
        <v>29</v>
      </c>
      <c r="D339" t="s">
        <v>25</v>
      </c>
      <c r="E339" t="s">
        <v>32</v>
      </c>
      <c r="F339">
        <v>140440</v>
      </c>
      <c r="G339">
        <v>11825</v>
      </c>
      <c r="H339">
        <v>8.4199999999999997E-2</v>
      </c>
      <c r="I339">
        <v>0.68</v>
      </c>
      <c r="J339">
        <v>8041</v>
      </c>
      <c r="K339">
        <v>748</v>
      </c>
      <c r="L339">
        <v>10.75</v>
      </c>
      <c r="M339">
        <v>31071.69</v>
      </c>
      <c r="N339">
        <v>3.86</v>
      </c>
    </row>
    <row r="340" spans="1:14" x14ac:dyDescent="0.25">
      <c r="A340" s="1">
        <v>45470</v>
      </c>
      <c r="B340" t="s">
        <v>18</v>
      </c>
      <c r="C340" t="s">
        <v>29</v>
      </c>
      <c r="D340" t="s">
        <v>22</v>
      </c>
      <c r="E340" t="s">
        <v>23</v>
      </c>
      <c r="F340">
        <v>112392</v>
      </c>
      <c r="G340">
        <v>4934</v>
      </c>
      <c r="H340">
        <v>4.3900000000000002E-2</v>
      </c>
      <c r="I340">
        <v>1.64</v>
      </c>
      <c r="J340">
        <v>8091.76</v>
      </c>
      <c r="K340">
        <v>363</v>
      </c>
      <c r="L340">
        <v>22.29</v>
      </c>
      <c r="M340">
        <v>91221.43</v>
      </c>
      <c r="N340">
        <v>11.27</v>
      </c>
    </row>
    <row r="341" spans="1:14" x14ac:dyDescent="0.25">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row>
    <row r="342" spans="1:14" x14ac:dyDescent="0.25">
      <c r="A342" s="1">
        <v>45489</v>
      </c>
      <c r="B342" t="s">
        <v>28</v>
      </c>
      <c r="C342" t="s">
        <v>15</v>
      </c>
      <c r="D342" t="s">
        <v>22</v>
      </c>
      <c r="E342" t="s">
        <v>20</v>
      </c>
      <c r="F342">
        <v>167002</v>
      </c>
      <c r="G342">
        <v>3406</v>
      </c>
      <c r="H342">
        <v>2.0400000000000001E-2</v>
      </c>
      <c r="I342">
        <v>1.83</v>
      </c>
      <c r="J342">
        <v>6232.98</v>
      </c>
      <c r="K342">
        <v>76</v>
      </c>
      <c r="L342">
        <v>82.01</v>
      </c>
      <c r="M342">
        <v>10328.31</v>
      </c>
      <c r="N342">
        <v>1.66</v>
      </c>
    </row>
    <row r="343" spans="1:14" x14ac:dyDescent="0.25">
      <c r="A343" s="1">
        <v>45388</v>
      </c>
      <c r="B343" t="s">
        <v>18</v>
      </c>
      <c r="C343" t="s">
        <v>15</v>
      </c>
      <c r="D343" t="s">
        <v>25</v>
      </c>
      <c r="E343" t="s">
        <v>32</v>
      </c>
      <c r="F343">
        <v>108247</v>
      </c>
      <c r="G343">
        <v>6971</v>
      </c>
      <c r="H343">
        <v>6.4399999999999999E-2</v>
      </c>
      <c r="I343">
        <v>0.59</v>
      </c>
      <c r="J343">
        <v>4112.8900000000003</v>
      </c>
      <c r="K343">
        <v>517</v>
      </c>
      <c r="L343">
        <v>7.96</v>
      </c>
      <c r="M343">
        <v>139391.79</v>
      </c>
      <c r="N343">
        <v>33.89</v>
      </c>
    </row>
    <row r="344" spans="1:14" x14ac:dyDescent="0.25">
      <c r="A344" s="1">
        <v>45396</v>
      </c>
      <c r="B344" t="s">
        <v>28</v>
      </c>
      <c r="C344" t="s">
        <v>29</v>
      </c>
      <c r="D344" t="s">
        <v>16</v>
      </c>
      <c r="E344" t="s">
        <v>32</v>
      </c>
      <c r="F344">
        <v>53128</v>
      </c>
      <c r="G344">
        <v>1678</v>
      </c>
      <c r="H344">
        <v>3.1600000000000003E-2</v>
      </c>
      <c r="I344">
        <v>1.51</v>
      </c>
      <c r="J344">
        <v>2533.7800000000002</v>
      </c>
      <c r="K344">
        <v>66</v>
      </c>
      <c r="L344">
        <v>38.39</v>
      </c>
      <c r="M344">
        <v>19225.18</v>
      </c>
      <c r="N344">
        <v>7.59</v>
      </c>
    </row>
    <row r="345" spans="1:14" x14ac:dyDescent="0.25">
      <c r="A345" s="1">
        <v>45323</v>
      </c>
      <c r="B345" t="s">
        <v>28</v>
      </c>
      <c r="C345" t="s">
        <v>21</v>
      </c>
      <c r="D345" t="s">
        <v>19</v>
      </c>
      <c r="E345" t="s">
        <v>23</v>
      </c>
      <c r="F345">
        <v>65942</v>
      </c>
      <c r="G345">
        <v>2044</v>
      </c>
      <c r="H345">
        <v>3.1E-2</v>
      </c>
      <c r="I345">
        <v>1.05</v>
      </c>
      <c r="J345">
        <v>2146.1999999999998</v>
      </c>
      <c r="K345">
        <v>48</v>
      </c>
      <c r="L345">
        <v>44.71</v>
      </c>
      <c r="M345">
        <v>6784.27</v>
      </c>
      <c r="N345">
        <v>3.16</v>
      </c>
    </row>
    <row r="346" spans="1:14" x14ac:dyDescent="0.25">
      <c r="A346" s="1">
        <v>45365</v>
      </c>
      <c r="B346" t="s">
        <v>14</v>
      </c>
      <c r="C346" t="s">
        <v>29</v>
      </c>
      <c r="D346" t="s">
        <v>30</v>
      </c>
      <c r="E346" t="s">
        <v>27</v>
      </c>
      <c r="F346">
        <v>32160</v>
      </c>
      <c r="G346">
        <v>1186</v>
      </c>
      <c r="H346">
        <v>3.6900000000000002E-2</v>
      </c>
      <c r="I346">
        <v>1.34</v>
      </c>
      <c r="J346">
        <v>1589.24</v>
      </c>
      <c r="K346">
        <v>12</v>
      </c>
      <c r="L346">
        <v>132.44</v>
      </c>
      <c r="M346">
        <v>1927.71</v>
      </c>
      <c r="N346">
        <v>1.21</v>
      </c>
    </row>
    <row r="347" spans="1:14" x14ac:dyDescent="0.25">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row>
    <row r="348" spans="1:14" x14ac:dyDescent="0.25">
      <c r="A348" s="1">
        <v>45448</v>
      </c>
      <c r="B348" t="s">
        <v>28</v>
      </c>
      <c r="C348" t="s">
        <v>15</v>
      </c>
      <c r="D348" t="s">
        <v>30</v>
      </c>
      <c r="E348" t="s">
        <v>31</v>
      </c>
      <c r="F348">
        <v>79462</v>
      </c>
      <c r="G348">
        <v>2058</v>
      </c>
      <c r="H348">
        <v>2.5899999999999999E-2</v>
      </c>
      <c r="I348">
        <v>0.88</v>
      </c>
      <c r="J348">
        <v>1811.04</v>
      </c>
      <c r="K348">
        <v>146</v>
      </c>
      <c r="L348">
        <v>12.4</v>
      </c>
      <c r="M348">
        <v>7813.85</v>
      </c>
      <c r="N348">
        <v>4.3099999999999996</v>
      </c>
    </row>
    <row r="349" spans="1:14" x14ac:dyDescent="0.25">
      <c r="A349" s="1">
        <v>45383</v>
      </c>
      <c r="B349" t="s">
        <v>28</v>
      </c>
      <c r="C349" t="s">
        <v>29</v>
      </c>
      <c r="D349" t="s">
        <v>25</v>
      </c>
      <c r="E349" t="s">
        <v>31</v>
      </c>
      <c r="F349">
        <v>151864</v>
      </c>
      <c r="G349">
        <v>4358</v>
      </c>
      <c r="H349">
        <v>2.87E-2</v>
      </c>
      <c r="I349">
        <v>1.69</v>
      </c>
      <c r="J349">
        <v>7365.02</v>
      </c>
      <c r="K349">
        <v>175</v>
      </c>
      <c r="L349">
        <v>42.09</v>
      </c>
      <c r="M349">
        <v>45340.29</v>
      </c>
      <c r="N349">
        <v>6.16</v>
      </c>
    </row>
    <row r="350" spans="1:14" x14ac:dyDescent="0.25">
      <c r="A350" s="1">
        <v>45409</v>
      </c>
      <c r="B350" t="s">
        <v>14</v>
      </c>
      <c r="C350" t="s">
        <v>24</v>
      </c>
      <c r="D350" t="s">
        <v>19</v>
      </c>
      <c r="E350" t="s">
        <v>17</v>
      </c>
      <c r="F350">
        <v>182926</v>
      </c>
      <c r="G350">
        <v>6749</v>
      </c>
      <c r="H350">
        <v>3.6900000000000002E-2</v>
      </c>
      <c r="I350">
        <v>1.94</v>
      </c>
      <c r="J350">
        <v>13093.06</v>
      </c>
      <c r="K350">
        <v>343</v>
      </c>
      <c r="L350">
        <v>38.17</v>
      </c>
      <c r="M350">
        <v>53279.93</v>
      </c>
      <c r="N350">
        <v>4.07</v>
      </c>
    </row>
    <row r="351" spans="1:14" x14ac:dyDescent="0.25">
      <c r="A351" s="1">
        <v>45590</v>
      </c>
      <c r="B351" t="s">
        <v>28</v>
      </c>
      <c r="C351" t="s">
        <v>24</v>
      </c>
      <c r="D351" t="s">
        <v>30</v>
      </c>
      <c r="E351" t="s">
        <v>31</v>
      </c>
      <c r="F351">
        <v>107489</v>
      </c>
      <c r="G351">
        <v>2515</v>
      </c>
      <c r="H351">
        <v>2.3400000000000001E-2</v>
      </c>
      <c r="I351">
        <v>1.4</v>
      </c>
      <c r="J351">
        <v>3521</v>
      </c>
      <c r="K351">
        <v>166</v>
      </c>
      <c r="L351">
        <v>21.21</v>
      </c>
      <c r="M351">
        <v>18411.150000000001</v>
      </c>
      <c r="N351">
        <v>5.23</v>
      </c>
    </row>
    <row r="352" spans="1:14" x14ac:dyDescent="0.25">
      <c r="A352" s="1">
        <v>45507</v>
      </c>
      <c r="B352" t="s">
        <v>18</v>
      </c>
      <c r="C352" t="s">
        <v>15</v>
      </c>
      <c r="D352" t="s">
        <v>22</v>
      </c>
      <c r="E352" t="s">
        <v>31</v>
      </c>
      <c r="F352">
        <v>40709</v>
      </c>
      <c r="G352">
        <v>1314</v>
      </c>
      <c r="H352">
        <v>3.2300000000000002E-2</v>
      </c>
      <c r="I352">
        <v>0.7</v>
      </c>
      <c r="J352">
        <v>919.8</v>
      </c>
      <c r="K352">
        <v>90</v>
      </c>
      <c r="L352">
        <v>10.220000000000001</v>
      </c>
      <c r="M352">
        <v>16081.05</v>
      </c>
      <c r="N352">
        <v>17.48</v>
      </c>
    </row>
    <row r="353" spans="1:14" x14ac:dyDescent="0.25">
      <c r="A353" s="1">
        <v>45559</v>
      </c>
      <c r="B353" t="s">
        <v>14</v>
      </c>
      <c r="C353" t="s">
        <v>21</v>
      </c>
      <c r="D353" t="s">
        <v>16</v>
      </c>
      <c r="E353" t="s">
        <v>32</v>
      </c>
      <c r="F353">
        <v>143561</v>
      </c>
      <c r="G353">
        <v>9144</v>
      </c>
      <c r="H353">
        <v>6.3700000000000007E-2</v>
      </c>
      <c r="I353">
        <v>1.93</v>
      </c>
      <c r="J353">
        <v>17647.919999999998</v>
      </c>
      <c r="K353">
        <v>630</v>
      </c>
      <c r="L353">
        <v>28.01</v>
      </c>
      <c r="M353">
        <v>123364.05</v>
      </c>
      <c r="N353">
        <v>6.99</v>
      </c>
    </row>
    <row r="354" spans="1:14" x14ac:dyDescent="0.25">
      <c r="A354" s="1">
        <v>45375</v>
      </c>
      <c r="B354" t="s">
        <v>14</v>
      </c>
      <c r="C354" t="s">
        <v>24</v>
      </c>
      <c r="D354" t="s">
        <v>16</v>
      </c>
      <c r="E354" t="s">
        <v>31</v>
      </c>
      <c r="F354">
        <v>94242</v>
      </c>
      <c r="G354">
        <v>5466</v>
      </c>
      <c r="H354">
        <v>5.8000000000000003E-2</v>
      </c>
      <c r="I354">
        <v>1.67</v>
      </c>
      <c r="J354">
        <v>9128.2199999999993</v>
      </c>
      <c r="K354">
        <v>100</v>
      </c>
      <c r="L354">
        <v>91.28</v>
      </c>
      <c r="M354">
        <v>6794.77</v>
      </c>
      <c r="N354">
        <v>0.74</v>
      </c>
    </row>
    <row r="355" spans="1:14" x14ac:dyDescent="0.25">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row>
    <row r="356" spans="1:14" x14ac:dyDescent="0.25">
      <c r="A356" s="1">
        <v>45559</v>
      </c>
      <c r="B356" t="s">
        <v>18</v>
      </c>
      <c r="C356" t="s">
        <v>21</v>
      </c>
      <c r="D356" t="s">
        <v>16</v>
      </c>
      <c r="E356" t="s">
        <v>23</v>
      </c>
      <c r="F356">
        <v>130865</v>
      </c>
      <c r="G356">
        <v>9461</v>
      </c>
      <c r="H356">
        <v>7.2300000000000003E-2</v>
      </c>
      <c r="I356">
        <v>1.48</v>
      </c>
      <c r="J356">
        <v>14002.28</v>
      </c>
      <c r="K356">
        <v>221</v>
      </c>
      <c r="L356">
        <v>63.36</v>
      </c>
      <c r="M356">
        <v>46411.13</v>
      </c>
      <c r="N356">
        <v>3.31</v>
      </c>
    </row>
    <row r="357" spans="1:14" x14ac:dyDescent="0.25">
      <c r="A357" s="1">
        <v>45293</v>
      </c>
      <c r="B357" t="s">
        <v>28</v>
      </c>
      <c r="C357" t="s">
        <v>21</v>
      </c>
      <c r="D357" t="s">
        <v>19</v>
      </c>
      <c r="E357" t="s">
        <v>23</v>
      </c>
      <c r="F357">
        <v>138639</v>
      </c>
      <c r="G357">
        <v>2204</v>
      </c>
      <c r="H357">
        <v>1.5900000000000001E-2</v>
      </c>
      <c r="I357">
        <v>1.8</v>
      </c>
      <c r="J357">
        <v>3967.2</v>
      </c>
      <c r="K357">
        <v>154</v>
      </c>
      <c r="L357">
        <v>25.76</v>
      </c>
      <c r="M357">
        <v>35803.07</v>
      </c>
      <c r="N357">
        <v>9.02</v>
      </c>
    </row>
    <row r="358" spans="1:14" x14ac:dyDescent="0.25">
      <c r="A358" s="1">
        <v>45458</v>
      </c>
      <c r="B358" t="s">
        <v>18</v>
      </c>
      <c r="C358" t="s">
        <v>24</v>
      </c>
      <c r="D358" t="s">
        <v>25</v>
      </c>
      <c r="E358" t="s">
        <v>31</v>
      </c>
      <c r="F358">
        <v>147355</v>
      </c>
      <c r="G358">
        <v>7485</v>
      </c>
      <c r="H358">
        <v>5.0799999999999998E-2</v>
      </c>
      <c r="I358">
        <v>0.91</v>
      </c>
      <c r="J358">
        <v>6811.35</v>
      </c>
      <c r="K358">
        <v>81</v>
      </c>
      <c r="L358">
        <v>84.09</v>
      </c>
      <c r="M358">
        <v>14520.06</v>
      </c>
      <c r="N358">
        <v>2.13</v>
      </c>
    </row>
    <row r="359" spans="1:14" x14ac:dyDescent="0.25">
      <c r="A359" s="1">
        <v>45411</v>
      </c>
      <c r="B359" t="s">
        <v>28</v>
      </c>
      <c r="C359" t="s">
        <v>24</v>
      </c>
      <c r="D359" t="s">
        <v>16</v>
      </c>
      <c r="E359" t="s">
        <v>20</v>
      </c>
      <c r="F359">
        <v>26751</v>
      </c>
      <c r="G359">
        <v>489</v>
      </c>
      <c r="H359">
        <v>1.83E-2</v>
      </c>
      <c r="I359">
        <v>1.93</v>
      </c>
      <c r="J359">
        <v>943.77</v>
      </c>
      <c r="K359">
        <v>8</v>
      </c>
      <c r="L359">
        <v>117.97</v>
      </c>
      <c r="M359">
        <v>791.56</v>
      </c>
      <c r="N359">
        <v>0.84</v>
      </c>
    </row>
    <row r="360" spans="1:14" x14ac:dyDescent="0.25">
      <c r="A360" s="1">
        <v>45316</v>
      </c>
      <c r="B360" t="s">
        <v>18</v>
      </c>
      <c r="C360" t="s">
        <v>29</v>
      </c>
      <c r="D360" t="s">
        <v>25</v>
      </c>
      <c r="E360" t="s">
        <v>20</v>
      </c>
      <c r="F360">
        <v>42706</v>
      </c>
      <c r="G360">
        <v>2084</v>
      </c>
      <c r="H360">
        <v>4.8800000000000003E-2</v>
      </c>
      <c r="I360">
        <v>1.59</v>
      </c>
      <c r="J360">
        <v>3313.56</v>
      </c>
      <c r="K360">
        <v>35</v>
      </c>
      <c r="L360">
        <v>94.67</v>
      </c>
      <c r="M360">
        <v>4766.32</v>
      </c>
      <c r="N360">
        <v>1.44</v>
      </c>
    </row>
    <row r="361" spans="1:14" x14ac:dyDescent="0.25">
      <c r="A361" s="1">
        <v>45537</v>
      </c>
      <c r="B361" t="s">
        <v>28</v>
      </c>
      <c r="C361" t="s">
        <v>21</v>
      </c>
      <c r="D361" t="s">
        <v>25</v>
      </c>
      <c r="E361" t="s">
        <v>17</v>
      </c>
      <c r="F361">
        <v>173337</v>
      </c>
      <c r="G361">
        <v>3189</v>
      </c>
      <c r="H361">
        <v>1.84E-2</v>
      </c>
      <c r="I361">
        <v>2.0299999999999998</v>
      </c>
      <c r="J361">
        <v>6473.67</v>
      </c>
      <c r="K361">
        <v>224</v>
      </c>
      <c r="L361">
        <v>28.9</v>
      </c>
      <c r="M361">
        <v>43055.91</v>
      </c>
      <c r="N361">
        <v>6.65</v>
      </c>
    </row>
    <row r="362" spans="1:14" x14ac:dyDescent="0.25">
      <c r="A362" s="1">
        <v>45501</v>
      </c>
      <c r="B362" t="s">
        <v>28</v>
      </c>
      <c r="C362" t="s">
        <v>24</v>
      </c>
      <c r="D362" t="s">
        <v>25</v>
      </c>
      <c r="E362" t="s">
        <v>27</v>
      </c>
      <c r="F362">
        <v>99948</v>
      </c>
      <c r="G362">
        <v>1389</v>
      </c>
      <c r="H362">
        <v>1.3899999999999999E-2</v>
      </c>
      <c r="I362">
        <v>1.04</v>
      </c>
      <c r="J362">
        <v>1444.56</v>
      </c>
      <c r="K362">
        <v>67</v>
      </c>
      <c r="L362">
        <v>21.56</v>
      </c>
      <c r="M362">
        <v>4987.6000000000004</v>
      </c>
      <c r="N362">
        <v>3.45</v>
      </c>
    </row>
    <row r="363" spans="1:14" x14ac:dyDescent="0.25">
      <c r="A363" s="1">
        <v>45381</v>
      </c>
      <c r="B363" t="s">
        <v>14</v>
      </c>
      <c r="C363" t="s">
        <v>21</v>
      </c>
      <c r="D363" t="s">
        <v>22</v>
      </c>
      <c r="E363" t="s">
        <v>27</v>
      </c>
      <c r="F363">
        <v>65282</v>
      </c>
      <c r="G363">
        <v>1723</v>
      </c>
      <c r="H363">
        <v>2.64E-2</v>
      </c>
      <c r="I363">
        <v>1.91</v>
      </c>
      <c r="J363">
        <v>3290.93</v>
      </c>
      <c r="K363">
        <v>64</v>
      </c>
      <c r="L363">
        <v>51.42</v>
      </c>
      <c r="M363">
        <v>16624.45</v>
      </c>
      <c r="N363">
        <v>5.05</v>
      </c>
    </row>
    <row r="364" spans="1:14" x14ac:dyDescent="0.25">
      <c r="A364" s="1">
        <v>45323</v>
      </c>
      <c r="B364" t="s">
        <v>14</v>
      </c>
      <c r="C364" t="s">
        <v>21</v>
      </c>
      <c r="D364" t="s">
        <v>19</v>
      </c>
      <c r="E364" t="s">
        <v>23</v>
      </c>
      <c r="F364">
        <v>48790</v>
      </c>
      <c r="G364">
        <v>2824</v>
      </c>
      <c r="H364">
        <v>5.79E-2</v>
      </c>
      <c r="I364">
        <v>1.3</v>
      </c>
      <c r="J364">
        <v>3671.2</v>
      </c>
      <c r="K364">
        <v>178</v>
      </c>
      <c r="L364">
        <v>20.62</v>
      </c>
      <c r="M364">
        <v>37847.71</v>
      </c>
      <c r="N364">
        <v>10.31</v>
      </c>
    </row>
    <row r="365" spans="1:14" x14ac:dyDescent="0.25">
      <c r="A365" s="1">
        <v>45489</v>
      </c>
      <c r="B365" t="s">
        <v>14</v>
      </c>
      <c r="C365" t="s">
        <v>24</v>
      </c>
      <c r="D365" t="s">
        <v>19</v>
      </c>
      <c r="E365" t="s">
        <v>17</v>
      </c>
      <c r="F365">
        <v>163272</v>
      </c>
      <c r="G365">
        <v>5551</v>
      </c>
      <c r="H365">
        <v>3.4000000000000002E-2</v>
      </c>
      <c r="I365">
        <v>2.23</v>
      </c>
      <c r="J365">
        <v>12378.73</v>
      </c>
      <c r="K365">
        <v>135</v>
      </c>
      <c r="L365">
        <v>91.69</v>
      </c>
      <c r="M365">
        <v>38753.89</v>
      </c>
      <c r="N365">
        <v>3.13</v>
      </c>
    </row>
    <row r="366" spans="1:14" x14ac:dyDescent="0.25">
      <c r="A366" s="1">
        <v>45600</v>
      </c>
      <c r="B366" t="s">
        <v>14</v>
      </c>
      <c r="C366" t="s">
        <v>21</v>
      </c>
      <c r="D366" t="s">
        <v>19</v>
      </c>
      <c r="E366" t="s">
        <v>32</v>
      </c>
      <c r="F366">
        <v>149233</v>
      </c>
      <c r="G366">
        <v>3686</v>
      </c>
      <c r="H366">
        <v>2.47E-2</v>
      </c>
      <c r="I366">
        <v>1</v>
      </c>
      <c r="J366">
        <v>3686</v>
      </c>
      <c r="K366">
        <v>250</v>
      </c>
      <c r="L366">
        <v>14.74</v>
      </c>
      <c r="M366">
        <v>16524.46</v>
      </c>
      <c r="N366">
        <v>4.4800000000000004</v>
      </c>
    </row>
    <row r="367" spans="1:14" x14ac:dyDescent="0.25">
      <c r="A367" s="1">
        <v>45349</v>
      </c>
      <c r="B367" t="s">
        <v>18</v>
      </c>
      <c r="C367" t="s">
        <v>15</v>
      </c>
      <c r="D367" t="s">
        <v>25</v>
      </c>
      <c r="E367" t="s">
        <v>17</v>
      </c>
      <c r="F367">
        <v>7637</v>
      </c>
      <c r="G367">
        <v>415</v>
      </c>
      <c r="H367">
        <v>5.4399999999999997E-2</v>
      </c>
      <c r="I367">
        <v>1.54</v>
      </c>
      <c r="J367">
        <v>639.1</v>
      </c>
      <c r="K367">
        <v>10</v>
      </c>
      <c r="L367">
        <v>63.91</v>
      </c>
      <c r="M367">
        <v>1137.83</v>
      </c>
      <c r="N367">
        <v>1.78</v>
      </c>
    </row>
    <row r="368" spans="1:14" x14ac:dyDescent="0.25">
      <c r="A368" s="1">
        <v>45295</v>
      </c>
      <c r="B368" t="s">
        <v>14</v>
      </c>
      <c r="C368" t="s">
        <v>29</v>
      </c>
      <c r="D368" t="s">
        <v>16</v>
      </c>
      <c r="E368" t="s">
        <v>20</v>
      </c>
      <c r="F368">
        <v>20198</v>
      </c>
      <c r="G368">
        <v>878</v>
      </c>
      <c r="H368">
        <v>4.3499999999999997E-2</v>
      </c>
      <c r="I368">
        <v>2.68</v>
      </c>
      <c r="J368">
        <v>2353.04</v>
      </c>
      <c r="K368">
        <v>67</v>
      </c>
      <c r="L368">
        <v>35.119999999999997</v>
      </c>
      <c r="M368">
        <v>5967.58</v>
      </c>
      <c r="N368">
        <v>2.54</v>
      </c>
    </row>
    <row r="369" spans="1:14" x14ac:dyDescent="0.25">
      <c r="A369" s="1">
        <v>45546</v>
      </c>
      <c r="B369" t="s">
        <v>14</v>
      </c>
      <c r="C369" t="s">
        <v>15</v>
      </c>
      <c r="D369" t="s">
        <v>19</v>
      </c>
      <c r="E369" t="s">
        <v>17</v>
      </c>
      <c r="F369">
        <v>32675</v>
      </c>
      <c r="G369">
        <v>941</v>
      </c>
      <c r="H369">
        <v>2.8799999999999999E-2</v>
      </c>
      <c r="I369">
        <v>1.0900000000000001</v>
      </c>
      <c r="J369">
        <v>1025.69</v>
      </c>
      <c r="K369">
        <v>47</v>
      </c>
      <c r="L369">
        <v>21.82</v>
      </c>
      <c r="M369">
        <v>12632.32</v>
      </c>
      <c r="N369">
        <v>12.32</v>
      </c>
    </row>
    <row r="370" spans="1:14" x14ac:dyDescent="0.25">
      <c r="A370" s="1">
        <v>45350</v>
      </c>
      <c r="B370" t="s">
        <v>14</v>
      </c>
      <c r="C370" t="s">
        <v>15</v>
      </c>
      <c r="D370" t="s">
        <v>19</v>
      </c>
      <c r="E370" t="s">
        <v>23</v>
      </c>
      <c r="F370">
        <v>116560</v>
      </c>
      <c r="G370">
        <v>4312</v>
      </c>
      <c r="H370">
        <v>3.6999999999999998E-2</v>
      </c>
      <c r="I370">
        <v>2.79</v>
      </c>
      <c r="J370">
        <v>12030.48</v>
      </c>
      <c r="K370">
        <v>198</v>
      </c>
      <c r="L370">
        <v>60.76</v>
      </c>
      <c r="M370">
        <v>51746.42</v>
      </c>
      <c r="N370">
        <v>4.3</v>
      </c>
    </row>
    <row r="371" spans="1:14" x14ac:dyDescent="0.25">
      <c r="A371" s="1">
        <v>45318</v>
      </c>
      <c r="B371" t="s">
        <v>28</v>
      </c>
      <c r="C371" t="s">
        <v>29</v>
      </c>
      <c r="D371" t="s">
        <v>30</v>
      </c>
      <c r="E371" t="s">
        <v>32</v>
      </c>
      <c r="F371">
        <v>176459</v>
      </c>
      <c r="G371">
        <v>3670</v>
      </c>
      <c r="H371">
        <v>2.0799999999999999E-2</v>
      </c>
      <c r="I371">
        <v>1.91</v>
      </c>
      <c r="J371">
        <v>7009.7</v>
      </c>
      <c r="K371">
        <v>65</v>
      </c>
      <c r="L371">
        <v>107.84</v>
      </c>
      <c r="M371">
        <v>2483.8000000000002</v>
      </c>
      <c r="N371">
        <v>0.35</v>
      </c>
    </row>
    <row r="372" spans="1:14" x14ac:dyDescent="0.25">
      <c r="A372" s="1">
        <v>45537</v>
      </c>
      <c r="B372" t="s">
        <v>28</v>
      </c>
      <c r="C372" t="s">
        <v>24</v>
      </c>
      <c r="D372" t="s">
        <v>25</v>
      </c>
      <c r="E372" t="s">
        <v>32</v>
      </c>
      <c r="F372">
        <v>49980</v>
      </c>
      <c r="G372">
        <v>1664</v>
      </c>
      <c r="H372">
        <v>3.3300000000000003E-2</v>
      </c>
      <c r="I372">
        <v>1.98</v>
      </c>
      <c r="J372">
        <v>3294.72</v>
      </c>
      <c r="K372">
        <v>37</v>
      </c>
      <c r="L372">
        <v>89.05</v>
      </c>
      <c r="M372">
        <v>6236.77</v>
      </c>
      <c r="N372">
        <v>1.89</v>
      </c>
    </row>
    <row r="373" spans="1:14" x14ac:dyDescent="0.25">
      <c r="A373" s="1">
        <v>45298</v>
      </c>
      <c r="B373" t="s">
        <v>28</v>
      </c>
      <c r="C373" t="s">
        <v>21</v>
      </c>
      <c r="D373" t="s">
        <v>22</v>
      </c>
      <c r="E373" t="s">
        <v>26</v>
      </c>
      <c r="F373">
        <v>98944</v>
      </c>
      <c r="G373">
        <v>1850</v>
      </c>
      <c r="H373">
        <v>1.8700000000000001E-2</v>
      </c>
      <c r="I373">
        <v>1.42</v>
      </c>
      <c r="J373">
        <v>2627</v>
      </c>
      <c r="K373">
        <v>78</v>
      </c>
      <c r="L373">
        <v>33.68</v>
      </c>
      <c r="M373">
        <v>17285.68</v>
      </c>
      <c r="N373">
        <v>6.58</v>
      </c>
    </row>
    <row r="374" spans="1:14" x14ac:dyDescent="0.25">
      <c r="A374" s="1">
        <v>45383</v>
      </c>
      <c r="B374" t="s">
        <v>18</v>
      </c>
      <c r="C374" t="s">
        <v>21</v>
      </c>
      <c r="D374" t="s">
        <v>22</v>
      </c>
      <c r="E374" t="s">
        <v>23</v>
      </c>
      <c r="F374">
        <v>115310</v>
      </c>
      <c r="G374">
        <v>3205</v>
      </c>
      <c r="H374">
        <v>2.7799999999999998E-2</v>
      </c>
      <c r="I374">
        <v>1.04</v>
      </c>
      <c r="J374">
        <v>3333.2</v>
      </c>
      <c r="K374">
        <v>134</v>
      </c>
      <c r="L374">
        <v>24.87</v>
      </c>
      <c r="M374">
        <v>14521.43</v>
      </c>
      <c r="N374">
        <v>4.3600000000000003</v>
      </c>
    </row>
    <row r="375" spans="1:14" x14ac:dyDescent="0.25">
      <c r="A375" s="1">
        <v>45512</v>
      </c>
      <c r="B375" t="s">
        <v>28</v>
      </c>
      <c r="C375" t="s">
        <v>15</v>
      </c>
      <c r="D375" t="s">
        <v>30</v>
      </c>
      <c r="E375" t="s">
        <v>31</v>
      </c>
      <c r="F375">
        <v>8626</v>
      </c>
      <c r="G375">
        <v>242</v>
      </c>
      <c r="H375">
        <v>2.81E-2</v>
      </c>
      <c r="I375">
        <v>1.1299999999999999</v>
      </c>
      <c r="J375">
        <v>273.45999999999998</v>
      </c>
      <c r="K375">
        <v>18</v>
      </c>
      <c r="L375">
        <v>15.19</v>
      </c>
      <c r="M375">
        <v>3013.54</v>
      </c>
      <c r="N375">
        <v>11.02</v>
      </c>
    </row>
    <row r="376" spans="1:14" x14ac:dyDescent="0.25">
      <c r="A376" s="1">
        <v>45296</v>
      </c>
      <c r="B376" t="s">
        <v>28</v>
      </c>
      <c r="C376" t="s">
        <v>29</v>
      </c>
      <c r="D376" t="s">
        <v>30</v>
      </c>
      <c r="E376" t="s">
        <v>26</v>
      </c>
      <c r="F376">
        <v>88732</v>
      </c>
      <c r="G376">
        <v>1579</v>
      </c>
      <c r="H376">
        <v>1.78E-2</v>
      </c>
      <c r="I376">
        <v>0.44</v>
      </c>
      <c r="J376">
        <v>694.76</v>
      </c>
      <c r="K376">
        <v>32</v>
      </c>
      <c r="L376">
        <v>21.71</v>
      </c>
      <c r="M376">
        <v>4757.82</v>
      </c>
      <c r="N376">
        <v>6.85</v>
      </c>
    </row>
    <row r="377" spans="1:14" x14ac:dyDescent="0.25">
      <c r="A377" s="1">
        <v>45463</v>
      </c>
      <c r="B377" t="s">
        <v>28</v>
      </c>
      <c r="C377" t="s">
        <v>21</v>
      </c>
      <c r="D377" t="s">
        <v>19</v>
      </c>
      <c r="E377" t="s">
        <v>26</v>
      </c>
      <c r="F377">
        <v>29502</v>
      </c>
      <c r="G377">
        <v>604</v>
      </c>
      <c r="H377">
        <v>2.0500000000000001E-2</v>
      </c>
      <c r="I377">
        <v>1.61</v>
      </c>
      <c r="J377">
        <v>972.44</v>
      </c>
      <c r="K377">
        <v>30</v>
      </c>
      <c r="L377">
        <v>32.409999999999997</v>
      </c>
      <c r="M377">
        <v>5842.59</v>
      </c>
      <c r="N377">
        <v>6.01</v>
      </c>
    </row>
    <row r="378" spans="1:14" x14ac:dyDescent="0.25">
      <c r="A378" s="1">
        <v>45549</v>
      </c>
      <c r="B378" t="s">
        <v>18</v>
      </c>
      <c r="C378" t="s">
        <v>15</v>
      </c>
      <c r="D378" t="s">
        <v>30</v>
      </c>
      <c r="E378" t="s">
        <v>27</v>
      </c>
      <c r="F378">
        <v>198085</v>
      </c>
      <c r="G378">
        <v>14460</v>
      </c>
      <c r="H378">
        <v>7.2999999999999995E-2</v>
      </c>
      <c r="I378">
        <v>0.82</v>
      </c>
      <c r="J378">
        <v>11857.2</v>
      </c>
      <c r="K378">
        <v>1133</v>
      </c>
      <c r="L378">
        <v>10.47</v>
      </c>
      <c r="M378">
        <v>295028.26</v>
      </c>
      <c r="N378">
        <v>24.88</v>
      </c>
    </row>
    <row r="379" spans="1:14" x14ac:dyDescent="0.25">
      <c r="A379" s="1">
        <v>45487</v>
      </c>
      <c r="B379" t="s">
        <v>28</v>
      </c>
      <c r="C379" t="s">
        <v>24</v>
      </c>
      <c r="D379" t="s">
        <v>22</v>
      </c>
      <c r="E379" t="s">
        <v>23</v>
      </c>
      <c r="F379">
        <v>111802</v>
      </c>
      <c r="G379">
        <v>2247</v>
      </c>
      <c r="H379">
        <v>2.01E-2</v>
      </c>
      <c r="I379">
        <v>1.65</v>
      </c>
      <c r="J379">
        <v>3707.55</v>
      </c>
      <c r="K379">
        <v>163</v>
      </c>
      <c r="L379">
        <v>22.75</v>
      </c>
      <c r="M379">
        <v>6163.84</v>
      </c>
      <c r="N379">
        <v>1.66</v>
      </c>
    </row>
    <row r="380" spans="1:14" x14ac:dyDescent="0.25">
      <c r="A380" s="1">
        <v>45505</v>
      </c>
      <c r="B380" t="s">
        <v>14</v>
      </c>
      <c r="C380" t="s">
        <v>24</v>
      </c>
      <c r="D380" t="s">
        <v>19</v>
      </c>
      <c r="E380" t="s">
        <v>17</v>
      </c>
      <c r="F380">
        <v>65186</v>
      </c>
      <c r="G380">
        <v>1955</v>
      </c>
      <c r="H380">
        <v>0.03</v>
      </c>
      <c r="I380">
        <v>2.2599999999999998</v>
      </c>
      <c r="J380">
        <v>4418.3</v>
      </c>
      <c r="K380">
        <v>89</v>
      </c>
      <c r="L380">
        <v>49.64</v>
      </c>
      <c r="M380">
        <v>13375.79</v>
      </c>
      <c r="N380">
        <v>3.03</v>
      </c>
    </row>
    <row r="381" spans="1:14" x14ac:dyDescent="0.25">
      <c r="A381" s="1">
        <v>45458</v>
      </c>
      <c r="B381" t="s">
        <v>18</v>
      </c>
      <c r="C381" t="s">
        <v>21</v>
      </c>
      <c r="D381" t="s">
        <v>19</v>
      </c>
      <c r="E381" t="s">
        <v>20</v>
      </c>
      <c r="F381">
        <v>101176</v>
      </c>
      <c r="G381">
        <v>6505</v>
      </c>
      <c r="H381">
        <v>6.4299999999999996E-2</v>
      </c>
      <c r="I381">
        <v>0.96</v>
      </c>
      <c r="J381">
        <v>6244.8</v>
      </c>
      <c r="K381">
        <v>459</v>
      </c>
      <c r="L381">
        <v>13.61</v>
      </c>
      <c r="M381">
        <v>44008.34</v>
      </c>
      <c r="N381">
        <v>7.05</v>
      </c>
    </row>
    <row r="382" spans="1:14" x14ac:dyDescent="0.25">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row>
    <row r="383" spans="1:14" x14ac:dyDescent="0.25">
      <c r="A383" s="1">
        <v>45424</v>
      </c>
      <c r="B383" t="s">
        <v>28</v>
      </c>
      <c r="C383" t="s">
        <v>21</v>
      </c>
      <c r="D383" t="s">
        <v>19</v>
      </c>
      <c r="E383" t="s">
        <v>20</v>
      </c>
      <c r="F383">
        <v>174579</v>
      </c>
      <c r="G383">
        <v>3247</v>
      </c>
      <c r="H383">
        <v>1.8599999999999998E-2</v>
      </c>
      <c r="I383">
        <v>1.33</v>
      </c>
      <c r="J383">
        <v>4318.51</v>
      </c>
      <c r="K383">
        <v>187</v>
      </c>
      <c r="L383">
        <v>23.09</v>
      </c>
      <c r="M383">
        <v>41760.07</v>
      </c>
      <c r="N383">
        <v>9.67</v>
      </c>
    </row>
    <row r="384" spans="1:14" x14ac:dyDescent="0.25">
      <c r="A384" s="1">
        <v>45336</v>
      </c>
      <c r="B384" t="s">
        <v>28</v>
      </c>
      <c r="C384" t="s">
        <v>21</v>
      </c>
      <c r="D384" t="s">
        <v>25</v>
      </c>
      <c r="E384" t="s">
        <v>31</v>
      </c>
      <c r="F384">
        <v>83137</v>
      </c>
      <c r="G384">
        <v>2045</v>
      </c>
      <c r="H384">
        <v>2.46E-2</v>
      </c>
      <c r="I384">
        <v>1.01</v>
      </c>
      <c r="J384">
        <v>2065.4499999999998</v>
      </c>
      <c r="K384">
        <v>37</v>
      </c>
      <c r="L384">
        <v>55.82</v>
      </c>
      <c r="M384">
        <v>1798.59</v>
      </c>
      <c r="N384">
        <v>0.87</v>
      </c>
    </row>
    <row r="385" spans="1:14" x14ac:dyDescent="0.25">
      <c r="A385" s="1">
        <v>45295</v>
      </c>
      <c r="B385" t="s">
        <v>28</v>
      </c>
      <c r="C385" t="s">
        <v>15</v>
      </c>
      <c r="D385" t="s">
        <v>22</v>
      </c>
      <c r="E385" t="s">
        <v>20</v>
      </c>
      <c r="F385">
        <v>122897</v>
      </c>
      <c r="G385">
        <v>2040</v>
      </c>
      <c r="H385">
        <v>1.66E-2</v>
      </c>
      <c r="I385">
        <v>0.77</v>
      </c>
      <c r="J385">
        <v>1570.8</v>
      </c>
      <c r="K385">
        <v>159</v>
      </c>
      <c r="L385">
        <v>9.8800000000000008</v>
      </c>
      <c r="M385">
        <v>45753.83</v>
      </c>
      <c r="N385">
        <v>29.13</v>
      </c>
    </row>
    <row r="386" spans="1:14" x14ac:dyDescent="0.25">
      <c r="A386" s="1">
        <v>45582</v>
      </c>
      <c r="B386" t="s">
        <v>18</v>
      </c>
      <c r="C386" t="s">
        <v>15</v>
      </c>
      <c r="D386" t="s">
        <v>22</v>
      </c>
      <c r="E386" t="s">
        <v>31</v>
      </c>
      <c r="F386">
        <v>47462</v>
      </c>
      <c r="G386">
        <v>1803</v>
      </c>
      <c r="H386">
        <v>3.7999999999999999E-2</v>
      </c>
      <c r="I386">
        <v>0.53</v>
      </c>
      <c r="J386">
        <v>955.59</v>
      </c>
      <c r="K386">
        <v>98</v>
      </c>
      <c r="L386">
        <v>9.75</v>
      </c>
      <c r="M386">
        <v>29213.279999999999</v>
      </c>
      <c r="N386">
        <v>30.57</v>
      </c>
    </row>
    <row r="387" spans="1:14" x14ac:dyDescent="0.25">
      <c r="A387" s="1">
        <v>45462</v>
      </c>
      <c r="B387" t="s">
        <v>18</v>
      </c>
      <c r="C387" t="s">
        <v>29</v>
      </c>
      <c r="D387" t="s">
        <v>19</v>
      </c>
      <c r="E387" t="s">
        <v>26</v>
      </c>
      <c r="F387">
        <v>99202</v>
      </c>
      <c r="G387">
        <v>6428</v>
      </c>
      <c r="H387">
        <v>6.4799999999999996E-2</v>
      </c>
      <c r="I387">
        <v>1.54</v>
      </c>
      <c r="J387">
        <v>9899.1200000000008</v>
      </c>
      <c r="K387">
        <v>165</v>
      </c>
      <c r="L387">
        <v>59.99</v>
      </c>
      <c r="M387">
        <v>34456.26</v>
      </c>
      <c r="N387">
        <v>3.48</v>
      </c>
    </row>
    <row r="388" spans="1:14" x14ac:dyDescent="0.25">
      <c r="A388" s="1">
        <v>45348</v>
      </c>
      <c r="B388" t="s">
        <v>28</v>
      </c>
      <c r="C388" t="s">
        <v>24</v>
      </c>
      <c r="D388" t="s">
        <v>25</v>
      </c>
      <c r="E388" t="s">
        <v>23</v>
      </c>
      <c r="F388">
        <v>125871</v>
      </c>
      <c r="G388">
        <v>3083</v>
      </c>
      <c r="H388">
        <v>2.4500000000000001E-2</v>
      </c>
      <c r="I388">
        <v>1.72</v>
      </c>
      <c r="J388">
        <v>5302.76</v>
      </c>
      <c r="K388">
        <v>185</v>
      </c>
      <c r="L388">
        <v>28.66</v>
      </c>
      <c r="M388">
        <v>27759.15</v>
      </c>
      <c r="N388">
        <v>5.23</v>
      </c>
    </row>
    <row r="389" spans="1:14" x14ac:dyDescent="0.25">
      <c r="A389" s="1">
        <v>45361</v>
      </c>
      <c r="B389" t="s">
        <v>14</v>
      </c>
      <c r="C389" t="s">
        <v>15</v>
      </c>
      <c r="D389" t="s">
        <v>22</v>
      </c>
      <c r="E389" t="s">
        <v>20</v>
      </c>
      <c r="F389">
        <v>8880</v>
      </c>
      <c r="G389">
        <v>216</v>
      </c>
      <c r="H389">
        <v>2.4400000000000002E-2</v>
      </c>
      <c r="I389">
        <v>2.06</v>
      </c>
      <c r="J389">
        <v>444.96</v>
      </c>
      <c r="K389">
        <v>6</v>
      </c>
      <c r="L389">
        <v>74.16</v>
      </c>
      <c r="M389">
        <v>1186.19</v>
      </c>
      <c r="N389">
        <v>2.67</v>
      </c>
    </row>
    <row r="390" spans="1:14" x14ac:dyDescent="0.25">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row>
    <row r="391" spans="1:14" x14ac:dyDescent="0.25">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row>
    <row r="392" spans="1:14" x14ac:dyDescent="0.25">
      <c r="A392" s="1">
        <v>45419</v>
      </c>
      <c r="B392" t="s">
        <v>28</v>
      </c>
      <c r="C392" t="s">
        <v>29</v>
      </c>
      <c r="D392" t="s">
        <v>25</v>
      </c>
      <c r="E392" t="s">
        <v>17</v>
      </c>
      <c r="F392">
        <v>70030</v>
      </c>
      <c r="G392">
        <v>1470</v>
      </c>
      <c r="H392">
        <v>2.1000000000000001E-2</v>
      </c>
      <c r="I392">
        <v>1.68</v>
      </c>
      <c r="J392">
        <v>2469.6</v>
      </c>
      <c r="K392">
        <v>90</v>
      </c>
      <c r="L392">
        <v>27.44</v>
      </c>
      <c r="M392">
        <v>9384.9</v>
      </c>
      <c r="N392">
        <v>3.8</v>
      </c>
    </row>
    <row r="393" spans="1:14" x14ac:dyDescent="0.25">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row>
    <row r="394" spans="1:14" x14ac:dyDescent="0.25">
      <c r="A394" s="1">
        <v>45450</v>
      </c>
      <c r="B394" t="s">
        <v>28</v>
      </c>
      <c r="C394" t="s">
        <v>15</v>
      </c>
      <c r="D394" t="s">
        <v>16</v>
      </c>
      <c r="E394" t="s">
        <v>27</v>
      </c>
      <c r="F394">
        <v>123171</v>
      </c>
      <c r="G394">
        <v>3756</v>
      </c>
      <c r="H394">
        <v>3.0499999999999999E-2</v>
      </c>
      <c r="I394">
        <v>1.86</v>
      </c>
      <c r="J394">
        <v>6986.16</v>
      </c>
      <c r="K394">
        <v>52</v>
      </c>
      <c r="L394">
        <v>134.35</v>
      </c>
      <c r="M394">
        <v>7553.6</v>
      </c>
      <c r="N394">
        <v>1.08</v>
      </c>
    </row>
    <row r="395" spans="1:14" x14ac:dyDescent="0.25">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row>
    <row r="396" spans="1:14" x14ac:dyDescent="0.25">
      <c r="A396" s="1">
        <v>45435</v>
      </c>
      <c r="B396" t="s">
        <v>14</v>
      </c>
      <c r="C396" t="s">
        <v>29</v>
      </c>
      <c r="D396" t="s">
        <v>16</v>
      </c>
      <c r="E396" t="s">
        <v>23</v>
      </c>
      <c r="F396">
        <v>117036</v>
      </c>
      <c r="G396">
        <v>3569</v>
      </c>
      <c r="H396">
        <v>3.0499999999999999E-2</v>
      </c>
      <c r="I396">
        <v>2.13</v>
      </c>
      <c r="J396">
        <v>7601.97</v>
      </c>
      <c r="K396">
        <v>178</v>
      </c>
      <c r="L396">
        <v>42.71</v>
      </c>
      <c r="M396">
        <v>11935.14</v>
      </c>
      <c r="N396">
        <v>1.57</v>
      </c>
    </row>
    <row r="397" spans="1:14" x14ac:dyDescent="0.25">
      <c r="A397" s="1">
        <v>45490</v>
      </c>
      <c r="B397" t="s">
        <v>18</v>
      </c>
      <c r="C397" t="s">
        <v>24</v>
      </c>
      <c r="D397" t="s">
        <v>30</v>
      </c>
      <c r="E397" t="s">
        <v>17</v>
      </c>
      <c r="F397">
        <v>177517</v>
      </c>
      <c r="G397">
        <v>13917</v>
      </c>
      <c r="H397">
        <v>7.8399999999999997E-2</v>
      </c>
      <c r="I397">
        <v>0.91</v>
      </c>
      <c r="J397">
        <v>12664.47</v>
      </c>
      <c r="K397">
        <v>671</v>
      </c>
      <c r="L397">
        <v>18.87</v>
      </c>
      <c r="M397">
        <v>36680.47</v>
      </c>
      <c r="N397">
        <v>2.9</v>
      </c>
    </row>
    <row r="398" spans="1:14" x14ac:dyDescent="0.25">
      <c r="A398" s="1">
        <v>45656</v>
      </c>
      <c r="B398" t="s">
        <v>18</v>
      </c>
      <c r="C398" t="s">
        <v>15</v>
      </c>
      <c r="D398" t="s">
        <v>19</v>
      </c>
      <c r="E398" t="s">
        <v>26</v>
      </c>
      <c r="F398">
        <v>196349</v>
      </c>
      <c r="G398">
        <v>8325</v>
      </c>
      <c r="H398">
        <v>4.24E-2</v>
      </c>
      <c r="I398">
        <v>0.69</v>
      </c>
      <c r="J398">
        <v>5744.25</v>
      </c>
      <c r="K398">
        <v>398</v>
      </c>
      <c r="L398">
        <v>14.43</v>
      </c>
      <c r="M398">
        <v>42464.91</v>
      </c>
      <c r="N398">
        <v>7.39</v>
      </c>
    </row>
    <row r="399" spans="1:14" x14ac:dyDescent="0.25">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row>
    <row r="400" spans="1:14" x14ac:dyDescent="0.25">
      <c r="A400" s="1">
        <v>45473</v>
      </c>
      <c r="B400" t="s">
        <v>14</v>
      </c>
      <c r="C400" t="s">
        <v>29</v>
      </c>
      <c r="D400" t="s">
        <v>19</v>
      </c>
      <c r="E400" t="s">
        <v>23</v>
      </c>
      <c r="F400">
        <v>83972</v>
      </c>
      <c r="G400">
        <v>4903</v>
      </c>
      <c r="H400">
        <v>5.8400000000000001E-2</v>
      </c>
      <c r="I400">
        <v>2.9</v>
      </c>
      <c r="J400">
        <v>14218.7</v>
      </c>
      <c r="K400">
        <v>341</v>
      </c>
      <c r="L400">
        <v>41.7</v>
      </c>
      <c r="M400">
        <v>36574.449999999997</v>
      </c>
      <c r="N400">
        <v>2.57</v>
      </c>
    </row>
    <row r="401" spans="1:14" x14ac:dyDescent="0.25">
      <c r="A401" s="1">
        <v>45408</v>
      </c>
      <c r="B401" t="s">
        <v>28</v>
      </c>
      <c r="C401" t="s">
        <v>15</v>
      </c>
      <c r="D401" t="s">
        <v>16</v>
      </c>
      <c r="E401" t="s">
        <v>23</v>
      </c>
      <c r="F401">
        <v>165371</v>
      </c>
      <c r="G401">
        <v>2993</v>
      </c>
      <c r="H401">
        <v>1.8100000000000002E-2</v>
      </c>
      <c r="I401">
        <v>1.51</v>
      </c>
      <c r="J401">
        <v>4519.43</v>
      </c>
      <c r="K401">
        <v>32</v>
      </c>
      <c r="L401">
        <v>141.22999999999999</v>
      </c>
      <c r="M401">
        <v>8918.68</v>
      </c>
      <c r="N401">
        <v>1.97</v>
      </c>
    </row>
    <row r="402" spans="1:14" x14ac:dyDescent="0.25">
      <c r="A402" s="1">
        <v>45534</v>
      </c>
      <c r="B402" t="s">
        <v>18</v>
      </c>
      <c r="C402" t="s">
        <v>24</v>
      </c>
      <c r="D402" t="s">
        <v>16</v>
      </c>
      <c r="E402" t="s">
        <v>23</v>
      </c>
      <c r="F402">
        <v>133949</v>
      </c>
      <c r="G402">
        <v>7219</v>
      </c>
      <c r="H402">
        <v>5.3900000000000003E-2</v>
      </c>
      <c r="I402">
        <v>1.52</v>
      </c>
      <c r="J402">
        <v>10972.88</v>
      </c>
      <c r="K402">
        <v>73</v>
      </c>
      <c r="L402">
        <v>150.31</v>
      </c>
      <c r="M402">
        <v>21583.279999999999</v>
      </c>
      <c r="N402">
        <v>1.97</v>
      </c>
    </row>
    <row r="403" spans="1:14" x14ac:dyDescent="0.25">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row>
    <row r="404" spans="1:14" x14ac:dyDescent="0.25">
      <c r="A404" s="1">
        <v>45508</v>
      </c>
      <c r="B404" t="s">
        <v>14</v>
      </c>
      <c r="C404" t="s">
        <v>24</v>
      </c>
      <c r="D404" t="s">
        <v>19</v>
      </c>
      <c r="E404" t="s">
        <v>23</v>
      </c>
      <c r="F404">
        <v>63959</v>
      </c>
      <c r="G404">
        <v>2014</v>
      </c>
      <c r="H404">
        <v>3.15E-2</v>
      </c>
      <c r="I404">
        <v>2.2799999999999998</v>
      </c>
      <c r="J404">
        <v>4591.92</v>
      </c>
      <c r="K404">
        <v>150</v>
      </c>
      <c r="L404">
        <v>30.61</v>
      </c>
      <c r="M404">
        <v>37769.589999999997</v>
      </c>
      <c r="N404">
        <v>8.23</v>
      </c>
    </row>
    <row r="405" spans="1:14" x14ac:dyDescent="0.25">
      <c r="A405" s="1">
        <v>45357</v>
      </c>
      <c r="B405" t="s">
        <v>14</v>
      </c>
      <c r="C405" t="s">
        <v>15</v>
      </c>
      <c r="D405" t="s">
        <v>25</v>
      </c>
      <c r="E405" t="s">
        <v>31</v>
      </c>
      <c r="F405">
        <v>6044</v>
      </c>
      <c r="G405">
        <v>146</v>
      </c>
      <c r="H405">
        <v>2.4199999999999999E-2</v>
      </c>
      <c r="I405">
        <v>1.1299999999999999</v>
      </c>
      <c r="J405">
        <v>164.98</v>
      </c>
      <c r="K405">
        <v>5</v>
      </c>
      <c r="L405">
        <v>33</v>
      </c>
      <c r="M405">
        <v>611.36</v>
      </c>
      <c r="N405">
        <v>3.71</v>
      </c>
    </row>
    <row r="406" spans="1:14" x14ac:dyDescent="0.25">
      <c r="A406" s="1">
        <v>45390</v>
      </c>
      <c r="B406" t="s">
        <v>14</v>
      </c>
      <c r="C406" t="s">
        <v>24</v>
      </c>
      <c r="D406" t="s">
        <v>16</v>
      </c>
      <c r="E406" t="s">
        <v>23</v>
      </c>
      <c r="F406">
        <v>90945</v>
      </c>
      <c r="G406">
        <v>3637</v>
      </c>
      <c r="H406">
        <v>0.04</v>
      </c>
      <c r="I406">
        <v>3.02</v>
      </c>
      <c r="J406">
        <v>10983.74</v>
      </c>
      <c r="K406">
        <v>145</v>
      </c>
      <c r="L406">
        <v>75.75</v>
      </c>
      <c r="M406">
        <v>21488.5</v>
      </c>
      <c r="N406">
        <v>1.96</v>
      </c>
    </row>
    <row r="407" spans="1:14" x14ac:dyDescent="0.25">
      <c r="A407" s="1">
        <v>45323</v>
      </c>
      <c r="B407" t="s">
        <v>14</v>
      </c>
      <c r="C407" t="s">
        <v>15</v>
      </c>
      <c r="D407" t="s">
        <v>25</v>
      </c>
      <c r="E407" t="s">
        <v>20</v>
      </c>
      <c r="F407">
        <v>73681</v>
      </c>
      <c r="G407">
        <v>4457</v>
      </c>
      <c r="H407">
        <v>6.0499999999999998E-2</v>
      </c>
      <c r="I407">
        <v>1.77</v>
      </c>
      <c r="J407">
        <v>7888.89</v>
      </c>
      <c r="K407">
        <v>95</v>
      </c>
      <c r="L407">
        <v>83.04</v>
      </c>
      <c r="M407">
        <v>11815.26</v>
      </c>
      <c r="N407">
        <v>1.5</v>
      </c>
    </row>
    <row r="408" spans="1:14" x14ac:dyDescent="0.25">
      <c r="A408" s="1">
        <v>45640</v>
      </c>
      <c r="B408" t="s">
        <v>14</v>
      </c>
      <c r="C408" t="s">
        <v>29</v>
      </c>
      <c r="D408" t="s">
        <v>22</v>
      </c>
      <c r="E408" t="s">
        <v>32</v>
      </c>
      <c r="F408">
        <v>195545</v>
      </c>
      <c r="G408">
        <v>8799</v>
      </c>
      <c r="H408">
        <v>4.4999999999999998E-2</v>
      </c>
      <c r="I408">
        <v>2.98</v>
      </c>
      <c r="J408">
        <v>26221.02</v>
      </c>
      <c r="K408">
        <v>444</v>
      </c>
      <c r="L408">
        <v>59.06</v>
      </c>
      <c r="M408">
        <v>122723.09</v>
      </c>
      <c r="N408">
        <v>4.68</v>
      </c>
    </row>
    <row r="409" spans="1:14" x14ac:dyDescent="0.25">
      <c r="A409" s="1">
        <v>45487</v>
      </c>
      <c r="B409" t="s">
        <v>14</v>
      </c>
      <c r="C409" t="s">
        <v>24</v>
      </c>
      <c r="D409" t="s">
        <v>30</v>
      </c>
      <c r="E409" t="s">
        <v>23</v>
      </c>
      <c r="F409">
        <v>46846</v>
      </c>
      <c r="G409">
        <v>2183</v>
      </c>
      <c r="H409">
        <v>4.6600000000000003E-2</v>
      </c>
      <c r="I409">
        <v>3.36</v>
      </c>
      <c r="J409">
        <v>7334.88</v>
      </c>
      <c r="K409">
        <v>46</v>
      </c>
      <c r="L409">
        <v>159.44999999999999</v>
      </c>
      <c r="M409">
        <v>5098.84</v>
      </c>
      <c r="N409">
        <v>0.7</v>
      </c>
    </row>
    <row r="410" spans="1:14" x14ac:dyDescent="0.25">
      <c r="A410" s="1">
        <v>45476</v>
      </c>
      <c r="B410" t="s">
        <v>14</v>
      </c>
      <c r="C410" t="s">
        <v>24</v>
      </c>
      <c r="D410" t="s">
        <v>22</v>
      </c>
      <c r="E410" t="s">
        <v>27</v>
      </c>
      <c r="F410">
        <v>183428</v>
      </c>
      <c r="G410">
        <v>4549</v>
      </c>
      <c r="H410">
        <v>2.4799999999999999E-2</v>
      </c>
      <c r="I410">
        <v>2.11</v>
      </c>
      <c r="J410">
        <v>9598.39</v>
      </c>
      <c r="K410">
        <v>135</v>
      </c>
      <c r="L410">
        <v>71.099999999999994</v>
      </c>
      <c r="M410">
        <v>6604</v>
      </c>
      <c r="N410">
        <v>0.69</v>
      </c>
    </row>
    <row r="411" spans="1:14" x14ac:dyDescent="0.25">
      <c r="A411" s="1">
        <v>45421</v>
      </c>
      <c r="B411" t="s">
        <v>14</v>
      </c>
      <c r="C411" t="s">
        <v>24</v>
      </c>
      <c r="D411" t="s">
        <v>19</v>
      </c>
      <c r="E411" t="s">
        <v>32</v>
      </c>
      <c r="F411">
        <v>173913</v>
      </c>
      <c r="G411">
        <v>5860</v>
      </c>
      <c r="H411">
        <v>3.3700000000000001E-2</v>
      </c>
      <c r="I411">
        <v>3.46</v>
      </c>
      <c r="J411">
        <v>20275.599999999999</v>
      </c>
      <c r="K411">
        <v>111</v>
      </c>
      <c r="L411">
        <v>182.66</v>
      </c>
      <c r="M411">
        <v>20779.66</v>
      </c>
      <c r="N411">
        <v>1.02</v>
      </c>
    </row>
    <row r="412" spans="1:14" x14ac:dyDescent="0.25">
      <c r="A412" s="1">
        <v>45417</v>
      </c>
      <c r="B412" t="s">
        <v>14</v>
      </c>
      <c r="C412" t="s">
        <v>21</v>
      </c>
      <c r="D412" t="s">
        <v>25</v>
      </c>
      <c r="E412" t="s">
        <v>23</v>
      </c>
      <c r="F412">
        <v>190541</v>
      </c>
      <c r="G412">
        <v>9527</v>
      </c>
      <c r="H412">
        <v>0.05</v>
      </c>
      <c r="I412">
        <v>2.17</v>
      </c>
      <c r="J412">
        <v>20673.59</v>
      </c>
      <c r="K412">
        <v>157</v>
      </c>
      <c r="L412">
        <v>131.68</v>
      </c>
      <c r="M412">
        <v>5416.71</v>
      </c>
      <c r="N412">
        <v>0.26</v>
      </c>
    </row>
    <row r="413" spans="1:14" x14ac:dyDescent="0.25">
      <c r="A413" s="1">
        <v>45546</v>
      </c>
      <c r="B413" t="s">
        <v>18</v>
      </c>
      <c r="C413" t="s">
        <v>21</v>
      </c>
      <c r="D413" t="s">
        <v>25</v>
      </c>
      <c r="E413" t="s">
        <v>27</v>
      </c>
      <c r="F413">
        <v>122116</v>
      </c>
      <c r="G413">
        <v>5507</v>
      </c>
      <c r="H413">
        <v>4.5100000000000001E-2</v>
      </c>
      <c r="I413">
        <v>0.98</v>
      </c>
      <c r="J413">
        <v>5396.86</v>
      </c>
      <c r="K413">
        <v>110</v>
      </c>
      <c r="L413">
        <v>49.06</v>
      </c>
      <c r="M413">
        <v>3555.98</v>
      </c>
      <c r="N413">
        <v>0.66</v>
      </c>
    </row>
    <row r="414" spans="1:14" x14ac:dyDescent="0.25">
      <c r="A414" s="1">
        <v>45374</v>
      </c>
      <c r="B414" t="s">
        <v>14</v>
      </c>
      <c r="C414" t="s">
        <v>29</v>
      </c>
      <c r="D414" t="s">
        <v>16</v>
      </c>
      <c r="E414" t="s">
        <v>31</v>
      </c>
      <c r="F414">
        <v>47879</v>
      </c>
      <c r="G414">
        <v>1149</v>
      </c>
      <c r="H414">
        <v>2.4E-2</v>
      </c>
      <c r="I414">
        <v>3.06</v>
      </c>
      <c r="J414">
        <v>3515.94</v>
      </c>
      <c r="K414">
        <v>25</v>
      </c>
      <c r="L414">
        <v>140.63999999999999</v>
      </c>
      <c r="M414">
        <v>3124.11</v>
      </c>
      <c r="N414">
        <v>0.89</v>
      </c>
    </row>
    <row r="415" spans="1:14" x14ac:dyDescent="0.25">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row>
    <row r="416" spans="1:14" x14ac:dyDescent="0.25">
      <c r="A416" s="1">
        <v>45425</v>
      </c>
      <c r="B416" t="s">
        <v>28</v>
      </c>
      <c r="C416" t="s">
        <v>29</v>
      </c>
      <c r="D416" t="s">
        <v>25</v>
      </c>
      <c r="E416" t="s">
        <v>23</v>
      </c>
      <c r="F416">
        <v>163253</v>
      </c>
      <c r="G416">
        <v>1779</v>
      </c>
      <c r="H416">
        <v>1.09E-2</v>
      </c>
      <c r="I416">
        <v>0.51</v>
      </c>
      <c r="J416">
        <v>907.29</v>
      </c>
      <c r="K416">
        <v>121</v>
      </c>
      <c r="L416">
        <v>7.5</v>
      </c>
      <c r="M416">
        <v>18762.73</v>
      </c>
      <c r="N416">
        <v>20.68</v>
      </c>
    </row>
    <row r="417" spans="1:14" x14ac:dyDescent="0.25">
      <c r="A417" s="1">
        <v>45569</v>
      </c>
      <c r="B417" t="s">
        <v>28</v>
      </c>
      <c r="C417" t="s">
        <v>24</v>
      </c>
      <c r="D417" t="s">
        <v>16</v>
      </c>
      <c r="E417" t="s">
        <v>31</v>
      </c>
      <c r="F417">
        <v>120631</v>
      </c>
      <c r="G417">
        <v>1532</v>
      </c>
      <c r="H417">
        <v>1.2699999999999999E-2</v>
      </c>
      <c r="I417">
        <v>0.77</v>
      </c>
      <c r="J417">
        <v>1179.6400000000001</v>
      </c>
      <c r="K417">
        <v>114</v>
      </c>
      <c r="L417">
        <v>10.35</v>
      </c>
      <c r="M417">
        <v>25286.78</v>
      </c>
      <c r="N417">
        <v>21.44</v>
      </c>
    </row>
    <row r="418" spans="1:14" x14ac:dyDescent="0.25">
      <c r="A418" s="1">
        <v>45411</v>
      </c>
      <c r="B418" t="s">
        <v>28</v>
      </c>
      <c r="C418" t="s">
        <v>29</v>
      </c>
      <c r="D418" t="s">
        <v>16</v>
      </c>
      <c r="E418" t="s">
        <v>32</v>
      </c>
      <c r="F418">
        <v>12610</v>
      </c>
      <c r="G418">
        <v>197</v>
      </c>
      <c r="H418">
        <v>1.5699999999999999E-2</v>
      </c>
      <c r="I418">
        <v>0.66</v>
      </c>
      <c r="J418">
        <v>130.02000000000001</v>
      </c>
      <c r="K418">
        <v>11</v>
      </c>
      <c r="L418">
        <v>11.82</v>
      </c>
      <c r="M418">
        <v>2637.16</v>
      </c>
      <c r="N418">
        <v>20.28</v>
      </c>
    </row>
    <row r="419" spans="1:14" x14ac:dyDescent="0.25">
      <c r="A419" s="1">
        <v>45303</v>
      </c>
      <c r="B419" t="s">
        <v>28</v>
      </c>
      <c r="C419" t="s">
        <v>21</v>
      </c>
      <c r="D419" t="s">
        <v>22</v>
      </c>
      <c r="E419" t="s">
        <v>20</v>
      </c>
      <c r="F419">
        <v>62676</v>
      </c>
      <c r="G419">
        <v>595</v>
      </c>
      <c r="H419">
        <v>9.4999999999999998E-3</v>
      </c>
      <c r="I419">
        <v>2.42</v>
      </c>
      <c r="J419">
        <v>1439.9</v>
      </c>
      <c r="K419">
        <v>32</v>
      </c>
      <c r="L419">
        <v>45</v>
      </c>
      <c r="M419">
        <v>1319.08</v>
      </c>
      <c r="N419">
        <v>0.92</v>
      </c>
    </row>
    <row r="420" spans="1:14" x14ac:dyDescent="0.25">
      <c r="A420" s="1">
        <v>45483</v>
      </c>
      <c r="B420" t="s">
        <v>14</v>
      </c>
      <c r="C420" t="s">
        <v>15</v>
      </c>
      <c r="D420" t="s">
        <v>16</v>
      </c>
      <c r="E420" t="s">
        <v>20</v>
      </c>
      <c r="F420">
        <v>59943</v>
      </c>
      <c r="G420">
        <v>2163</v>
      </c>
      <c r="H420">
        <v>3.61E-2</v>
      </c>
      <c r="I420">
        <v>3.29</v>
      </c>
      <c r="J420">
        <v>7116.27</v>
      </c>
      <c r="K420">
        <v>114</v>
      </c>
      <c r="L420">
        <v>62.42</v>
      </c>
      <c r="M420">
        <v>4800.8100000000004</v>
      </c>
      <c r="N420">
        <v>0.67</v>
      </c>
    </row>
    <row r="421" spans="1:14" x14ac:dyDescent="0.25">
      <c r="A421" s="1">
        <v>45585</v>
      </c>
      <c r="B421" t="s">
        <v>28</v>
      </c>
      <c r="C421" t="s">
        <v>29</v>
      </c>
      <c r="D421" t="s">
        <v>25</v>
      </c>
      <c r="E421" t="s">
        <v>23</v>
      </c>
      <c r="F421">
        <v>78302</v>
      </c>
      <c r="G421">
        <v>900</v>
      </c>
      <c r="H421">
        <v>1.15E-2</v>
      </c>
      <c r="I421">
        <v>0.49</v>
      </c>
      <c r="J421">
        <v>441</v>
      </c>
      <c r="K421">
        <v>52</v>
      </c>
      <c r="L421">
        <v>8.48</v>
      </c>
      <c r="M421">
        <v>6354.23</v>
      </c>
      <c r="N421">
        <v>14.41</v>
      </c>
    </row>
    <row r="422" spans="1:14" x14ac:dyDescent="0.25">
      <c r="A422" s="1">
        <v>45539</v>
      </c>
      <c r="B422" t="s">
        <v>14</v>
      </c>
      <c r="C422" t="s">
        <v>21</v>
      </c>
      <c r="D422" t="s">
        <v>19</v>
      </c>
      <c r="E422" t="s">
        <v>20</v>
      </c>
      <c r="F422">
        <v>154805</v>
      </c>
      <c r="G422">
        <v>9535</v>
      </c>
      <c r="H422">
        <v>6.1600000000000002E-2</v>
      </c>
      <c r="I422">
        <v>0.96</v>
      </c>
      <c r="J422">
        <v>9153.6</v>
      </c>
      <c r="K422">
        <v>525</v>
      </c>
      <c r="L422">
        <v>17.440000000000001</v>
      </c>
      <c r="M422">
        <v>18155.37</v>
      </c>
      <c r="N422">
        <v>1.98</v>
      </c>
    </row>
    <row r="423" spans="1:14" x14ac:dyDescent="0.25">
      <c r="A423" s="1">
        <v>45421</v>
      </c>
      <c r="B423" t="s">
        <v>18</v>
      </c>
      <c r="C423" t="s">
        <v>21</v>
      </c>
      <c r="D423" t="s">
        <v>16</v>
      </c>
      <c r="E423" t="s">
        <v>32</v>
      </c>
      <c r="F423">
        <v>41839</v>
      </c>
      <c r="G423">
        <v>2991</v>
      </c>
      <c r="H423">
        <v>7.1499999999999994E-2</v>
      </c>
      <c r="I423">
        <v>0.99</v>
      </c>
      <c r="J423">
        <v>2961.09</v>
      </c>
      <c r="K423">
        <v>45</v>
      </c>
      <c r="L423">
        <v>65.8</v>
      </c>
      <c r="M423">
        <v>9665.89</v>
      </c>
      <c r="N423">
        <v>3.26</v>
      </c>
    </row>
    <row r="424" spans="1:14" x14ac:dyDescent="0.25">
      <c r="A424" s="1">
        <v>45460</v>
      </c>
      <c r="B424" t="s">
        <v>28</v>
      </c>
      <c r="C424" t="s">
        <v>24</v>
      </c>
      <c r="D424" t="s">
        <v>25</v>
      </c>
      <c r="E424" t="s">
        <v>31</v>
      </c>
      <c r="F424">
        <v>127872</v>
      </c>
      <c r="G424">
        <v>2953</v>
      </c>
      <c r="H424">
        <v>2.3099999999999999E-2</v>
      </c>
      <c r="I424">
        <v>0.59</v>
      </c>
      <c r="J424">
        <v>1742.27</v>
      </c>
      <c r="K424">
        <v>150</v>
      </c>
      <c r="L424">
        <v>11.62</v>
      </c>
      <c r="M424">
        <v>15282.38</v>
      </c>
      <c r="N424">
        <v>8.77</v>
      </c>
    </row>
    <row r="425" spans="1:14" x14ac:dyDescent="0.25">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row>
    <row r="426" spans="1:14" x14ac:dyDescent="0.25">
      <c r="A426" s="1">
        <v>45469</v>
      </c>
      <c r="B426" t="s">
        <v>14</v>
      </c>
      <c r="C426" t="s">
        <v>24</v>
      </c>
      <c r="D426" t="s">
        <v>19</v>
      </c>
      <c r="E426" t="s">
        <v>23</v>
      </c>
      <c r="F426">
        <v>133588</v>
      </c>
      <c r="G426">
        <v>6545</v>
      </c>
      <c r="H426">
        <v>4.9000000000000002E-2</v>
      </c>
      <c r="I426">
        <v>1.68</v>
      </c>
      <c r="J426">
        <v>10995.6</v>
      </c>
      <c r="K426">
        <v>241</v>
      </c>
      <c r="L426">
        <v>45.62</v>
      </c>
      <c r="M426">
        <v>34421.71</v>
      </c>
      <c r="N426">
        <v>3.13</v>
      </c>
    </row>
    <row r="427" spans="1:14" x14ac:dyDescent="0.25">
      <c r="A427" s="1">
        <v>45320</v>
      </c>
      <c r="B427" t="s">
        <v>14</v>
      </c>
      <c r="C427" t="s">
        <v>21</v>
      </c>
      <c r="D427" t="s">
        <v>16</v>
      </c>
      <c r="E427" t="s">
        <v>20</v>
      </c>
      <c r="F427">
        <v>82462</v>
      </c>
      <c r="G427">
        <v>3916</v>
      </c>
      <c r="H427">
        <v>4.7500000000000001E-2</v>
      </c>
      <c r="I427">
        <v>2.1</v>
      </c>
      <c r="J427">
        <v>8223.6</v>
      </c>
      <c r="K427">
        <v>199</v>
      </c>
      <c r="L427">
        <v>41.32</v>
      </c>
      <c r="M427">
        <v>48785.37</v>
      </c>
      <c r="N427">
        <v>5.93</v>
      </c>
    </row>
    <row r="428" spans="1:14" x14ac:dyDescent="0.25">
      <c r="A428" s="1">
        <v>45309</v>
      </c>
      <c r="B428" t="s">
        <v>14</v>
      </c>
      <c r="C428" t="s">
        <v>29</v>
      </c>
      <c r="D428" t="s">
        <v>30</v>
      </c>
      <c r="E428" t="s">
        <v>32</v>
      </c>
      <c r="F428">
        <v>55248</v>
      </c>
      <c r="G428">
        <v>1646</v>
      </c>
      <c r="H428">
        <v>2.98E-2</v>
      </c>
      <c r="I428">
        <v>2.6</v>
      </c>
      <c r="J428">
        <v>4279.6000000000004</v>
      </c>
      <c r="K428">
        <v>43</v>
      </c>
      <c r="L428">
        <v>99.53</v>
      </c>
      <c r="M428">
        <v>12311.15</v>
      </c>
      <c r="N428">
        <v>2.88</v>
      </c>
    </row>
    <row r="429" spans="1:14" x14ac:dyDescent="0.25">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row>
    <row r="430" spans="1:14" x14ac:dyDescent="0.25">
      <c r="A430" s="1">
        <v>45357</v>
      </c>
      <c r="B430" t="s">
        <v>28</v>
      </c>
      <c r="C430" t="s">
        <v>21</v>
      </c>
      <c r="D430" t="s">
        <v>19</v>
      </c>
      <c r="E430" t="s">
        <v>23</v>
      </c>
      <c r="F430">
        <v>104976</v>
      </c>
      <c r="G430">
        <v>1238</v>
      </c>
      <c r="H430">
        <v>1.18E-2</v>
      </c>
      <c r="I430">
        <v>1.52</v>
      </c>
      <c r="J430">
        <v>1881.76</v>
      </c>
      <c r="K430">
        <v>16</v>
      </c>
      <c r="L430">
        <v>117.61</v>
      </c>
      <c r="M430">
        <v>4162.9799999999996</v>
      </c>
      <c r="N430">
        <v>2.21</v>
      </c>
    </row>
    <row r="431" spans="1:14" x14ac:dyDescent="0.25">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row>
    <row r="432" spans="1:14" x14ac:dyDescent="0.25">
      <c r="A432" s="1">
        <v>45518</v>
      </c>
      <c r="B432" t="s">
        <v>14</v>
      </c>
      <c r="C432" t="s">
        <v>15</v>
      </c>
      <c r="D432" t="s">
        <v>25</v>
      </c>
      <c r="E432" t="s">
        <v>23</v>
      </c>
      <c r="F432">
        <v>109263</v>
      </c>
      <c r="G432">
        <v>2829</v>
      </c>
      <c r="H432">
        <v>2.5899999999999999E-2</v>
      </c>
      <c r="I432">
        <v>0.88</v>
      </c>
      <c r="J432">
        <v>2489.52</v>
      </c>
      <c r="K432">
        <v>129</v>
      </c>
      <c r="L432">
        <v>19.3</v>
      </c>
      <c r="M432">
        <v>14321.34</v>
      </c>
      <c r="N432">
        <v>5.75</v>
      </c>
    </row>
    <row r="433" spans="1:14" x14ac:dyDescent="0.25">
      <c r="A433" s="1">
        <v>45456</v>
      </c>
      <c r="B433" t="s">
        <v>14</v>
      </c>
      <c r="C433" t="s">
        <v>21</v>
      </c>
      <c r="D433" t="s">
        <v>16</v>
      </c>
      <c r="E433" t="s">
        <v>17</v>
      </c>
      <c r="F433">
        <v>105814</v>
      </c>
      <c r="G433">
        <v>6126</v>
      </c>
      <c r="H433">
        <v>5.79E-2</v>
      </c>
      <c r="I433">
        <v>2.79</v>
      </c>
      <c r="J433">
        <v>17091.54</v>
      </c>
      <c r="K433">
        <v>289</v>
      </c>
      <c r="L433">
        <v>59.14</v>
      </c>
      <c r="M433">
        <v>45447.24</v>
      </c>
      <c r="N433">
        <v>2.66</v>
      </c>
    </row>
    <row r="434" spans="1:14" x14ac:dyDescent="0.25">
      <c r="A434" s="1">
        <v>45520</v>
      </c>
      <c r="B434" t="s">
        <v>18</v>
      </c>
      <c r="C434" t="s">
        <v>24</v>
      </c>
      <c r="D434" t="s">
        <v>22</v>
      </c>
      <c r="E434" t="s">
        <v>27</v>
      </c>
      <c r="F434">
        <v>41113</v>
      </c>
      <c r="G434">
        <v>2347</v>
      </c>
      <c r="H434">
        <v>5.7099999999999998E-2</v>
      </c>
      <c r="I434">
        <v>0.96</v>
      </c>
      <c r="J434">
        <v>2253.12</v>
      </c>
      <c r="K434">
        <v>33</v>
      </c>
      <c r="L434">
        <v>68.28</v>
      </c>
      <c r="M434">
        <v>2659.26</v>
      </c>
      <c r="N434">
        <v>1.18</v>
      </c>
    </row>
    <row r="435" spans="1:14" x14ac:dyDescent="0.25">
      <c r="A435" s="1">
        <v>45306</v>
      </c>
      <c r="B435" t="s">
        <v>14</v>
      </c>
      <c r="C435" t="s">
        <v>15</v>
      </c>
      <c r="D435" t="s">
        <v>25</v>
      </c>
      <c r="E435" t="s">
        <v>27</v>
      </c>
      <c r="F435">
        <v>43098</v>
      </c>
      <c r="G435">
        <v>1620</v>
      </c>
      <c r="H435">
        <v>3.7600000000000001E-2</v>
      </c>
      <c r="I435">
        <v>2.73</v>
      </c>
      <c r="J435">
        <v>4422.6000000000004</v>
      </c>
      <c r="K435">
        <v>39</v>
      </c>
      <c r="L435">
        <v>113.4</v>
      </c>
      <c r="M435">
        <v>7135.44</v>
      </c>
      <c r="N435">
        <v>1.61</v>
      </c>
    </row>
    <row r="436" spans="1:14" x14ac:dyDescent="0.25">
      <c r="A436" s="1">
        <v>45532</v>
      </c>
      <c r="B436" t="s">
        <v>28</v>
      </c>
      <c r="C436" t="s">
        <v>29</v>
      </c>
      <c r="D436" t="s">
        <v>30</v>
      </c>
      <c r="E436" t="s">
        <v>27</v>
      </c>
      <c r="F436">
        <v>25991</v>
      </c>
      <c r="G436">
        <v>309</v>
      </c>
      <c r="H436">
        <v>1.1900000000000001E-2</v>
      </c>
      <c r="I436">
        <v>1.52</v>
      </c>
      <c r="J436">
        <v>469.68</v>
      </c>
      <c r="K436">
        <v>14</v>
      </c>
      <c r="L436">
        <v>33.549999999999997</v>
      </c>
      <c r="M436">
        <v>2306.63</v>
      </c>
      <c r="N436">
        <v>4.91</v>
      </c>
    </row>
    <row r="437" spans="1:14" x14ac:dyDescent="0.25">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row>
    <row r="438" spans="1:14" x14ac:dyDescent="0.25">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row>
    <row r="439" spans="1:14" x14ac:dyDescent="0.25">
      <c r="A439" s="1">
        <v>45596</v>
      </c>
      <c r="B439" t="s">
        <v>28</v>
      </c>
      <c r="C439" t="s">
        <v>21</v>
      </c>
      <c r="D439" t="s">
        <v>19</v>
      </c>
      <c r="E439" t="s">
        <v>17</v>
      </c>
      <c r="F439">
        <v>140453</v>
      </c>
      <c r="G439">
        <v>4213</v>
      </c>
      <c r="H439">
        <v>0.03</v>
      </c>
      <c r="I439">
        <v>1.0900000000000001</v>
      </c>
      <c r="J439">
        <v>4592.17</v>
      </c>
      <c r="K439">
        <v>56</v>
      </c>
      <c r="L439">
        <v>82</v>
      </c>
      <c r="M439">
        <v>4347.7700000000004</v>
      </c>
      <c r="N439">
        <v>0.95</v>
      </c>
    </row>
    <row r="440" spans="1:14" x14ac:dyDescent="0.25">
      <c r="A440" s="1">
        <v>45403</v>
      </c>
      <c r="B440" t="s">
        <v>18</v>
      </c>
      <c r="C440" t="s">
        <v>29</v>
      </c>
      <c r="D440" t="s">
        <v>25</v>
      </c>
      <c r="E440" t="s">
        <v>26</v>
      </c>
      <c r="F440">
        <v>27936</v>
      </c>
      <c r="G440">
        <v>1402</v>
      </c>
      <c r="H440">
        <v>5.0200000000000002E-2</v>
      </c>
      <c r="I440">
        <v>1.32</v>
      </c>
      <c r="J440">
        <v>1850.64</v>
      </c>
      <c r="K440">
        <v>99</v>
      </c>
      <c r="L440">
        <v>18.690000000000001</v>
      </c>
      <c r="M440">
        <v>26865.9</v>
      </c>
      <c r="N440">
        <v>14.52</v>
      </c>
    </row>
    <row r="441" spans="1:14" x14ac:dyDescent="0.25">
      <c r="A441" s="1">
        <v>45349</v>
      </c>
      <c r="B441" t="s">
        <v>18</v>
      </c>
      <c r="C441" t="s">
        <v>29</v>
      </c>
      <c r="D441" t="s">
        <v>25</v>
      </c>
      <c r="E441" t="s">
        <v>20</v>
      </c>
      <c r="F441">
        <v>133303</v>
      </c>
      <c r="G441">
        <v>4225</v>
      </c>
      <c r="H441">
        <v>3.1699999999999999E-2</v>
      </c>
      <c r="I441">
        <v>1.53</v>
      </c>
      <c r="J441">
        <v>6464.25</v>
      </c>
      <c r="K441">
        <v>139</v>
      </c>
      <c r="L441">
        <v>46.51</v>
      </c>
      <c r="M441">
        <v>8508.68</v>
      </c>
      <c r="N441">
        <v>1.32</v>
      </c>
    </row>
    <row r="442" spans="1:14" x14ac:dyDescent="0.25">
      <c r="A442" s="1">
        <v>45414</v>
      </c>
      <c r="B442" t="s">
        <v>14</v>
      </c>
      <c r="C442" t="s">
        <v>21</v>
      </c>
      <c r="D442" t="s">
        <v>19</v>
      </c>
      <c r="E442" t="s">
        <v>17</v>
      </c>
      <c r="F442">
        <v>117333</v>
      </c>
      <c r="G442">
        <v>2898</v>
      </c>
      <c r="H442">
        <v>2.47E-2</v>
      </c>
      <c r="I442">
        <v>3.93</v>
      </c>
      <c r="J442">
        <v>11389.14</v>
      </c>
      <c r="K442">
        <v>48</v>
      </c>
      <c r="L442">
        <v>237.27</v>
      </c>
      <c r="M442">
        <v>5367.73</v>
      </c>
      <c r="N442">
        <v>0.47</v>
      </c>
    </row>
    <row r="443" spans="1:14" x14ac:dyDescent="0.25">
      <c r="A443" s="1">
        <v>45549</v>
      </c>
      <c r="B443" t="s">
        <v>28</v>
      </c>
      <c r="C443" t="s">
        <v>29</v>
      </c>
      <c r="D443" t="s">
        <v>25</v>
      </c>
      <c r="E443" t="s">
        <v>23</v>
      </c>
      <c r="F443">
        <v>152680</v>
      </c>
      <c r="G443">
        <v>6214</v>
      </c>
      <c r="H443">
        <v>4.07E-2</v>
      </c>
      <c r="I443">
        <v>2.1</v>
      </c>
      <c r="J443">
        <v>13049.4</v>
      </c>
      <c r="K443">
        <v>283</v>
      </c>
      <c r="L443">
        <v>46.11</v>
      </c>
      <c r="M443">
        <v>13261.37</v>
      </c>
      <c r="N443">
        <v>1.02</v>
      </c>
    </row>
    <row r="444" spans="1:14" x14ac:dyDescent="0.25">
      <c r="A444" s="1">
        <v>45555</v>
      </c>
      <c r="B444" t="s">
        <v>14</v>
      </c>
      <c r="C444" t="s">
        <v>29</v>
      </c>
      <c r="D444" t="s">
        <v>22</v>
      </c>
      <c r="E444" t="s">
        <v>23</v>
      </c>
      <c r="F444">
        <v>168384</v>
      </c>
      <c r="G444">
        <v>4681</v>
      </c>
      <c r="H444">
        <v>2.7799999999999998E-2</v>
      </c>
      <c r="I444">
        <v>2.57</v>
      </c>
      <c r="J444">
        <v>12030.17</v>
      </c>
      <c r="K444">
        <v>267</v>
      </c>
      <c r="L444">
        <v>45.06</v>
      </c>
      <c r="M444">
        <v>58628.480000000003</v>
      </c>
      <c r="N444">
        <v>4.87</v>
      </c>
    </row>
    <row r="445" spans="1:14" x14ac:dyDescent="0.25">
      <c r="A445" s="1">
        <v>45526</v>
      </c>
      <c r="B445" t="s">
        <v>14</v>
      </c>
      <c r="C445" t="s">
        <v>29</v>
      </c>
      <c r="D445" t="s">
        <v>16</v>
      </c>
      <c r="E445" t="s">
        <v>32</v>
      </c>
      <c r="F445">
        <v>106026</v>
      </c>
      <c r="G445">
        <v>5152</v>
      </c>
      <c r="H445">
        <v>4.8599999999999997E-2</v>
      </c>
      <c r="I445">
        <v>1.72</v>
      </c>
      <c r="J445">
        <v>8861.44</v>
      </c>
      <c r="K445">
        <v>240</v>
      </c>
      <c r="L445">
        <v>36.92</v>
      </c>
      <c r="M445">
        <v>50663.13</v>
      </c>
      <c r="N445">
        <v>5.72</v>
      </c>
    </row>
    <row r="446" spans="1:14" x14ac:dyDescent="0.25">
      <c r="A446" s="1">
        <v>45404</v>
      </c>
      <c r="B446" t="s">
        <v>14</v>
      </c>
      <c r="C446" t="s">
        <v>15</v>
      </c>
      <c r="D446" t="s">
        <v>30</v>
      </c>
      <c r="E446" t="s">
        <v>26</v>
      </c>
      <c r="F446">
        <v>107364</v>
      </c>
      <c r="G446">
        <v>4895</v>
      </c>
      <c r="H446">
        <v>4.5600000000000002E-2</v>
      </c>
      <c r="I446">
        <v>2.65</v>
      </c>
      <c r="J446">
        <v>12971.75</v>
      </c>
      <c r="K446">
        <v>200</v>
      </c>
      <c r="L446">
        <v>64.86</v>
      </c>
      <c r="M446">
        <v>42108.23</v>
      </c>
      <c r="N446">
        <v>3.25</v>
      </c>
    </row>
    <row r="447" spans="1:14" x14ac:dyDescent="0.25">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row>
    <row r="448" spans="1:14" x14ac:dyDescent="0.25">
      <c r="A448" s="1">
        <v>45487</v>
      </c>
      <c r="B448" t="s">
        <v>14</v>
      </c>
      <c r="C448" t="s">
        <v>24</v>
      </c>
      <c r="D448" t="s">
        <v>16</v>
      </c>
      <c r="E448" t="s">
        <v>32</v>
      </c>
      <c r="F448">
        <v>116695</v>
      </c>
      <c r="G448">
        <v>5799</v>
      </c>
      <c r="H448">
        <v>4.9700000000000001E-2</v>
      </c>
      <c r="I448">
        <v>3.13</v>
      </c>
      <c r="J448">
        <v>18150.87</v>
      </c>
      <c r="K448">
        <v>372</v>
      </c>
      <c r="L448">
        <v>48.79</v>
      </c>
      <c r="M448">
        <v>56034.95</v>
      </c>
      <c r="N448">
        <v>3.09</v>
      </c>
    </row>
    <row r="449" spans="1:14" x14ac:dyDescent="0.25">
      <c r="A449" s="1">
        <v>45624</v>
      </c>
      <c r="B449" t="s">
        <v>28</v>
      </c>
      <c r="C449" t="s">
        <v>15</v>
      </c>
      <c r="D449" t="s">
        <v>30</v>
      </c>
      <c r="E449" t="s">
        <v>20</v>
      </c>
      <c r="F449">
        <v>116030</v>
      </c>
      <c r="G449">
        <v>4177</v>
      </c>
      <c r="H449">
        <v>3.5999999999999997E-2</v>
      </c>
      <c r="I449">
        <v>0.9</v>
      </c>
      <c r="J449">
        <v>3759.3</v>
      </c>
      <c r="K449">
        <v>188</v>
      </c>
      <c r="L449">
        <v>20</v>
      </c>
      <c r="M449">
        <v>8691.11</v>
      </c>
      <c r="N449">
        <v>2.31</v>
      </c>
    </row>
    <row r="450" spans="1:14" x14ac:dyDescent="0.25">
      <c r="A450" s="1">
        <v>45515</v>
      </c>
      <c r="B450" t="s">
        <v>18</v>
      </c>
      <c r="C450" t="s">
        <v>15</v>
      </c>
      <c r="D450" t="s">
        <v>30</v>
      </c>
      <c r="E450" t="s">
        <v>32</v>
      </c>
      <c r="F450">
        <v>164599</v>
      </c>
      <c r="G450">
        <v>11209</v>
      </c>
      <c r="H450">
        <v>6.8099999999999994E-2</v>
      </c>
      <c r="I450">
        <v>0.41</v>
      </c>
      <c r="J450">
        <v>4595.6899999999996</v>
      </c>
      <c r="K450">
        <v>653</v>
      </c>
      <c r="L450">
        <v>7.04</v>
      </c>
      <c r="M450">
        <v>133415.01</v>
      </c>
      <c r="N450">
        <v>29.03</v>
      </c>
    </row>
    <row r="451" spans="1:14" x14ac:dyDescent="0.25">
      <c r="A451" s="1">
        <v>45400</v>
      </c>
      <c r="B451" t="s">
        <v>18</v>
      </c>
      <c r="C451" t="s">
        <v>21</v>
      </c>
      <c r="D451" t="s">
        <v>16</v>
      </c>
      <c r="E451" t="s">
        <v>31</v>
      </c>
      <c r="F451">
        <v>188844</v>
      </c>
      <c r="G451">
        <v>12860</v>
      </c>
      <c r="H451">
        <v>6.8099999999999994E-2</v>
      </c>
      <c r="I451">
        <v>0.98</v>
      </c>
      <c r="J451">
        <v>12602.8</v>
      </c>
      <c r="K451">
        <v>892</v>
      </c>
      <c r="L451">
        <v>14.13</v>
      </c>
      <c r="M451">
        <v>133607.64000000001</v>
      </c>
      <c r="N451">
        <v>10.6</v>
      </c>
    </row>
    <row r="452" spans="1:14" x14ac:dyDescent="0.25">
      <c r="A452" s="1">
        <v>45545</v>
      </c>
      <c r="B452" t="s">
        <v>18</v>
      </c>
      <c r="C452" t="s">
        <v>15</v>
      </c>
      <c r="D452" t="s">
        <v>30</v>
      </c>
      <c r="E452" t="s">
        <v>27</v>
      </c>
      <c r="F452">
        <v>90468</v>
      </c>
      <c r="G452">
        <v>5753</v>
      </c>
      <c r="H452">
        <v>6.3600000000000004E-2</v>
      </c>
      <c r="I452">
        <v>0.8</v>
      </c>
      <c r="J452">
        <v>4602.3999999999996</v>
      </c>
      <c r="K452">
        <v>141</v>
      </c>
      <c r="L452">
        <v>32.64</v>
      </c>
      <c r="M452">
        <v>12042.73</v>
      </c>
      <c r="N452">
        <v>2.62</v>
      </c>
    </row>
    <row r="453" spans="1:14" x14ac:dyDescent="0.25">
      <c r="A453" s="1">
        <v>45467</v>
      </c>
      <c r="B453" t="s">
        <v>14</v>
      </c>
      <c r="C453" t="s">
        <v>21</v>
      </c>
      <c r="D453" t="s">
        <v>30</v>
      </c>
      <c r="E453" t="s">
        <v>32</v>
      </c>
      <c r="F453">
        <v>117223</v>
      </c>
      <c r="G453">
        <v>7935</v>
      </c>
      <c r="H453">
        <v>6.7699999999999996E-2</v>
      </c>
      <c r="I453">
        <v>2.02</v>
      </c>
      <c r="J453">
        <v>16028.7</v>
      </c>
      <c r="K453">
        <v>166</v>
      </c>
      <c r="L453">
        <v>96.56</v>
      </c>
      <c r="M453">
        <v>47449.87</v>
      </c>
      <c r="N453">
        <v>2.96</v>
      </c>
    </row>
    <row r="454" spans="1:14" x14ac:dyDescent="0.25">
      <c r="A454" s="1">
        <v>45377</v>
      </c>
      <c r="B454" t="s">
        <v>18</v>
      </c>
      <c r="C454" t="s">
        <v>24</v>
      </c>
      <c r="D454" t="s">
        <v>25</v>
      </c>
      <c r="E454" t="s">
        <v>26</v>
      </c>
      <c r="F454">
        <v>93478</v>
      </c>
      <c r="G454">
        <v>5786</v>
      </c>
      <c r="H454">
        <v>6.1899999999999997E-2</v>
      </c>
      <c r="I454">
        <v>0.42</v>
      </c>
      <c r="J454">
        <v>2430.12</v>
      </c>
      <c r="K454">
        <v>272</v>
      </c>
      <c r="L454">
        <v>8.93</v>
      </c>
      <c r="M454">
        <v>27905.19</v>
      </c>
      <c r="N454">
        <v>11.48</v>
      </c>
    </row>
    <row r="455" spans="1:14" x14ac:dyDescent="0.25">
      <c r="A455" s="1">
        <v>45625</v>
      </c>
      <c r="B455" t="s">
        <v>14</v>
      </c>
      <c r="C455" t="s">
        <v>21</v>
      </c>
      <c r="D455" t="s">
        <v>19</v>
      </c>
      <c r="E455" t="s">
        <v>27</v>
      </c>
      <c r="F455">
        <v>9134</v>
      </c>
      <c r="G455">
        <v>228</v>
      </c>
      <c r="H455">
        <v>2.5000000000000001E-2</v>
      </c>
      <c r="I455">
        <v>1.39</v>
      </c>
      <c r="J455">
        <v>316.92</v>
      </c>
      <c r="K455">
        <v>2</v>
      </c>
      <c r="L455">
        <v>158.46</v>
      </c>
      <c r="M455">
        <v>329.55</v>
      </c>
      <c r="N455">
        <v>1.04</v>
      </c>
    </row>
    <row r="456" spans="1:14" x14ac:dyDescent="0.25">
      <c r="A456" s="1">
        <v>45422</v>
      </c>
      <c r="B456" t="s">
        <v>28</v>
      </c>
      <c r="C456" t="s">
        <v>29</v>
      </c>
      <c r="D456" t="s">
        <v>30</v>
      </c>
      <c r="E456" t="s">
        <v>17</v>
      </c>
      <c r="F456">
        <v>29485</v>
      </c>
      <c r="G456">
        <v>1341</v>
      </c>
      <c r="H456">
        <v>4.5499999999999999E-2</v>
      </c>
      <c r="I456">
        <v>1.41</v>
      </c>
      <c r="J456">
        <v>1890.81</v>
      </c>
      <c r="K456">
        <v>46</v>
      </c>
      <c r="L456">
        <v>41.1</v>
      </c>
      <c r="M456">
        <v>4626.55</v>
      </c>
      <c r="N456">
        <v>2.4500000000000002</v>
      </c>
    </row>
    <row r="457" spans="1:14" x14ac:dyDescent="0.25">
      <c r="A457" s="1">
        <v>45649</v>
      </c>
      <c r="B457" t="s">
        <v>18</v>
      </c>
      <c r="C457" t="s">
        <v>21</v>
      </c>
      <c r="D457" t="s">
        <v>25</v>
      </c>
      <c r="E457" t="s">
        <v>27</v>
      </c>
      <c r="F457">
        <v>22221</v>
      </c>
      <c r="G457">
        <v>1706</v>
      </c>
      <c r="H457">
        <v>7.6799999999999993E-2</v>
      </c>
      <c r="I457">
        <v>0.5</v>
      </c>
      <c r="J457">
        <v>853</v>
      </c>
      <c r="K457">
        <v>74</v>
      </c>
      <c r="L457">
        <v>11.53</v>
      </c>
      <c r="M457">
        <v>14659.06</v>
      </c>
      <c r="N457">
        <v>17.190000000000001</v>
      </c>
    </row>
    <row r="458" spans="1:14" x14ac:dyDescent="0.25">
      <c r="A458" s="1">
        <v>45462</v>
      </c>
      <c r="B458" t="s">
        <v>14</v>
      </c>
      <c r="C458" t="s">
        <v>29</v>
      </c>
      <c r="D458" t="s">
        <v>25</v>
      </c>
      <c r="E458" t="s">
        <v>26</v>
      </c>
      <c r="F458">
        <v>178567</v>
      </c>
      <c r="G458">
        <v>8374</v>
      </c>
      <c r="H458">
        <v>4.6899999999999997E-2</v>
      </c>
      <c r="I458">
        <v>1.33</v>
      </c>
      <c r="J458">
        <v>11137.42</v>
      </c>
      <c r="K458">
        <v>98</v>
      </c>
      <c r="L458">
        <v>113.65</v>
      </c>
      <c r="M458">
        <v>8808.2900000000009</v>
      </c>
      <c r="N458">
        <v>0.79</v>
      </c>
    </row>
    <row r="459" spans="1:14" x14ac:dyDescent="0.25">
      <c r="A459" s="1">
        <v>45571</v>
      </c>
      <c r="B459" t="s">
        <v>18</v>
      </c>
      <c r="C459" t="s">
        <v>29</v>
      </c>
      <c r="D459" t="s">
        <v>30</v>
      </c>
      <c r="E459" t="s">
        <v>32</v>
      </c>
      <c r="F459">
        <v>93074</v>
      </c>
      <c r="G459">
        <v>4225</v>
      </c>
      <c r="H459">
        <v>4.5400000000000003E-2</v>
      </c>
      <c r="I459">
        <v>1.54</v>
      </c>
      <c r="J459">
        <v>6506.5</v>
      </c>
      <c r="K459">
        <v>300</v>
      </c>
      <c r="L459">
        <v>21.69</v>
      </c>
      <c r="M459">
        <v>11467.08</v>
      </c>
      <c r="N459">
        <v>1.76</v>
      </c>
    </row>
    <row r="460" spans="1:14" x14ac:dyDescent="0.25">
      <c r="A460" s="1">
        <v>45650</v>
      </c>
      <c r="B460" t="s">
        <v>14</v>
      </c>
      <c r="C460" t="s">
        <v>15</v>
      </c>
      <c r="D460" t="s">
        <v>22</v>
      </c>
      <c r="E460" t="s">
        <v>32</v>
      </c>
      <c r="F460">
        <v>155840</v>
      </c>
      <c r="G460">
        <v>4566</v>
      </c>
      <c r="H460">
        <v>2.93E-2</v>
      </c>
      <c r="I460">
        <v>1.1200000000000001</v>
      </c>
      <c r="J460">
        <v>5113.92</v>
      </c>
      <c r="K460">
        <v>312</v>
      </c>
      <c r="L460">
        <v>16.39</v>
      </c>
      <c r="M460">
        <v>40138.5</v>
      </c>
      <c r="N460">
        <v>7.85</v>
      </c>
    </row>
    <row r="461" spans="1:14" x14ac:dyDescent="0.25">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row>
    <row r="462" spans="1:14" x14ac:dyDescent="0.25">
      <c r="A462" s="1">
        <v>45418</v>
      </c>
      <c r="B462" t="s">
        <v>28</v>
      </c>
      <c r="C462" t="s">
        <v>15</v>
      </c>
      <c r="D462" t="s">
        <v>30</v>
      </c>
      <c r="E462" t="s">
        <v>23</v>
      </c>
      <c r="F462">
        <v>177224</v>
      </c>
      <c r="G462">
        <v>2374</v>
      </c>
      <c r="H462">
        <v>1.34E-2</v>
      </c>
      <c r="I462">
        <v>1.57</v>
      </c>
      <c r="J462">
        <v>3727.18</v>
      </c>
      <c r="K462">
        <v>142</v>
      </c>
      <c r="L462">
        <v>26.25</v>
      </c>
      <c r="M462">
        <v>18303.419999999998</v>
      </c>
      <c r="N462">
        <v>4.91</v>
      </c>
    </row>
    <row r="463" spans="1:14" x14ac:dyDescent="0.25">
      <c r="A463" s="1">
        <v>45600</v>
      </c>
      <c r="B463" t="s">
        <v>14</v>
      </c>
      <c r="C463" t="s">
        <v>15</v>
      </c>
      <c r="D463" t="s">
        <v>19</v>
      </c>
      <c r="E463" t="s">
        <v>17</v>
      </c>
      <c r="F463">
        <v>93720</v>
      </c>
      <c r="G463">
        <v>2661</v>
      </c>
      <c r="H463">
        <v>2.8400000000000002E-2</v>
      </c>
      <c r="I463">
        <v>1.7</v>
      </c>
      <c r="J463">
        <v>4523.7</v>
      </c>
      <c r="K463">
        <v>104</v>
      </c>
      <c r="L463">
        <v>43.5</v>
      </c>
      <c r="M463">
        <v>18904.07</v>
      </c>
      <c r="N463">
        <v>4.18</v>
      </c>
    </row>
    <row r="464" spans="1:14" x14ac:dyDescent="0.25">
      <c r="A464" s="1">
        <v>45440</v>
      </c>
      <c r="B464" t="s">
        <v>14</v>
      </c>
      <c r="C464" t="s">
        <v>29</v>
      </c>
      <c r="D464" t="s">
        <v>19</v>
      </c>
      <c r="E464" t="s">
        <v>23</v>
      </c>
      <c r="F464">
        <v>169909</v>
      </c>
      <c r="G464">
        <v>7781</v>
      </c>
      <c r="H464">
        <v>4.58E-2</v>
      </c>
      <c r="I464">
        <v>2.5</v>
      </c>
      <c r="J464">
        <v>19452.5</v>
      </c>
      <c r="K464">
        <v>124</v>
      </c>
      <c r="L464">
        <v>156.88</v>
      </c>
      <c r="M464">
        <v>26123.279999999999</v>
      </c>
      <c r="N464">
        <v>1.34</v>
      </c>
    </row>
    <row r="465" spans="1:14" x14ac:dyDescent="0.25">
      <c r="A465" s="1">
        <v>45509</v>
      </c>
      <c r="B465" t="s">
        <v>28</v>
      </c>
      <c r="C465" t="s">
        <v>21</v>
      </c>
      <c r="D465" t="s">
        <v>22</v>
      </c>
      <c r="E465" t="s">
        <v>23</v>
      </c>
      <c r="F465">
        <v>46548</v>
      </c>
      <c r="G465">
        <v>1047</v>
      </c>
      <c r="H465">
        <v>2.2499999999999999E-2</v>
      </c>
      <c r="I465">
        <v>1.55</v>
      </c>
      <c r="J465">
        <v>1622.85</v>
      </c>
      <c r="K465">
        <v>28</v>
      </c>
      <c r="L465">
        <v>57.96</v>
      </c>
      <c r="M465">
        <v>7800.92</v>
      </c>
      <c r="N465">
        <v>4.8099999999999996</v>
      </c>
    </row>
    <row r="466" spans="1:14" x14ac:dyDescent="0.25">
      <c r="A466" s="1">
        <v>45634</v>
      </c>
      <c r="B466" t="s">
        <v>28</v>
      </c>
      <c r="C466" t="s">
        <v>15</v>
      </c>
      <c r="D466" t="s">
        <v>22</v>
      </c>
      <c r="E466" t="s">
        <v>23</v>
      </c>
      <c r="F466">
        <v>6875</v>
      </c>
      <c r="G466">
        <v>158</v>
      </c>
      <c r="H466">
        <v>2.3099999999999999E-2</v>
      </c>
      <c r="I466">
        <v>1.83</v>
      </c>
      <c r="J466">
        <v>289.14</v>
      </c>
      <c r="K466">
        <v>2</v>
      </c>
      <c r="L466">
        <v>144.57</v>
      </c>
      <c r="M466">
        <v>386.94</v>
      </c>
      <c r="N466">
        <v>1.34</v>
      </c>
    </row>
    <row r="467" spans="1:14" x14ac:dyDescent="0.25">
      <c r="A467" s="1">
        <v>45652</v>
      </c>
      <c r="B467" t="s">
        <v>14</v>
      </c>
      <c r="C467" t="s">
        <v>15</v>
      </c>
      <c r="D467" t="s">
        <v>25</v>
      </c>
      <c r="E467" t="s">
        <v>31</v>
      </c>
      <c r="F467">
        <v>106975</v>
      </c>
      <c r="G467">
        <v>4300</v>
      </c>
      <c r="H467">
        <v>4.02E-2</v>
      </c>
      <c r="I467">
        <v>2.39</v>
      </c>
      <c r="J467">
        <v>10277</v>
      </c>
      <c r="K467">
        <v>335</v>
      </c>
      <c r="L467">
        <v>30.68</v>
      </c>
      <c r="M467">
        <v>35904.36</v>
      </c>
      <c r="N467">
        <v>3.49</v>
      </c>
    </row>
    <row r="468" spans="1:14" x14ac:dyDescent="0.25">
      <c r="A468" s="1">
        <v>45330</v>
      </c>
      <c r="B468" t="s">
        <v>14</v>
      </c>
      <c r="C468" t="s">
        <v>24</v>
      </c>
      <c r="D468" t="s">
        <v>25</v>
      </c>
      <c r="E468" t="s">
        <v>20</v>
      </c>
      <c r="F468">
        <v>10574</v>
      </c>
      <c r="G468">
        <v>389</v>
      </c>
      <c r="H468">
        <v>3.6799999999999999E-2</v>
      </c>
      <c r="I468">
        <v>2.59</v>
      </c>
      <c r="J468">
        <v>1007.51</v>
      </c>
      <c r="K468">
        <v>6</v>
      </c>
      <c r="L468">
        <v>167.92</v>
      </c>
      <c r="M468">
        <v>908.68</v>
      </c>
      <c r="N468">
        <v>0.9</v>
      </c>
    </row>
    <row r="469" spans="1:14" x14ac:dyDescent="0.25">
      <c r="A469" s="1">
        <v>45489</v>
      </c>
      <c r="B469" t="s">
        <v>18</v>
      </c>
      <c r="C469" t="s">
        <v>21</v>
      </c>
      <c r="D469" t="s">
        <v>16</v>
      </c>
      <c r="E469" t="s">
        <v>32</v>
      </c>
      <c r="F469">
        <v>147658</v>
      </c>
      <c r="G469">
        <v>6939</v>
      </c>
      <c r="H469">
        <v>4.7E-2</v>
      </c>
      <c r="I469">
        <v>0.86</v>
      </c>
      <c r="J469">
        <v>5967.54</v>
      </c>
      <c r="K469">
        <v>282</v>
      </c>
      <c r="L469">
        <v>21.16</v>
      </c>
      <c r="M469">
        <v>39581.75</v>
      </c>
      <c r="N469">
        <v>6.63</v>
      </c>
    </row>
    <row r="470" spans="1:14" x14ac:dyDescent="0.25">
      <c r="A470" s="1">
        <v>45445</v>
      </c>
      <c r="B470" t="s">
        <v>28</v>
      </c>
      <c r="C470" t="s">
        <v>24</v>
      </c>
      <c r="D470" t="s">
        <v>25</v>
      </c>
      <c r="E470" t="s">
        <v>27</v>
      </c>
      <c r="F470">
        <v>52013</v>
      </c>
      <c r="G470">
        <v>1565</v>
      </c>
      <c r="H470">
        <v>3.0099999999999998E-2</v>
      </c>
      <c r="I470">
        <v>1.03</v>
      </c>
      <c r="J470">
        <v>1611.95</v>
      </c>
      <c r="K470">
        <v>23</v>
      </c>
      <c r="L470">
        <v>70.08</v>
      </c>
      <c r="M470">
        <v>6481.69</v>
      </c>
      <c r="N470">
        <v>4.0199999999999996</v>
      </c>
    </row>
    <row r="471" spans="1:14" x14ac:dyDescent="0.25">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row>
    <row r="472" spans="1:14" x14ac:dyDescent="0.25">
      <c r="A472" s="1">
        <v>45477</v>
      </c>
      <c r="B472" t="s">
        <v>14</v>
      </c>
      <c r="C472" t="s">
        <v>15</v>
      </c>
      <c r="D472" t="s">
        <v>22</v>
      </c>
      <c r="E472" t="s">
        <v>23</v>
      </c>
      <c r="F472">
        <v>18877</v>
      </c>
      <c r="G472">
        <v>545</v>
      </c>
      <c r="H472">
        <v>2.8899999999999999E-2</v>
      </c>
      <c r="I472">
        <v>3.2</v>
      </c>
      <c r="J472">
        <v>1744</v>
      </c>
      <c r="K472">
        <v>26</v>
      </c>
      <c r="L472">
        <v>67.08</v>
      </c>
      <c r="M472">
        <v>5981</v>
      </c>
      <c r="N472">
        <v>3.43</v>
      </c>
    </row>
    <row r="473" spans="1:14" x14ac:dyDescent="0.25">
      <c r="A473" s="1">
        <v>45397</v>
      </c>
      <c r="B473" t="s">
        <v>28</v>
      </c>
      <c r="C473" t="s">
        <v>24</v>
      </c>
      <c r="D473" t="s">
        <v>22</v>
      </c>
      <c r="E473" t="s">
        <v>20</v>
      </c>
      <c r="F473">
        <v>106505</v>
      </c>
      <c r="G473">
        <v>1022</v>
      </c>
      <c r="H473">
        <v>9.5999999999999992E-3</v>
      </c>
      <c r="I473">
        <v>1.8</v>
      </c>
      <c r="J473">
        <v>1839.6</v>
      </c>
      <c r="K473">
        <v>27</v>
      </c>
      <c r="L473">
        <v>68.13</v>
      </c>
      <c r="M473">
        <v>2467.1799999999998</v>
      </c>
      <c r="N473">
        <v>1.34</v>
      </c>
    </row>
    <row r="474" spans="1:14" x14ac:dyDescent="0.25">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row>
    <row r="475" spans="1:14" x14ac:dyDescent="0.25">
      <c r="A475" s="1">
        <v>45353</v>
      </c>
      <c r="B475" t="s">
        <v>14</v>
      </c>
      <c r="C475" t="s">
        <v>24</v>
      </c>
      <c r="D475" t="s">
        <v>25</v>
      </c>
      <c r="E475" t="s">
        <v>31</v>
      </c>
      <c r="F475">
        <v>69839</v>
      </c>
      <c r="G475">
        <v>1620</v>
      </c>
      <c r="H475">
        <v>2.3199999999999998E-2</v>
      </c>
      <c r="I475">
        <v>1.26</v>
      </c>
      <c r="J475">
        <v>2041.2</v>
      </c>
      <c r="K475">
        <v>80</v>
      </c>
      <c r="L475">
        <v>25.52</v>
      </c>
      <c r="M475">
        <v>22785.52</v>
      </c>
      <c r="N475">
        <v>11.16</v>
      </c>
    </row>
    <row r="476" spans="1:14" x14ac:dyDescent="0.25">
      <c r="A476" s="1">
        <v>45349</v>
      </c>
      <c r="B476" t="s">
        <v>14</v>
      </c>
      <c r="C476" t="s">
        <v>21</v>
      </c>
      <c r="D476" t="s">
        <v>25</v>
      </c>
      <c r="E476" t="s">
        <v>23</v>
      </c>
      <c r="F476">
        <v>104794</v>
      </c>
      <c r="G476">
        <v>5920</v>
      </c>
      <c r="H476">
        <v>5.6500000000000002E-2</v>
      </c>
      <c r="I476">
        <v>3.66</v>
      </c>
      <c r="J476">
        <v>21667.200000000001</v>
      </c>
      <c r="K476">
        <v>359</v>
      </c>
      <c r="L476">
        <v>60.35</v>
      </c>
      <c r="M476">
        <v>21837.83</v>
      </c>
      <c r="N476">
        <v>1.01</v>
      </c>
    </row>
    <row r="477" spans="1:14" x14ac:dyDescent="0.25">
      <c r="A477" s="1">
        <v>45396</v>
      </c>
      <c r="B477" t="s">
        <v>28</v>
      </c>
      <c r="C477" t="s">
        <v>21</v>
      </c>
      <c r="D477" t="s">
        <v>19</v>
      </c>
      <c r="E477" t="s">
        <v>23</v>
      </c>
      <c r="F477">
        <v>33549</v>
      </c>
      <c r="G477">
        <v>1224</v>
      </c>
      <c r="H477">
        <v>3.6499999999999998E-2</v>
      </c>
      <c r="I477">
        <v>0.76</v>
      </c>
      <c r="J477">
        <v>930.24</v>
      </c>
      <c r="K477">
        <v>89</v>
      </c>
      <c r="L477">
        <v>10.45</v>
      </c>
      <c r="M477">
        <v>26101.34</v>
      </c>
      <c r="N477">
        <v>28.06</v>
      </c>
    </row>
    <row r="478" spans="1:14" x14ac:dyDescent="0.25">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row>
    <row r="479" spans="1:14" x14ac:dyDescent="0.25">
      <c r="A479" s="1">
        <v>45608</v>
      </c>
      <c r="B479" t="s">
        <v>28</v>
      </c>
      <c r="C479" t="s">
        <v>21</v>
      </c>
      <c r="D479" t="s">
        <v>19</v>
      </c>
      <c r="E479" t="s">
        <v>26</v>
      </c>
      <c r="F479">
        <v>27419</v>
      </c>
      <c r="G479">
        <v>1192</v>
      </c>
      <c r="H479">
        <v>4.3499999999999997E-2</v>
      </c>
      <c r="I479">
        <v>1.83</v>
      </c>
      <c r="J479">
        <v>2181.36</v>
      </c>
      <c r="K479">
        <v>38</v>
      </c>
      <c r="L479">
        <v>57.4</v>
      </c>
      <c r="M479">
        <v>5935.39</v>
      </c>
      <c r="N479">
        <v>2.72</v>
      </c>
    </row>
    <row r="480" spans="1:14" x14ac:dyDescent="0.25">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row>
    <row r="481" spans="1:14" x14ac:dyDescent="0.25">
      <c r="A481" s="1">
        <v>45311</v>
      </c>
      <c r="B481" t="s">
        <v>14</v>
      </c>
      <c r="C481" t="s">
        <v>29</v>
      </c>
      <c r="D481" t="s">
        <v>30</v>
      </c>
      <c r="E481" t="s">
        <v>27</v>
      </c>
      <c r="F481">
        <v>181687</v>
      </c>
      <c r="G481">
        <v>8321</v>
      </c>
      <c r="H481">
        <v>4.58E-2</v>
      </c>
      <c r="I481">
        <v>3.14</v>
      </c>
      <c r="J481">
        <v>26127.94</v>
      </c>
      <c r="K481">
        <v>651</v>
      </c>
      <c r="L481">
        <v>40.14</v>
      </c>
      <c r="M481">
        <v>189283.47</v>
      </c>
      <c r="N481">
        <v>7.24</v>
      </c>
    </row>
    <row r="482" spans="1:14" x14ac:dyDescent="0.25">
      <c r="A482" s="1">
        <v>45495</v>
      </c>
      <c r="B482" t="s">
        <v>14</v>
      </c>
      <c r="C482" t="s">
        <v>29</v>
      </c>
      <c r="D482" t="s">
        <v>25</v>
      </c>
      <c r="E482" t="s">
        <v>20</v>
      </c>
      <c r="F482">
        <v>166792</v>
      </c>
      <c r="G482">
        <v>6071</v>
      </c>
      <c r="H482">
        <v>3.6400000000000002E-2</v>
      </c>
      <c r="I482">
        <v>3.15</v>
      </c>
      <c r="J482">
        <v>19123.650000000001</v>
      </c>
      <c r="K482">
        <v>323</v>
      </c>
      <c r="L482">
        <v>59.21</v>
      </c>
      <c r="M482">
        <v>23590.83</v>
      </c>
      <c r="N482">
        <v>1.23</v>
      </c>
    </row>
    <row r="483" spans="1:14" x14ac:dyDescent="0.25">
      <c r="A483" s="1">
        <v>45469</v>
      </c>
      <c r="B483" t="s">
        <v>18</v>
      </c>
      <c r="C483" t="s">
        <v>15</v>
      </c>
      <c r="D483" t="s">
        <v>25</v>
      </c>
      <c r="E483" t="s">
        <v>23</v>
      </c>
      <c r="F483">
        <v>7889</v>
      </c>
      <c r="G483">
        <v>416</v>
      </c>
      <c r="H483">
        <v>5.28E-2</v>
      </c>
      <c r="I483">
        <v>1</v>
      </c>
      <c r="J483">
        <v>416</v>
      </c>
      <c r="K483">
        <v>16</v>
      </c>
      <c r="L483">
        <v>26</v>
      </c>
      <c r="M483">
        <v>2147.9499999999998</v>
      </c>
      <c r="N483">
        <v>5.16</v>
      </c>
    </row>
    <row r="484" spans="1:14" x14ac:dyDescent="0.25">
      <c r="A484" s="1">
        <v>45610</v>
      </c>
      <c r="B484" t="s">
        <v>28</v>
      </c>
      <c r="C484" t="s">
        <v>21</v>
      </c>
      <c r="D484" t="s">
        <v>30</v>
      </c>
      <c r="E484" t="s">
        <v>31</v>
      </c>
      <c r="F484">
        <v>129746</v>
      </c>
      <c r="G484">
        <v>4891</v>
      </c>
      <c r="H484">
        <v>3.7699999999999997E-2</v>
      </c>
      <c r="I484">
        <v>1.81</v>
      </c>
      <c r="J484">
        <v>8852.7099999999991</v>
      </c>
      <c r="K484">
        <v>117</v>
      </c>
      <c r="L484">
        <v>75.66</v>
      </c>
      <c r="M484">
        <v>26101.17</v>
      </c>
      <c r="N484">
        <v>2.95</v>
      </c>
    </row>
    <row r="485" spans="1:14" x14ac:dyDescent="0.25">
      <c r="A485" s="1">
        <v>45368</v>
      </c>
      <c r="B485" t="s">
        <v>14</v>
      </c>
      <c r="C485" t="s">
        <v>29</v>
      </c>
      <c r="D485" t="s">
        <v>30</v>
      </c>
      <c r="E485" t="s">
        <v>26</v>
      </c>
      <c r="F485">
        <v>94506</v>
      </c>
      <c r="G485">
        <v>3269</v>
      </c>
      <c r="H485">
        <v>3.4599999999999999E-2</v>
      </c>
      <c r="I485">
        <v>1.56</v>
      </c>
      <c r="J485">
        <v>5099.6400000000003</v>
      </c>
      <c r="K485">
        <v>193</v>
      </c>
      <c r="L485">
        <v>26.42</v>
      </c>
      <c r="M485">
        <v>7342.38</v>
      </c>
      <c r="N485">
        <v>1.44</v>
      </c>
    </row>
    <row r="486" spans="1:14" x14ac:dyDescent="0.25">
      <c r="A486" s="1">
        <v>45429</v>
      </c>
      <c r="B486" t="s">
        <v>14</v>
      </c>
      <c r="C486" t="s">
        <v>29</v>
      </c>
      <c r="D486" t="s">
        <v>19</v>
      </c>
      <c r="E486" t="s">
        <v>27</v>
      </c>
      <c r="F486">
        <v>12086</v>
      </c>
      <c r="G486">
        <v>594</v>
      </c>
      <c r="H486">
        <v>4.9200000000000001E-2</v>
      </c>
      <c r="I486">
        <v>2.46</v>
      </c>
      <c r="J486">
        <v>1461.24</v>
      </c>
      <c r="K486">
        <v>21</v>
      </c>
      <c r="L486">
        <v>69.58</v>
      </c>
      <c r="M486">
        <v>3418.15</v>
      </c>
      <c r="N486">
        <v>2.34</v>
      </c>
    </row>
    <row r="487" spans="1:14" x14ac:dyDescent="0.25">
      <c r="A487" s="1">
        <v>45419</v>
      </c>
      <c r="B487" t="s">
        <v>18</v>
      </c>
      <c r="C487" t="s">
        <v>29</v>
      </c>
      <c r="D487" t="s">
        <v>25</v>
      </c>
      <c r="E487" t="s">
        <v>20</v>
      </c>
      <c r="F487">
        <v>145497</v>
      </c>
      <c r="G487">
        <v>4743</v>
      </c>
      <c r="H487">
        <v>3.2599999999999997E-2</v>
      </c>
      <c r="I487">
        <v>0.35</v>
      </c>
      <c r="J487">
        <v>1660.05</v>
      </c>
      <c r="K487">
        <v>313</v>
      </c>
      <c r="L487">
        <v>5.3</v>
      </c>
      <c r="M487">
        <v>81349.350000000006</v>
      </c>
      <c r="N487">
        <v>49</v>
      </c>
    </row>
    <row r="488" spans="1:14" x14ac:dyDescent="0.25">
      <c r="A488" s="1">
        <v>45430</v>
      </c>
      <c r="B488" t="s">
        <v>28</v>
      </c>
      <c r="C488" t="s">
        <v>15</v>
      </c>
      <c r="D488" t="s">
        <v>19</v>
      </c>
      <c r="E488" t="s">
        <v>17</v>
      </c>
      <c r="F488">
        <v>14491</v>
      </c>
      <c r="G488">
        <v>259</v>
      </c>
      <c r="H488">
        <v>1.7899999999999999E-2</v>
      </c>
      <c r="I488">
        <v>1.7</v>
      </c>
      <c r="J488">
        <v>440.3</v>
      </c>
      <c r="K488">
        <v>3</v>
      </c>
      <c r="L488">
        <v>146.77000000000001</v>
      </c>
      <c r="M488">
        <v>260.32</v>
      </c>
      <c r="N488">
        <v>0.59</v>
      </c>
    </row>
    <row r="489" spans="1:14" x14ac:dyDescent="0.25">
      <c r="A489" s="1">
        <v>45364</v>
      </c>
      <c r="B489" t="s">
        <v>28</v>
      </c>
      <c r="C489" t="s">
        <v>24</v>
      </c>
      <c r="D489" t="s">
        <v>16</v>
      </c>
      <c r="E489" t="s">
        <v>17</v>
      </c>
      <c r="F489">
        <v>156043</v>
      </c>
      <c r="G489">
        <v>4478</v>
      </c>
      <c r="H489">
        <v>2.87E-2</v>
      </c>
      <c r="I489">
        <v>1.33</v>
      </c>
      <c r="J489">
        <v>5955.74</v>
      </c>
      <c r="K489">
        <v>193</v>
      </c>
      <c r="L489">
        <v>30.86</v>
      </c>
      <c r="M489">
        <v>22322.38</v>
      </c>
      <c r="N489">
        <v>3.75</v>
      </c>
    </row>
    <row r="490" spans="1:14" x14ac:dyDescent="0.25">
      <c r="A490" s="1">
        <v>45492</v>
      </c>
      <c r="B490" t="s">
        <v>18</v>
      </c>
      <c r="C490" t="s">
        <v>29</v>
      </c>
      <c r="D490" t="s">
        <v>22</v>
      </c>
      <c r="E490" t="s">
        <v>20</v>
      </c>
      <c r="F490">
        <v>115304</v>
      </c>
      <c r="G490">
        <v>3551</v>
      </c>
      <c r="H490">
        <v>3.0800000000000001E-2</v>
      </c>
      <c r="I490">
        <v>1.56</v>
      </c>
      <c r="J490">
        <v>5539.56</v>
      </c>
      <c r="K490">
        <v>232</v>
      </c>
      <c r="L490">
        <v>23.88</v>
      </c>
      <c r="M490">
        <v>22178.1</v>
      </c>
      <c r="N490">
        <v>4</v>
      </c>
    </row>
    <row r="491" spans="1:14" x14ac:dyDescent="0.25">
      <c r="A491" s="1">
        <v>45559</v>
      </c>
      <c r="B491" t="s">
        <v>18</v>
      </c>
      <c r="C491" t="s">
        <v>24</v>
      </c>
      <c r="D491" t="s">
        <v>16</v>
      </c>
      <c r="E491" t="s">
        <v>17</v>
      </c>
      <c r="F491">
        <v>132571</v>
      </c>
      <c r="G491">
        <v>9147</v>
      </c>
      <c r="H491">
        <v>6.9000000000000006E-2</v>
      </c>
      <c r="I491">
        <v>1.02</v>
      </c>
      <c r="J491">
        <v>9329.94</v>
      </c>
      <c r="K491">
        <v>502</v>
      </c>
      <c r="L491">
        <v>18.59</v>
      </c>
      <c r="M491">
        <v>55471.3</v>
      </c>
      <c r="N491">
        <v>5.95</v>
      </c>
    </row>
    <row r="492" spans="1:14" x14ac:dyDescent="0.25">
      <c r="A492" s="1">
        <v>45609</v>
      </c>
      <c r="B492" t="s">
        <v>14</v>
      </c>
      <c r="C492" t="s">
        <v>29</v>
      </c>
      <c r="D492" t="s">
        <v>30</v>
      </c>
      <c r="E492" t="s">
        <v>17</v>
      </c>
      <c r="F492">
        <v>92502</v>
      </c>
      <c r="G492">
        <v>2960</v>
      </c>
      <c r="H492">
        <v>3.2000000000000001E-2</v>
      </c>
      <c r="I492">
        <v>2.06</v>
      </c>
      <c r="J492">
        <v>6097.6</v>
      </c>
      <c r="K492">
        <v>201</v>
      </c>
      <c r="L492">
        <v>30.34</v>
      </c>
      <c r="M492">
        <v>47885.36</v>
      </c>
      <c r="N492">
        <v>7.85</v>
      </c>
    </row>
    <row r="493" spans="1:14" x14ac:dyDescent="0.25">
      <c r="A493" s="1">
        <v>45619</v>
      </c>
      <c r="B493" t="s">
        <v>14</v>
      </c>
      <c r="C493" t="s">
        <v>29</v>
      </c>
      <c r="D493" t="s">
        <v>19</v>
      </c>
      <c r="E493" t="s">
        <v>23</v>
      </c>
      <c r="F493">
        <v>133792</v>
      </c>
      <c r="G493">
        <v>6943</v>
      </c>
      <c r="H493">
        <v>5.1900000000000002E-2</v>
      </c>
      <c r="I493">
        <v>2.35</v>
      </c>
      <c r="J493">
        <v>16316.05</v>
      </c>
      <c r="K493">
        <v>186</v>
      </c>
      <c r="L493">
        <v>87.72</v>
      </c>
      <c r="M493">
        <v>17630.23</v>
      </c>
      <c r="N493">
        <v>1.08</v>
      </c>
    </row>
    <row r="494" spans="1:14" x14ac:dyDescent="0.25">
      <c r="A494" s="1">
        <v>45652</v>
      </c>
      <c r="B494" t="s">
        <v>14</v>
      </c>
      <c r="C494" t="s">
        <v>29</v>
      </c>
      <c r="D494" t="s">
        <v>19</v>
      </c>
      <c r="E494" t="s">
        <v>20</v>
      </c>
      <c r="F494">
        <v>77258</v>
      </c>
      <c r="G494">
        <v>3963</v>
      </c>
      <c r="H494">
        <v>5.1299999999999998E-2</v>
      </c>
      <c r="I494">
        <v>1.8</v>
      </c>
      <c r="J494">
        <v>7133.4</v>
      </c>
      <c r="K494">
        <v>135</v>
      </c>
      <c r="L494">
        <v>52.84</v>
      </c>
      <c r="M494">
        <v>34518.129999999997</v>
      </c>
      <c r="N494">
        <v>4.84</v>
      </c>
    </row>
    <row r="495" spans="1:14" x14ac:dyDescent="0.25">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row>
    <row r="496" spans="1:14" x14ac:dyDescent="0.25">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row>
    <row r="497" spans="1:14" x14ac:dyDescent="0.25">
      <c r="A497" s="1">
        <v>45631</v>
      </c>
      <c r="B497" t="s">
        <v>14</v>
      </c>
      <c r="C497" t="s">
        <v>24</v>
      </c>
      <c r="D497" t="s">
        <v>22</v>
      </c>
      <c r="E497" t="s">
        <v>32</v>
      </c>
      <c r="F497">
        <v>134560</v>
      </c>
      <c r="G497">
        <v>5947</v>
      </c>
      <c r="H497">
        <v>4.4200000000000003E-2</v>
      </c>
      <c r="I497">
        <v>2.84</v>
      </c>
      <c r="J497">
        <v>16889.48</v>
      </c>
      <c r="K497">
        <v>144</v>
      </c>
      <c r="L497">
        <v>117.29</v>
      </c>
      <c r="M497">
        <v>23257.77</v>
      </c>
      <c r="N497">
        <v>1.38</v>
      </c>
    </row>
    <row r="498" spans="1:14" x14ac:dyDescent="0.25">
      <c r="A498" s="1">
        <v>45438</v>
      </c>
      <c r="B498" t="s">
        <v>18</v>
      </c>
      <c r="C498" t="s">
        <v>15</v>
      </c>
      <c r="D498" t="s">
        <v>30</v>
      </c>
      <c r="E498" t="s">
        <v>27</v>
      </c>
      <c r="F498">
        <v>143518</v>
      </c>
      <c r="G498">
        <v>10491</v>
      </c>
      <c r="H498">
        <v>7.3099999999999998E-2</v>
      </c>
      <c r="I498">
        <v>0.85</v>
      </c>
      <c r="J498">
        <v>8917.35</v>
      </c>
      <c r="K498">
        <v>313</v>
      </c>
      <c r="L498">
        <v>28.49</v>
      </c>
      <c r="M498">
        <v>46285.52</v>
      </c>
      <c r="N498">
        <v>5.19</v>
      </c>
    </row>
    <row r="499" spans="1:14" x14ac:dyDescent="0.25">
      <c r="A499" s="1">
        <v>45574</v>
      </c>
      <c r="B499" t="s">
        <v>28</v>
      </c>
      <c r="C499" t="s">
        <v>21</v>
      </c>
      <c r="D499" t="s">
        <v>16</v>
      </c>
      <c r="E499" t="s">
        <v>20</v>
      </c>
      <c r="F499">
        <v>7402</v>
      </c>
      <c r="G499">
        <v>91</v>
      </c>
      <c r="H499">
        <v>1.24E-2</v>
      </c>
      <c r="I499">
        <v>2.08</v>
      </c>
      <c r="J499">
        <v>189.28</v>
      </c>
      <c r="K499">
        <v>6</v>
      </c>
      <c r="L499">
        <v>31.55</v>
      </c>
      <c r="M499">
        <v>1105.17</v>
      </c>
      <c r="N499">
        <v>5.84</v>
      </c>
    </row>
    <row r="500" spans="1:14" x14ac:dyDescent="0.25">
      <c r="A500" s="1">
        <v>45560</v>
      </c>
      <c r="B500" t="s">
        <v>14</v>
      </c>
      <c r="C500" t="s">
        <v>24</v>
      </c>
      <c r="D500" t="s">
        <v>19</v>
      </c>
      <c r="E500" t="s">
        <v>32</v>
      </c>
      <c r="F500">
        <v>49225</v>
      </c>
      <c r="G500">
        <v>2367</v>
      </c>
      <c r="H500">
        <v>4.8099999999999997E-2</v>
      </c>
      <c r="I500">
        <v>1.84</v>
      </c>
      <c r="J500">
        <v>4355.28</v>
      </c>
      <c r="K500">
        <v>137</v>
      </c>
      <c r="L500">
        <v>31.79</v>
      </c>
      <c r="M500">
        <v>8811.5300000000007</v>
      </c>
      <c r="N500">
        <v>2.02</v>
      </c>
    </row>
    <row r="501" spans="1:14" x14ac:dyDescent="0.25">
      <c r="A501" s="1">
        <v>45501</v>
      </c>
      <c r="B501" t="s">
        <v>14</v>
      </c>
      <c r="C501" t="s">
        <v>21</v>
      </c>
      <c r="D501" t="s">
        <v>22</v>
      </c>
      <c r="E501" t="s">
        <v>31</v>
      </c>
      <c r="F501">
        <v>173678</v>
      </c>
      <c r="G501">
        <v>11428</v>
      </c>
      <c r="H501">
        <v>6.5799999999999997E-2</v>
      </c>
      <c r="I501">
        <v>2.11</v>
      </c>
      <c r="J501">
        <v>24113.08</v>
      </c>
      <c r="K501">
        <v>310</v>
      </c>
      <c r="L501">
        <v>77.78</v>
      </c>
      <c r="M501">
        <v>83080.36</v>
      </c>
      <c r="N501">
        <v>3.45</v>
      </c>
    </row>
    <row r="502" spans="1:14" x14ac:dyDescent="0.25">
      <c r="A502" s="1">
        <v>45358</v>
      </c>
      <c r="B502" t="s">
        <v>28</v>
      </c>
      <c r="C502" t="s">
        <v>29</v>
      </c>
      <c r="D502" t="s">
        <v>22</v>
      </c>
      <c r="E502" t="s">
        <v>32</v>
      </c>
      <c r="F502">
        <v>92793</v>
      </c>
      <c r="G502">
        <v>1261</v>
      </c>
      <c r="H502">
        <v>1.3599999999999999E-2</v>
      </c>
      <c r="I502">
        <v>0.37</v>
      </c>
      <c r="J502">
        <v>466.57</v>
      </c>
      <c r="K502">
        <v>80</v>
      </c>
      <c r="L502">
        <v>5.83</v>
      </c>
      <c r="M502">
        <v>13024.34</v>
      </c>
      <c r="N502">
        <v>27.92</v>
      </c>
    </row>
    <row r="503" spans="1:14" x14ac:dyDescent="0.25">
      <c r="A503" s="1">
        <v>45513</v>
      </c>
      <c r="B503" t="s">
        <v>18</v>
      </c>
      <c r="C503" t="s">
        <v>21</v>
      </c>
      <c r="D503" t="s">
        <v>25</v>
      </c>
      <c r="E503" t="s">
        <v>20</v>
      </c>
      <c r="F503">
        <v>122408</v>
      </c>
      <c r="G503">
        <v>6671</v>
      </c>
      <c r="H503">
        <v>5.45E-2</v>
      </c>
      <c r="I503">
        <v>1.17</v>
      </c>
      <c r="J503">
        <v>7805.07</v>
      </c>
      <c r="K503">
        <v>293</v>
      </c>
      <c r="L503">
        <v>26.64</v>
      </c>
      <c r="M503">
        <v>67215.820000000007</v>
      </c>
      <c r="N503">
        <v>8.61</v>
      </c>
    </row>
    <row r="504" spans="1:14" x14ac:dyDescent="0.25">
      <c r="A504" s="1">
        <v>45477</v>
      </c>
      <c r="B504" t="s">
        <v>18</v>
      </c>
      <c r="C504" t="s">
        <v>15</v>
      </c>
      <c r="D504" t="s">
        <v>30</v>
      </c>
      <c r="E504" t="s">
        <v>17</v>
      </c>
      <c r="F504">
        <v>162826</v>
      </c>
      <c r="G504">
        <v>7815</v>
      </c>
      <c r="H504">
        <v>4.8000000000000001E-2</v>
      </c>
      <c r="I504">
        <v>1.64</v>
      </c>
      <c r="J504">
        <v>12816.6</v>
      </c>
      <c r="K504">
        <v>120</v>
      </c>
      <c r="L504">
        <v>106.81</v>
      </c>
      <c r="M504">
        <v>13520.75</v>
      </c>
      <c r="N504">
        <v>1.05</v>
      </c>
    </row>
    <row r="505" spans="1:14" x14ac:dyDescent="0.25">
      <c r="A505" s="1">
        <v>45483</v>
      </c>
      <c r="B505" t="s">
        <v>28</v>
      </c>
      <c r="C505" t="s">
        <v>24</v>
      </c>
      <c r="D505" t="s">
        <v>22</v>
      </c>
      <c r="E505" t="s">
        <v>31</v>
      </c>
      <c r="F505">
        <v>134614</v>
      </c>
      <c r="G505">
        <v>3190</v>
      </c>
      <c r="H505">
        <v>2.3699999999999999E-2</v>
      </c>
      <c r="I505">
        <v>1.78</v>
      </c>
      <c r="J505">
        <v>5678.2</v>
      </c>
      <c r="K505">
        <v>188</v>
      </c>
      <c r="L505">
        <v>30.2</v>
      </c>
      <c r="M505">
        <v>41736.54</v>
      </c>
      <c r="N505">
        <v>7.35</v>
      </c>
    </row>
    <row r="506" spans="1:14" x14ac:dyDescent="0.25">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row>
    <row r="507" spans="1:14" x14ac:dyDescent="0.25">
      <c r="A507" s="1">
        <v>45335</v>
      </c>
      <c r="B507" t="s">
        <v>14</v>
      </c>
      <c r="C507" t="s">
        <v>15</v>
      </c>
      <c r="D507" t="s">
        <v>30</v>
      </c>
      <c r="E507" t="s">
        <v>26</v>
      </c>
      <c r="F507">
        <v>188276</v>
      </c>
      <c r="G507">
        <v>11277</v>
      </c>
      <c r="H507">
        <v>5.9900000000000002E-2</v>
      </c>
      <c r="I507">
        <v>2.48</v>
      </c>
      <c r="J507">
        <v>27966.959999999999</v>
      </c>
      <c r="K507">
        <v>554</v>
      </c>
      <c r="L507">
        <v>50.48</v>
      </c>
      <c r="M507">
        <v>89376.47</v>
      </c>
      <c r="N507">
        <v>3.2</v>
      </c>
    </row>
    <row r="508" spans="1:14" x14ac:dyDescent="0.25">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row>
    <row r="509" spans="1:14" x14ac:dyDescent="0.25">
      <c r="A509" s="1">
        <v>45522</v>
      </c>
      <c r="B509" t="s">
        <v>28</v>
      </c>
      <c r="C509" t="s">
        <v>21</v>
      </c>
      <c r="D509" t="s">
        <v>19</v>
      </c>
      <c r="E509" t="s">
        <v>20</v>
      </c>
      <c r="F509">
        <v>82271</v>
      </c>
      <c r="G509">
        <v>3397</v>
      </c>
      <c r="H509">
        <v>4.1300000000000003E-2</v>
      </c>
      <c r="I509">
        <v>0.52</v>
      </c>
      <c r="J509">
        <v>1766.44</v>
      </c>
      <c r="K509">
        <v>36</v>
      </c>
      <c r="L509">
        <v>49.07</v>
      </c>
      <c r="M509">
        <v>6412.73</v>
      </c>
      <c r="N509">
        <v>3.63</v>
      </c>
    </row>
    <row r="510" spans="1:14" x14ac:dyDescent="0.25">
      <c r="A510" s="1">
        <v>45656</v>
      </c>
      <c r="B510" t="s">
        <v>18</v>
      </c>
      <c r="C510" t="s">
        <v>15</v>
      </c>
      <c r="D510" t="s">
        <v>16</v>
      </c>
      <c r="E510" t="s">
        <v>26</v>
      </c>
      <c r="F510">
        <v>61921</v>
      </c>
      <c r="G510">
        <v>3814</v>
      </c>
      <c r="H510">
        <v>6.1600000000000002E-2</v>
      </c>
      <c r="I510">
        <v>0.31</v>
      </c>
      <c r="J510">
        <v>1182.3399999999999</v>
      </c>
      <c r="K510">
        <v>50</v>
      </c>
      <c r="L510">
        <v>23.65</v>
      </c>
      <c r="M510">
        <v>8842.35</v>
      </c>
      <c r="N510">
        <v>7.48</v>
      </c>
    </row>
    <row r="511" spans="1:14" x14ac:dyDescent="0.25">
      <c r="A511" s="1">
        <v>45561</v>
      </c>
      <c r="B511" t="s">
        <v>14</v>
      </c>
      <c r="C511" t="s">
        <v>24</v>
      </c>
      <c r="D511" t="s">
        <v>30</v>
      </c>
      <c r="E511" t="s">
        <v>27</v>
      </c>
      <c r="F511">
        <v>161089</v>
      </c>
      <c r="G511">
        <v>6540</v>
      </c>
      <c r="H511">
        <v>4.0599999999999997E-2</v>
      </c>
      <c r="I511">
        <v>2.1</v>
      </c>
      <c r="J511">
        <v>13734</v>
      </c>
      <c r="K511">
        <v>285</v>
      </c>
      <c r="L511">
        <v>48.19</v>
      </c>
      <c r="M511">
        <v>49746.79</v>
      </c>
      <c r="N511">
        <v>3.62</v>
      </c>
    </row>
    <row r="512" spans="1:14" x14ac:dyDescent="0.25">
      <c r="A512" s="1">
        <v>45548</v>
      </c>
      <c r="B512" t="s">
        <v>14</v>
      </c>
      <c r="C512" t="s">
        <v>24</v>
      </c>
      <c r="D512" t="s">
        <v>22</v>
      </c>
      <c r="E512" t="s">
        <v>23</v>
      </c>
      <c r="F512">
        <v>85618</v>
      </c>
      <c r="G512">
        <v>2679</v>
      </c>
      <c r="H512">
        <v>3.1300000000000001E-2</v>
      </c>
      <c r="I512">
        <v>0.92</v>
      </c>
      <c r="J512">
        <v>2464.6799999999998</v>
      </c>
      <c r="K512">
        <v>74</v>
      </c>
      <c r="L512">
        <v>33.31</v>
      </c>
      <c r="M512">
        <v>6024.46</v>
      </c>
      <c r="N512">
        <v>2.44</v>
      </c>
    </row>
    <row r="513" spans="1:14" x14ac:dyDescent="0.25">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row>
    <row r="514" spans="1:14" x14ac:dyDescent="0.25">
      <c r="A514" s="1">
        <v>45316</v>
      </c>
      <c r="B514" t="s">
        <v>18</v>
      </c>
      <c r="C514" t="s">
        <v>15</v>
      </c>
      <c r="D514" t="s">
        <v>30</v>
      </c>
      <c r="E514" t="s">
        <v>31</v>
      </c>
      <c r="F514">
        <v>46420</v>
      </c>
      <c r="G514">
        <v>1880</v>
      </c>
      <c r="H514">
        <v>4.0500000000000001E-2</v>
      </c>
      <c r="I514">
        <v>1.9</v>
      </c>
      <c r="J514">
        <v>3572</v>
      </c>
      <c r="K514">
        <v>113</v>
      </c>
      <c r="L514">
        <v>31.61</v>
      </c>
      <c r="M514">
        <v>5769.59</v>
      </c>
      <c r="N514">
        <v>1.62</v>
      </c>
    </row>
    <row r="515" spans="1:14" x14ac:dyDescent="0.25">
      <c r="A515" s="1">
        <v>45525</v>
      </c>
      <c r="B515" t="s">
        <v>14</v>
      </c>
      <c r="C515" t="s">
        <v>15</v>
      </c>
      <c r="D515" t="s">
        <v>30</v>
      </c>
      <c r="E515" t="s">
        <v>20</v>
      </c>
      <c r="F515">
        <v>180746</v>
      </c>
      <c r="G515">
        <v>5024</v>
      </c>
      <c r="H515">
        <v>2.7799999999999998E-2</v>
      </c>
      <c r="I515">
        <v>1.28</v>
      </c>
      <c r="J515">
        <v>6430.72</v>
      </c>
      <c r="K515">
        <v>64</v>
      </c>
      <c r="L515">
        <v>100.48</v>
      </c>
      <c r="M515">
        <v>17709.21</v>
      </c>
      <c r="N515">
        <v>2.75</v>
      </c>
    </row>
    <row r="516" spans="1:14" x14ac:dyDescent="0.25">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row>
    <row r="517" spans="1:14" x14ac:dyDescent="0.25">
      <c r="A517" s="1">
        <v>45352</v>
      </c>
      <c r="B517" t="s">
        <v>14</v>
      </c>
      <c r="C517" t="s">
        <v>15</v>
      </c>
      <c r="D517" t="s">
        <v>30</v>
      </c>
      <c r="E517" t="s">
        <v>26</v>
      </c>
      <c r="F517">
        <v>86678</v>
      </c>
      <c r="G517">
        <v>2158</v>
      </c>
      <c r="H517">
        <v>2.4899999999999999E-2</v>
      </c>
      <c r="I517">
        <v>1.45</v>
      </c>
      <c r="J517">
        <v>3129.1</v>
      </c>
      <c r="K517">
        <v>163</v>
      </c>
      <c r="L517">
        <v>19.2</v>
      </c>
      <c r="M517">
        <v>27708.880000000001</v>
      </c>
      <c r="N517">
        <v>8.86</v>
      </c>
    </row>
    <row r="518" spans="1:14" x14ac:dyDescent="0.25">
      <c r="A518" s="1">
        <v>45599</v>
      </c>
      <c r="B518" t="s">
        <v>14</v>
      </c>
      <c r="C518" t="s">
        <v>29</v>
      </c>
      <c r="D518" t="s">
        <v>19</v>
      </c>
      <c r="E518" t="s">
        <v>27</v>
      </c>
      <c r="F518">
        <v>70226</v>
      </c>
      <c r="G518">
        <v>4037</v>
      </c>
      <c r="H518">
        <v>5.7500000000000002E-2</v>
      </c>
      <c r="I518">
        <v>2.16</v>
      </c>
      <c r="J518">
        <v>8719.92</v>
      </c>
      <c r="K518">
        <v>240</v>
      </c>
      <c r="L518">
        <v>36.33</v>
      </c>
      <c r="M518">
        <v>68153.47</v>
      </c>
      <c r="N518">
        <v>7.82</v>
      </c>
    </row>
    <row r="519" spans="1:14" x14ac:dyDescent="0.25">
      <c r="A519" s="1">
        <v>45627</v>
      </c>
      <c r="B519" t="s">
        <v>14</v>
      </c>
      <c r="C519" t="s">
        <v>15</v>
      </c>
      <c r="D519" t="s">
        <v>16</v>
      </c>
      <c r="E519" t="s">
        <v>26</v>
      </c>
      <c r="F519">
        <v>124119</v>
      </c>
      <c r="G519">
        <v>6416</v>
      </c>
      <c r="H519">
        <v>5.1700000000000003E-2</v>
      </c>
      <c r="I519">
        <v>2.5499999999999998</v>
      </c>
      <c r="J519">
        <v>16360.8</v>
      </c>
      <c r="K519">
        <v>358</v>
      </c>
      <c r="L519">
        <v>45.7</v>
      </c>
      <c r="M519">
        <v>48445.72</v>
      </c>
      <c r="N519">
        <v>2.96</v>
      </c>
    </row>
    <row r="520" spans="1:14" x14ac:dyDescent="0.25">
      <c r="A520" s="1">
        <v>45428</v>
      </c>
      <c r="B520" t="s">
        <v>14</v>
      </c>
      <c r="C520" t="s">
        <v>24</v>
      </c>
      <c r="D520" t="s">
        <v>22</v>
      </c>
      <c r="E520" t="s">
        <v>17</v>
      </c>
      <c r="F520">
        <v>126292</v>
      </c>
      <c r="G520">
        <v>5165</v>
      </c>
      <c r="H520">
        <v>4.0899999999999999E-2</v>
      </c>
      <c r="I520">
        <v>1.49</v>
      </c>
      <c r="J520">
        <v>7695.85</v>
      </c>
      <c r="K520">
        <v>110</v>
      </c>
      <c r="L520">
        <v>69.959999999999994</v>
      </c>
      <c r="M520">
        <v>14074.18</v>
      </c>
      <c r="N520">
        <v>1.83</v>
      </c>
    </row>
    <row r="521" spans="1:14" x14ac:dyDescent="0.25">
      <c r="A521" s="1">
        <v>45345</v>
      </c>
      <c r="B521" t="s">
        <v>14</v>
      </c>
      <c r="C521" t="s">
        <v>21</v>
      </c>
      <c r="D521" t="s">
        <v>30</v>
      </c>
      <c r="E521" t="s">
        <v>27</v>
      </c>
      <c r="F521">
        <v>189935</v>
      </c>
      <c r="G521">
        <v>10161</v>
      </c>
      <c r="H521">
        <v>5.3499999999999999E-2</v>
      </c>
      <c r="I521">
        <v>1.49</v>
      </c>
      <c r="J521">
        <v>15139.89</v>
      </c>
      <c r="K521">
        <v>615</v>
      </c>
      <c r="L521">
        <v>24.62</v>
      </c>
      <c r="M521">
        <v>31748.86</v>
      </c>
      <c r="N521">
        <v>2.1</v>
      </c>
    </row>
    <row r="522" spans="1:14" x14ac:dyDescent="0.25">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row>
    <row r="523" spans="1:14" x14ac:dyDescent="0.25">
      <c r="A523" s="1">
        <v>45381</v>
      </c>
      <c r="B523" t="s">
        <v>28</v>
      </c>
      <c r="C523" t="s">
        <v>24</v>
      </c>
      <c r="D523" t="s">
        <v>30</v>
      </c>
      <c r="E523" t="s">
        <v>23</v>
      </c>
      <c r="F523">
        <v>11083</v>
      </c>
      <c r="G523">
        <v>193</v>
      </c>
      <c r="H523">
        <v>1.7500000000000002E-2</v>
      </c>
      <c r="I523">
        <v>0.83</v>
      </c>
      <c r="J523">
        <v>160.19</v>
      </c>
      <c r="K523">
        <v>11</v>
      </c>
      <c r="L523">
        <v>14.56</v>
      </c>
      <c r="M523">
        <v>912.82</v>
      </c>
      <c r="N523">
        <v>5.7</v>
      </c>
    </row>
    <row r="524" spans="1:14" x14ac:dyDescent="0.25">
      <c r="A524" s="1">
        <v>45407</v>
      </c>
      <c r="B524" t="s">
        <v>28</v>
      </c>
      <c r="C524" t="s">
        <v>29</v>
      </c>
      <c r="D524" t="s">
        <v>19</v>
      </c>
      <c r="E524" t="s">
        <v>17</v>
      </c>
      <c r="F524">
        <v>6074</v>
      </c>
      <c r="G524">
        <v>128</v>
      </c>
      <c r="H524">
        <v>2.12E-2</v>
      </c>
      <c r="I524">
        <v>1.51</v>
      </c>
      <c r="J524">
        <v>193.28</v>
      </c>
      <c r="K524">
        <v>5</v>
      </c>
      <c r="L524">
        <v>38.659999999999997</v>
      </c>
      <c r="M524">
        <v>1253.71</v>
      </c>
      <c r="N524">
        <v>6.49</v>
      </c>
    </row>
    <row r="525" spans="1:14" x14ac:dyDescent="0.25">
      <c r="A525" s="1">
        <v>45576</v>
      </c>
      <c r="B525" t="s">
        <v>18</v>
      </c>
      <c r="C525" t="s">
        <v>21</v>
      </c>
      <c r="D525" t="s">
        <v>22</v>
      </c>
      <c r="E525" t="s">
        <v>27</v>
      </c>
      <c r="F525">
        <v>54752</v>
      </c>
      <c r="G525">
        <v>2814</v>
      </c>
      <c r="H525">
        <v>5.1400000000000001E-2</v>
      </c>
      <c r="I525">
        <v>0.86</v>
      </c>
      <c r="J525">
        <v>2420.04</v>
      </c>
      <c r="K525">
        <v>137</v>
      </c>
      <c r="L525">
        <v>17.66</v>
      </c>
      <c r="M525">
        <v>13580.22</v>
      </c>
      <c r="N525">
        <v>5.61</v>
      </c>
    </row>
    <row r="526" spans="1:14" x14ac:dyDescent="0.25">
      <c r="A526" s="1">
        <v>45332</v>
      </c>
      <c r="B526" t="s">
        <v>28</v>
      </c>
      <c r="C526" t="s">
        <v>21</v>
      </c>
      <c r="D526" t="s">
        <v>22</v>
      </c>
      <c r="E526" t="s">
        <v>20</v>
      </c>
      <c r="F526">
        <v>141313</v>
      </c>
      <c r="G526">
        <v>4762</v>
      </c>
      <c r="H526">
        <v>3.3700000000000001E-2</v>
      </c>
      <c r="I526">
        <v>1.05</v>
      </c>
      <c r="J526">
        <v>5000.1000000000004</v>
      </c>
      <c r="K526">
        <v>207</v>
      </c>
      <c r="L526">
        <v>24.16</v>
      </c>
      <c r="M526">
        <v>26737.15</v>
      </c>
      <c r="N526">
        <v>5.35</v>
      </c>
    </row>
    <row r="527" spans="1:14" x14ac:dyDescent="0.25">
      <c r="A527" s="1">
        <v>45624</v>
      </c>
      <c r="B527" t="s">
        <v>18</v>
      </c>
      <c r="C527" t="s">
        <v>29</v>
      </c>
      <c r="D527" t="s">
        <v>19</v>
      </c>
      <c r="E527" t="s">
        <v>23</v>
      </c>
      <c r="F527">
        <v>34669</v>
      </c>
      <c r="G527">
        <v>1965</v>
      </c>
      <c r="H527">
        <v>5.67E-2</v>
      </c>
      <c r="I527">
        <v>1.61</v>
      </c>
      <c r="J527">
        <v>3163.65</v>
      </c>
      <c r="K527">
        <v>74</v>
      </c>
      <c r="L527">
        <v>42.75</v>
      </c>
      <c r="M527">
        <v>12153.4</v>
      </c>
      <c r="N527">
        <v>3.84</v>
      </c>
    </row>
    <row r="528" spans="1:14" x14ac:dyDescent="0.25">
      <c r="A528" s="1">
        <v>45368</v>
      </c>
      <c r="B528" t="s">
        <v>28</v>
      </c>
      <c r="C528" t="s">
        <v>29</v>
      </c>
      <c r="D528" t="s">
        <v>30</v>
      </c>
      <c r="E528" t="s">
        <v>32</v>
      </c>
      <c r="F528">
        <v>104714</v>
      </c>
      <c r="G528">
        <v>1015</v>
      </c>
      <c r="H528">
        <v>9.7000000000000003E-3</v>
      </c>
      <c r="I528">
        <v>0.93</v>
      </c>
      <c r="J528">
        <v>943.95</v>
      </c>
      <c r="K528">
        <v>78</v>
      </c>
      <c r="L528">
        <v>12.1</v>
      </c>
      <c r="M528">
        <v>20952.03</v>
      </c>
      <c r="N528">
        <v>22.2</v>
      </c>
    </row>
    <row r="529" spans="1:14" x14ac:dyDescent="0.25">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row>
    <row r="530" spans="1:14" x14ac:dyDescent="0.25">
      <c r="A530" s="1">
        <v>45551</v>
      </c>
      <c r="B530" t="s">
        <v>18</v>
      </c>
      <c r="C530" t="s">
        <v>29</v>
      </c>
      <c r="D530" t="s">
        <v>25</v>
      </c>
      <c r="E530" t="s">
        <v>23</v>
      </c>
      <c r="F530">
        <v>67502</v>
      </c>
      <c r="G530">
        <v>5859</v>
      </c>
      <c r="H530">
        <v>8.6800000000000002E-2</v>
      </c>
      <c r="I530">
        <v>0.48</v>
      </c>
      <c r="J530">
        <v>2812.32</v>
      </c>
      <c r="K530">
        <v>395</v>
      </c>
      <c r="L530">
        <v>7.12</v>
      </c>
      <c r="M530">
        <v>42271.31</v>
      </c>
      <c r="N530">
        <v>15.03</v>
      </c>
    </row>
    <row r="531" spans="1:14" x14ac:dyDescent="0.25">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row>
    <row r="532" spans="1:14" x14ac:dyDescent="0.25">
      <c r="A532" s="1">
        <v>45376</v>
      </c>
      <c r="B532" t="s">
        <v>14</v>
      </c>
      <c r="C532" t="s">
        <v>21</v>
      </c>
      <c r="D532" t="s">
        <v>16</v>
      </c>
      <c r="E532" t="s">
        <v>23</v>
      </c>
      <c r="F532">
        <v>173102</v>
      </c>
      <c r="G532">
        <v>4414</v>
      </c>
      <c r="H532">
        <v>2.5499999999999998E-2</v>
      </c>
      <c r="I532">
        <v>3.4</v>
      </c>
      <c r="J532">
        <v>15007.6</v>
      </c>
      <c r="K532">
        <v>341</v>
      </c>
      <c r="L532">
        <v>44.01</v>
      </c>
      <c r="M532">
        <v>52487.34</v>
      </c>
      <c r="N532">
        <v>3.5</v>
      </c>
    </row>
    <row r="533" spans="1:14" x14ac:dyDescent="0.25">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row>
    <row r="534" spans="1:14" x14ac:dyDescent="0.25">
      <c r="A534" s="1">
        <v>45302</v>
      </c>
      <c r="B534" t="s">
        <v>14</v>
      </c>
      <c r="C534" t="s">
        <v>15</v>
      </c>
      <c r="D534" t="s">
        <v>22</v>
      </c>
      <c r="E534" t="s">
        <v>26</v>
      </c>
      <c r="F534">
        <v>48351</v>
      </c>
      <c r="G534">
        <v>2156</v>
      </c>
      <c r="H534">
        <v>4.4600000000000001E-2</v>
      </c>
      <c r="I534">
        <v>3.16</v>
      </c>
      <c r="J534">
        <v>6812.96</v>
      </c>
      <c r="K534">
        <v>83</v>
      </c>
      <c r="L534">
        <v>82.08</v>
      </c>
      <c r="M534">
        <v>7504.87</v>
      </c>
      <c r="N534">
        <v>1.1000000000000001</v>
      </c>
    </row>
    <row r="535" spans="1:14" x14ac:dyDescent="0.25">
      <c r="A535" s="1">
        <v>45388</v>
      </c>
      <c r="B535" t="s">
        <v>18</v>
      </c>
      <c r="C535" t="s">
        <v>21</v>
      </c>
      <c r="D535" t="s">
        <v>16</v>
      </c>
      <c r="E535" t="s">
        <v>26</v>
      </c>
      <c r="F535">
        <v>118135</v>
      </c>
      <c r="G535">
        <v>8151</v>
      </c>
      <c r="H535">
        <v>6.9000000000000006E-2</v>
      </c>
      <c r="I535">
        <v>0.69</v>
      </c>
      <c r="J535">
        <v>5624.19</v>
      </c>
      <c r="K535">
        <v>428</v>
      </c>
      <c r="L535">
        <v>13.14</v>
      </c>
      <c r="M535">
        <v>64189.34</v>
      </c>
      <c r="N535">
        <v>11.41</v>
      </c>
    </row>
    <row r="536" spans="1:14" x14ac:dyDescent="0.25">
      <c r="A536" s="1">
        <v>45468</v>
      </c>
      <c r="B536" t="s">
        <v>18</v>
      </c>
      <c r="C536" t="s">
        <v>15</v>
      </c>
      <c r="D536" t="s">
        <v>16</v>
      </c>
      <c r="E536" t="s">
        <v>20</v>
      </c>
      <c r="F536">
        <v>20185</v>
      </c>
      <c r="G536">
        <v>878</v>
      </c>
      <c r="H536">
        <v>4.3499999999999997E-2</v>
      </c>
      <c r="I536">
        <v>0.61</v>
      </c>
      <c r="J536">
        <v>535.58000000000004</v>
      </c>
      <c r="K536">
        <v>27</v>
      </c>
      <c r="L536">
        <v>19.84</v>
      </c>
      <c r="M536">
        <v>7476.28</v>
      </c>
      <c r="N536">
        <v>13.96</v>
      </c>
    </row>
    <row r="537" spans="1:14" x14ac:dyDescent="0.25">
      <c r="A537" s="1">
        <v>45625</v>
      </c>
      <c r="B537" t="s">
        <v>18</v>
      </c>
      <c r="C537" t="s">
        <v>21</v>
      </c>
      <c r="D537" t="s">
        <v>30</v>
      </c>
      <c r="E537" t="s">
        <v>32</v>
      </c>
      <c r="F537">
        <v>50802</v>
      </c>
      <c r="G537">
        <v>3617</v>
      </c>
      <c r="H537">
        <v>7.1199999999999999E-2</v>
      </c>
      <c r="I537">
        <v>0.42</v>
      </c>
      <c r="J537">
        <v>1519.14</v>
      </c>
      <c r="K537">
        <v>279</v>
      </c>
      <c r="L537">
        <v>5.44</v>
      </c>
      <c r="M537">
        <v>22644.29</v>
      </c>
      <c r="N537">
        <v>14.91</v>
      </c>
    </row>
    <row r="538" spans="1:14" x14ac:dyDescent="0.25">
      <c r="A538" s="1">
        <v>45518</v>
      </c>
      <c r="B538" t="s">
        <v>28</v>
      </c>
      <c r="C538" t="s">
        <v>24</v>
      </c>
      <c r="D538" t="s">
        <v>30</v>
      </c>
      <c r="E538" t="s">
        <v>27</v>
      </c>
      <c r="F538">
        <v>34048</v>
      </c>
      <c r="G538">
        <v>694</v>
      </c>
      <c r="H538">
        <v>2.0400000000000001E-2</v>
      </c>
      <c r="I538">
        <v>1.45</v>
      </c>
      <c r="J538">
        <v>1006.3</v>
      </c>
      <c r="K538">
        <v>49</v>
      </c>
      <c r="L538">
        <v>20.54</v>
      </c>
      <c r="M538">
        <v>12555.06</v>
      </c>
      <c r="N538">
        <v>12.48</v>
      </c>
    </row>
    <row r="539" spans="1:14" x14ac:dyDescent="0.25">
      <c r="A539" s="1">
        <v>45345</v>
      </c>
      <c r="B539" t="s">
        <v>18</v>
      </c>
      <c r="C539" t="s">
        <v>21</v>
      </c>
      <c r="D539" t="s">
        <v>25</v>
      </c>
      <c r="E539" t="s">
        <v>17</v>
      </c>
      <c r="F539">
        <v>56672</v>
      </c>
      <c r="G539">
        <v>2397</v>
      </c>
      <c r="H539">
        <v>4.2299999999999997E-2</v>
      </c>
      <c r="I539">
        <v>0.48</v>
      </c>
      <c r="J539">
        <v>1150.56</v>
      </c>
      <c r="K539">
        <v>138</v>
      </c>
      <c r="L539">
        <v>8.34</v>
      </c>
      <c r="M539">
        <v>33165.74</v>
      </c>
      <c r="N539">
        <v>28.83</v>
      </c>
    </row>
    <row r="540" spans="1:14" x14ac:dyDescent="0.25">
      <c r="A540" s="1">
        <v>45427</v>
      </c>
      <c r="B540" t="s">
        <v>14</v>
      </c>
      <c r="C540" t="s">
        <v>21</v>
      </c>
      <c r="D540" t="s">
        <v>16</v>
      </c>
      <c r="E540" t="s">
        <v>17</v>
      </c>
      <c r="F540">
        <v>128962</v>
      </c>
      <c r="G540">
        <v>7337</v>
      </c>
      <c r="H540">
        <v>5.6899999999999999E-2</v>
      </c>
      <c r="I540">
        <v>1.35</v>
      </c>
      <c r="J540">
        <v>9904.9500000000007</v>
      </c>
      <c r="K540">
        <v>226</v>
      </c>
      <c r="L540">
        <v>43.83</v>
      </c>
      <c r="M540">
        <v>26098.81</v>
      </c>
      <c r="N540">
        <v>2.63</v>
      </c>
    </row>
    <row r="541" spans="1:14" x14ac:dyDescent="0.25">
      <c r="A541" s="1">
        <v>45557</v>
      </c>
      <c r="B541" t="s">
        <v>28</v>
      </c>
      <c r="C541" t="s">
        <v>21</v>
      </c>
      <c r="D541" t="s">
        <v>22</v>
      </c>
      <c r="E541" t="s">
        <v>20</v>
      </c>
      <c r="F541">
        <v>15532</v>
      </c>
      <c r="G541">
        <v>593</v>
      </c>
      <c r="H541">
        <v>3.8199999999999998E-2</v>
      </c>
      <c r="I541">
        <v>1.43</v>
      </c>
      <c r="J541">
        <v>847.99</v>
      </c>
      <c r="K541">
        <v>45</v>
      </c>
      <c r="L541">
        <v>18.84</v>
      </c>
      <c r="M541">
        <v>2243.79</v>
      </c>
      <c r="N541">
        <v>2.65</v>
      </c>
    </row>
    <row r="542" spans="1:14" x14ac:dyDescent="0.25">
      <c r="A542" s="1">
        <v>45519</v>
      </c>
      <c r="B542" t="s">
        <v>14</v>
      </c>
      <c r="C542" t="s">
        <v>21</v>
      </c>
      <c r="D542" t="s">
        <v>16</v>
      </c>
      <c r="E542" t="s">
        <v>32</v>
      </c>
      <c r="F542">
        <v>154666</v>
      </c>
      <c r="G542">
        <v>5939</v>
      </c>
      <c r="H542">
        <v>3.8399999999999997E-2</v>
      </c>
      <c r="I542">
        <v>1.28</v>
      </c>
      <c r="J542">
        <v>7601.92</v>
      </c>
      <c r="K542">
        <v>366</v>
      </c>
      <c r="L542">
        <v>20.77</v>
      </c>
      <c r="M542">
        <v>24965.13</v>
      </c>
      <c r="N542">
        <v>3.28</v>
      </c>
    </row>
    <row r="543" spans="1:14" x14ac:dyDescent="0.25">
      <c r="A543" s="1">
        <v>45526</v>
      </c>
      <c r="B543" t="s">
        <v>18</v>
      </c>
      <c r="C543" t="s">
        <v>21</v>
      </c>
      <c r="D543" t="s">
        <v>30</v>
      </c>
      <c r="E543" t="s">
        <v>23</v>
      </c>
      <c r="F543">
        <v>9722</v>
      </c>
      <c r="G543">
        <v>455</v>
      </c>
      <c r="H543">
        <v>4.6899999999999997E-2</v>
      </c>
      <c r="I543">
        <v>1.21</v>
      </c>
      <c r="J543">
        <v>550.54999999999995</v>
      </c>
      <c r="K543">
        <v>29</v>
      </c>
      <c r="L543">
        <v>18.98</v>
      </c>
      <c r="M543">
        <v>3533.89</v>
      </c>
      <c r="N543">
        <v>6.42</v>
      </c>
    </row>
    <row r="544" spans="1:14" x14ac:dyDescent="0.25">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row>
    <row r="545" spans="1:14" x14ac:dyDescent="0.25">
      <c r="A545" s="1">
        <v>45331</v>
      </c>
      <c r="B545" t="s">
        <v>28</v>
      </c>
      <c r="C545" t="s">
        <v>21</v>
      </c>
      <c r="D545" t="s">
        <v>30</v>
      </c>
      <c r="E545" t="s">
        <v>31</v>
      </c>
      <c r="F545">
        <v>170413</v>
      </c>
      <c r="G545">
        <v>3936</v>
      </c>
      <c r="H545">
        <v>2.3099999999999999E-2</v>
      </c>
      <c r="I545">
        <v>0.71</v>
      </c>
      <c r="J545">
        <v>2794.56</v>
      </c>
      <c r="K545">
        <v>63</v>
      </c>
      <c r="L545">
        <v>44.36</v>
      </c>
      <c r="M545">
        <v>12671.79</v>
      </c>
      <c r="N545">
        <v>4.53</v>
      </c>
    </row>
    <row r="546" spans="1:14" x14ac:dyDescent="0.25">
      <c r="A546" s="1">
        <v>45363</v>
      </c>
      <c r="B546" t="s">
        <v>18</v>
      </c>
      <c r="C546" t="s">
        <v>21</v>
      </c>
      <c r="D546" t="s">
        <v>16</v>
      </c>
      <c r="E546" t="s">
        <v>26</v>
      </c>
      <c r="F546">
        <v>109205</v>
      </c>
      <c r="G546">
        <v>4499</v>
      </c>
      <c r="H546">
        <v>4.1200000000000001E-2</v>
      </c>
      <c r="I546">
        <v>0.84</v>
      </c>
      <c r="J546">
        <v>3779.16</v>
      </c>
      <c r="K546">
        <v>49</v>
      </c>
      <c r="L546">
        <v>77.13</v>
      </c>
      <c r="M546">
        <v>13660.38</v>
      </c>
      <c r="N546">
        <v>3.61</v>
      </c>
    </row>
    <row r="547" spans="1:14" x14ac:dyDescent="0.25">
      <c r="A547" s="1">
        <v>45524</v>
      </c>
      <c r="B547" t="s">
        <v>14</v>
      </c>
      <c r="C547" t="s">
        <v>24</v>
      </c>
      <c r="D547" t="s">
        <v>30</v>
      </c>
      <c r="E547" t="s">
        <v>26</v>
      </c>
      <c r="F547">
        <v>161926</v>
      </c>
      <c r="G547">
        <v>5424</v>
      </c>
      <c r="H547">
        <v>3.3500000000000002E-2</v>
      </c>
      <c r="I547">
        <v>3.29</v>
      </c>
      <c r="J547">
        <v>17844.96</v>
      </c>
      <c r="K547">
        <v>87</v>
      </c>
      <c r="L547">
        <v>205.11</v>
      </c>
      <c r="M547">
        <v>11807.21</v>
      </c>
      <c r="N547">
        <v>0.66</v>
      </c>
    </row>
    <row r="548" spans="1:14" x14ac:dyDescent="0.25">
      <c r="A548" s="1">
        <v>45579</v>
      </c>
      <c r="B548" t="s">
        <v>28</v>
      </c>
      <c r="C548" t="s">
        <v>15</v>
      </c>
      <c r="D548" t="s">
        <v>30</v>
      </c>
      <c r="E548" t="s">
        <v>20</v>
      </c>
      <c r="F548">
        <v>125725</v>
      </c>
      <c r="G548">
        <v>1646</v>
      </c>
      <c r="H548">
        <v>1.3100000000000001E-2</v>
      </c>
      <c r="I548">
        <v>0.81</v>
      </c>
      <c r="J548">
        <v>1333.26</v>
      </c>
      <c r="K548">
        <v>19</v>
      </c>
      <c r="L548">
        <v>70.17</v>
      </c>
      <c r="M548">
        <v>2319.58</v>
      </c>
      <c r="N548">
        <v>1.74</v>
      </c>
    </row>
    <row r="549" spans="1:14" x14ac:dyDescent="0.25">
      <c r="A549" s="1">
        <v>45429</v>
      </c>
      <c r="B549" t="s">
        <v>18</v>
      </c>
      <c r="C549" t="s">
        <v>21</v>
      </c>
      <c r="D549" t="s">
        <v>22</v>
      </c>
      <c r="E549" t="s">
        <v>17</v>
      </c>
      <c r="F549">
        <v>116301</v>
      </c>
      <c r="G549">
        <v>4198</v>
      </c>
      <c r="H549">
        <v>3.61E-2</v>
      </c>
      <c r="I549">
        <v>1.45</v>
      </c>
      <c r="J549">
        <v>6087.1</v>
      </c>
      <c r="K549">
        <v>212</v>
      </c>
      <c r="L549">
        <v>28.71</v>
      </c>
      <c r="M549">
        <v>37780.9</v>
      </c>
      <c r="N549">
        <v>6.21</v>
      </c>
    </row>
    <row r="550" spans="1:14" x14ac:dyDescent="0.25">
      <c r="A550" s="1">
        <v>45638</v>
      </c>
      <c r="B550" t="s">
        <v>14</v>
      </c>
      <c r="C550" t="s">
        <v>24</v>
      </c>
      <c r="D550" t="s">
        <v>25</v>
      </c>
      <c r="E550" t="s">
        <v>27</v>
      </c>
      <c r="F550">
        <v>88251</v>
      </c>
      <c r="G550">
        <v>2665</v>
      </c>
      <c r="H550">
        <v>3.0200000000000001E-2</v>
      </c>
      <c r="I550">
        <v>1.29</v>
      </c>
      <c r="J550">
        <v>3437.85</v>
      </c>
      <c r="K550">
        <v>151</v>
      </c>
      <c r="L550">
        <v>22.77</v>
      </c>
      <c r="M550">
        <v>17509.21</v>
      </c>
      <c r="N550">
        <v>5.09</v>
      </c>
    </row>
    <row r="551" spans="1:14" x14ac:dyDescent="0.25">
      <c r="A551" s="1">
        <v>45577</v>
      </c>
      <c r="B551" t="s">
        <v>14</v>
      </c>
      <c r="C551" t="s">
        <v>21</v>
      </c>
      <c r="D551" t="s">
        <v>19</v>
      </c>
      <c r="E551" t="s">
        <v>26</v>
      </c>
      <c r="F551">
        <v>185378</v>
      </c>
      <c r="G551">
        <v>3244</v>
      </c>
      <c r="H551">
        <v>1.7500000000000002E-2</v>
      </c>
      <c r="I551">
        <v>1.82</v>
      </c>
      <c r="J551">
        <v>5904.08</v>
      </c>
      <c r="K551">
        <v>246</v>
      </c>
      <c r="L551">
        <v>24</v>
      </c>
      <c r="M551">
        <v>67552.800000000003</v>
      </c>
      <c r="N551">
        <v>11.44</v>
      </c>
    </row>
    <row r="552" spans="1:14" x14ac:dyDescent="0.25">
      <c r="A552" s="1">
        <v>45517</v>
      </c>
      <c r="B552" t="s">
        <v>28</v>
      </c>
      <c r="C552" t="s">
        <v>24</v>
      </c>
      <c r="D552" t="s">
        <v>25</v>
      </c>
      <c r="E552" t="s">
        <v>23</v>
      </c>
      <c r="F552">
        <v>177905</v>
      </c>
      <c r="G552">
        <v>5532</v>
      </c>
      <c r="H552">
        <v>3.1099999999999999E-2</v>
      </c>
      <c r="I552">
        <v>0.98</v>
      </c>
      <c r="J552">
        <v>5421.36</v>
      </c>
      <c r="K552">
        <v>370</v>
      </c>
      <c r="L552">
        <v>14.65</v>
      </c>
      <c r="M552">
        <v>14673.05</v>
      </c>
      <c r="N552">
        <v>2.71</v>
      </c>
    </row>
    <row r="553" spans="1:14" x14ac:dyDescent="0.25">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row>
    <row r="554" spans="1:14" x14ac:dyDescent="0.25">
      <c r="A554" s="1">
        <v>45460</v>
      </c>
      <c r="B554" t="s">
        <v>28</v>
      </c>
      <c r="C554" t="s">
        <v>21</v>
      </c>
      <c r="D554" t="s">
        <v>22</v>
      </c>
      <c r="E554" t="s">
        <v>26</v>
      </c>
      <c r="F554">
        <v>36017</v>
      </c>
      <c r="G554">
        <v>1210</v>
      </c>
      <c r="H554">
        <v>3.3599999999999998E-2</v>
      </c>
      <c r="I554">
        <v>1.01</v>
      </c>
      <c r="J554">
        <v>1222.0999999999999</v>
      </c>
      <c r="K554">
        <v>28</v>
      </c>
      <c r="L554">
        <v>43.65</v>
      </c>
      <c r="M554">
        <v>1258.31</v>
      </c>
      <c r="N554">
        <v>1.03</v>
      </c>
    </row>
    <row r="555" spans="1:14" x14ac:dyDescent="0.25">
      <c r="A555" s="1">
        <v>45425</v>
      </c>
      <c r="B555" t="s">
        <v>14</v>
      </c>
      <c r="C555" t="s">
        <v>15</v>
      </c>
      <c r="D555" t="s">
        <v>19</v>
      </c>
      <c r="E555" t="s">
        <v>23</v>
      </c>
      <c r="F555">
        <v>71267</v>
      </c>
      <c r="G555">
        <v>3962</v>
      </c>
      <c r="H555">
        <v>5.5599999999999997E-2</v>
      </c>
      <c r="I555">
        <v>0.93</v>
      </c>
      <c r="J555">
        <v>3684.66</v>
      </c>
      <c r="K555">
        <v>287</v>
      </c>
      <c r="L555">
        <v>12.84</v>
      </c>
      <c r="M555">
        <v>50107.59</v>
      </c>
      <c r="N555">
        <v>13.6</v>
      </c>
    </row>
    <row r="556" spans="1:14" x14ac:dyDescent="0.25">
      <c r="A556" s="1">
        <v>45295</v>
      </c>
      <c r="B556" t="s">
        <v>28</v>
      </c>
      <c r="C556" t="s">
        <v>29</v>
      </c>
      <c r="D556" t="s">
        <v>19</v>
      </c>
      <c r="E556" t="s">
        <v>31</v>
      </c>
      <c r="F556">
        <v>97152</v>
      </c>
      <c r="G556">
        <v>1156</v>
      </c>
      <c r="H556">
        <v>1.1900000000000001E-2</v>
      </c>
      <c r="I556">
        <v>0.54</v>
      </c>
      <c r="J556">
        <v>624.24</v>
      </c>
      <c r="K556">
        <v>43</v>
      </c>
      <c r="L556">
        <v>14.52</v>
      </c>
      <c r="M556">
        <v>4965.75</v>
      </c>
      <c r="N556">
        <v>7.95</v>
      </c>
    </row>
    <row r="557" spans="1:14" x14ac:dyDescent="0.25">
      <c r="A557" s="1">
        <v>45538</v>
      </c>
      <c r="B557" t="s">
        <v>28</v>
      </c>
      <c r="C557" t="s">
        <v>24</v>
      </c>
      <c r="D557" t="s">
        <v>30</v>
      </c>
      <c r="E557" t="s">
        <v>23</v>
      </c>
      <c r="F557">
        <v>33834</v>
      </c>
      <c r="G557">
        <v>906</v>
      </c>
      <c r="H557">
        <v>2.6800000000000001E-2</v>
      </c>
      <c r="I557">
        <v>0.88</v>
      </c>
      <c r="J557">
        <v>797.28</v>
      </c>
      <c r="K557">
        <v>23</v>
      </c>
      <c r="L557">
        <v>34.659999999999997</v>
      </c>
      <c r="M557">
        <v>2361.23</v>
      </c>
      <c r="N557">
        <v>2.96</v>
      </c>
    </row>
    <row r="558" spans="1:14" x14ac:dyDescent="0.25">
      <c r="A558" s="1">
        <v>45640</v>
      </c>
      <c r="B558" t="s">
        <v>18</v>
      </c>
      <c r="C558" t="s">
        <v>24</v>
      </c>
      <c r="D558" t="s">
        <v>30</v>
      </c>
      <c r="E558" t="s">
        <v>27</v>
      </c>
      <c r="F558">
        <v>183775</v>
      </c>
      <c r="G558">
        <v>7093</v>
      </c>
      <c r="H558">
        <v>3.8600000000000002E-2</v>
      </c>
      <c r="I558">
        <v>1</v>
      </c>
      <c r="J558">
        <v>7093</v>
      </c>
      <c r="K558">
        <v>373</v>
      </c>
      <c r="L558">
        <v>19.02</v>
      </c>
      <c r="M558">
        <v>88634</v>
      </c>
      <c r="N558">
        <v>12.5</v>
      </c>
    </row>
    <row r="559" spans="1:14" x14ac:dyDescent="0.25">
      <c r="A559" s="1">
        <v>45535</v>
      </c>
      <c r="B559" t="s">
        <v>28</v>
      </c>
      <c r="C559" t="s">
        <v>15</v>
      </c>
      <c r="D559" t="s">
        <v>16</v>
      </c>
      <c r="E559" t="s">
        <v>17</v>
      </c>
      <c r="F559">
        <v>199405</v>
      </c>
      <c r="G559">
        <v>5204</v>
      </c>
      <c r="H559">
        <v>2.6100000000000002E-2</v>
      </c>
      <c r="I559">
        <v>0.96</v>
      </c>
      <c r="J559">
        <v>4995.84</v>
      </c>
      <c r="K559">
        <v>333</v>
      </c>
      <c r="L559">
        <v>15</v>
      </c>
      <c r="M559">
        <v>25169.83</v>
      </c>
      <c r="N559">
        <v>5.04</v>
      </c>
    </row>
    <row r="560" spans="1:14" x14ac:dyDescent="0.25">
      <c r="A560" s="1">
        <v>45370</v>
      </c>
      <c r="B560" t="s">
        <v>18</v>
      </c>
      <c r="C560" t="s">
        <v>15</v>
      </c>
      <c r="D560" t="s">
        <v>22</v>
      </c>
      <c r="E560" t="s">
        <v>26</v>
      </c>
      <c r="F560">
        <v>169512</v>
      </c>
      <c r="G560">
        <v>9475</v>
      </c>
      <c r="H560">
        <v>5.5899999999999998E-2</v>
      </c>
      <c r="I560">
        <v>1.41</v>
      </c>
      <c r="J560">
        <v>13359.75</v>
      </c>
      <c r="K560">
        <v>203</v>
      </c>
      <c r="L560">
        <v>65.81</v>
      </c>
      <c r="M560">
        <v>26995.02</v>
      </c>
      <c r="N560">
        <v>2.02</v>
      </c>
    </row>
    <row r="561" spans="1:14" x14ac:dyDescent="0.25">
      <c r="A561" s="1">
        <v>45602</v>
      </c>
      <c r="B561" t="s">
        <v>14</v>
      </c>
      <c r="C561" t="s">
        <v>29</v>
      </c>
      <c r="D561" t="s">
        <v>19</v>
      </c>
      <c r="E561" t="s">
        <v>31</v>
      </c>
      <c r="F561">
        <v>14884</v>
      </c>
      <c r="G561">
        <v>541</v>
      </c>
      <c r="H561">
        <v>3.6400000000000002E-2</v>
      </c>
      <c r="I561">
        <v>3.25</v>
      </c>
      <c r="J561">
        <v>1758.25</v>
      </c>
      <c r="K561">
        <v>43</v>
      </c>
      <c r="L561">
        <v>40.89</v>
      </c>
      <c r="M561">
        <v>4123.58</v>
      </c>
      <c r="N561">
        <v>2.35</v>
      </c>
    </row>
    <row r="562" spans="1:14" x14ac:dyDescent="0.25">
      <c r="A562" s="1">
        <v>45615</v>
      </c>
      <c r="B562" t="s">
        <v>18</v>
      </c>
      <c r="C562" t="s">
        <v>24</v>
      </c>
      <c r="D562" t="s">
        <v>22</v>
      </c>
      <c r="E562" t="s">
        <v>26</v>
      </c>
      <c r="F562">
        <v>47623</v>
      </c>
      <c r="G562">
        <v>1695</v>
      </c>
      <c r="H562">
        <v>3.56E-2</v>
      </c>
      <c r="I562">
        <v>1.85</v>
      </c>
      <c r="J562">
        <v>3135.75</v>
      </c>
      <c r="K562">
        <v>36</v>
      </c>
      <c r="L562">
        <v>87.1</v>
      </c>
      <c r="M562">
        <v>9884.86</v>
      </c>
      <c r="N562">
        <v>3.15</v>
      </c>
    </row>
    <row r="563" spans="1:14" x14ac:dyDescent="0.25">
      <c r="A563" s="1">
        <v>45620</v>
      </c>
      <c r="B563" t="s">
        <v>28</v>
      </c>
      <c r="C563" t="s">
        <v>15</v>
      </c>
      <c r="D563" t="s">
        <v>30</v>
      </c>
      <c r="E563" t="s">
        <v>23</v>
      </c>
      <c r="F563">
        <v>102780</v>
      </c>
      <c r="G563">
        <v>1952</v>
      </c>
      <c r="H563">
        <v>1.9E-2</v>
      </c>
      <c r="I563">
        <v>1.2</v>
      </c>
      <c r="J563">
        <v>2342.4</v>
      </c>
      <c r="K563">
        <v>63</v>
      </c>
      <c r="L563">
        <v>37.18</v>
      </c>
      <c r="M563">
        <v>16160.9</v>
      </c>
      <c r="N563">
        <v>6.9</v>
      </c>
    </row>
    <row r="564" spans="1:14" x14ac:dyDescent="0.25">
      <c r="A564" s="1">
        <v>45332</v>
      </c>
      <c r="B564" t="s">
        <v>14</v>
      </c>
      <c r="C564" t="s">
        <v>24</v>
      </c>
      <c r="D564" t="s">
        <v>22</v>
      </c>
      <c r="E564" t="s">
        <v>32</v>
      </c>
      <c r="F564">
        <v>167717</v>
      </c>
      <c r="G564">
        <v>4142</v>
      </c>
      <c r="H564">
        <v>2.47E-2</v>
      </c>
      <c r="I564">
        <v>1.73</v>
      </c>
      <c r="J564">
        <v>7165.66</v>
      </c>
      <c r="K564">
        <v>71</v>
      </c>
      <c r="L564">
        <v>100.92</v>
      </c>
      <c r="M564">
        <v>15937.54</v>
      </c>
      <c r="N564">
        <v>2.2200000000000002</v>
      </c>
    </row>
    <row r="565" spans="1:14" x14ac:dyDescent="0.25">
      <c r="A565" s="1">
        <v>45540</v>
      </c>
      <c r="B565" t="s">
        <v>28</v>
      </c>
      <c r="C565" t="s">
        <v>15</v>
      </c>
      <c r="D565" t="s">
        <v>30</v>
      </c>
      <c r="E565" t="s">
        <v>20</v>
      </c>
      <c r="F565">
        <v>189598</v>
      </c>
      <c r="G565">
        <v>6673</v>
      </c>
      <c r="H565">
        <v>3.5200000000000002E-2</v>
      </c>
      <c r="I565">
        <v>1.99</v>
      </c>
      <c r="J565">
        <v>13279.27</v>
      </c>
      <c r="K565">
        <v>170</v>
      </c>
      <c r="L565">
        <v>78.11</v>
      </c>
      <c r="M565">
        <v>36177.68</v>
      </c>
      <c r="N565">
        <v>2.72</v>
      </c>
    </row>
    <row r="566" spans="1:14" x14ac:dyDescent="0.25">
      <c r="A566" s="1">
        <v>45312</v>
      </c>
      <c r="B566" t="s">
        <v>18</v>
      </c>
      <c r="C566" t="s">
        <v>29</v>
      </c>
      <c r="D566" t="s">
        <v>25</v>
      </c>
      <c r="E566" t="s">
        <v>26</v>
      </c>
      <c r="F566">
        <v>92273</v>
      </c>
      <c r="G566">
        <v>6237</v>
      </c>
      <c r="H566">
        <v>6.7599999999999993E-2</v>
      </c>
      <c r="I566">
        <v>1.41</v>
      </c>
      <c r="J566">
        <v>8794.17</v>
      </c>
      <c r="K566">
        <v>291</v>
      </c>
      <c r="L566">
        <v>30.22</v>
      </c>
      <c r="M566">
        <v>72065.02</v>
      </c>
      <c r="N566">
        <v>8.19</v>
      </c>
    </row>
    <row r="567" spans="1:14" x14ac:dyDescent="0.25">
      <c r="A567" s="1">
        <v>45540</v>
      </c>
      <c r="B567" t="s">
        <v>14</v>
      </c>
      <c r="C567" t="s">
        <v>29</v>
      </c>
      <c r="D567" t="s">
        <v>16</v>
      </c>
      <c r="E567" t="s">
        <v>20</v>
      </c>
      <c r="F567">
        <v>118884</v>
      </c>
      <c r="G567">
        <v>5932</v>
      </c>
      <c r="H567">
        <v>4.99E-2</v>
      </c>
      <c r="I567">
        <v>2.95</v>
      </c>
      <c r="J567">
        <v>17499.400000000001</v>
      </c>
      <c r="K567">
        <v>450</v>
      </c>
      <c r="L567">
        <v>38.89</v>
      </c>
      <c r="M567">
        <v>121374.91</v>
      </c>
      <c r="N567">
        <v>6.94</v>
      </c>
    </row>
    <row r="568" spans="1:14" x14ac:dyDescent="0.25">
      <c r="A568" s="1">
        <v>45386</v>
      </c>
      <c r="B568" t="s">
        <v>14</v>
      </c>
      <c r="C568" t="s">
        <v>15</v>
      </c>
      <c r="D568" t="s">
        <v>22</v>
      </c>
      <c r="E568" t="s">
        <v>32</v>
      </c>
      <c r="F568">
        <v>84303</v>
      </c>
      <c r="G568">
        <v>4417</v>
      </c>
      <c r="H568">
        <v>5.2400000000000002E-2</v>
      </c>
      <c r="I568">
        <v>3.12</v>
      </c>
      <c r="J568">
        <v>13781.04</v>
      </c>
      <c r="K568">
        <v>100</v>
      </c>
      <c r="L568">
        <v>137.81</v>
      </c>
      <c r="M568">
        <v>20354.89</v>
      </c>
      <c r="N568">
        <v>1.48</v>
      </c>
    </row>
    <row r="569" spans="1:14" x14ac:dyDescent="0.25">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row>
    <row r="570" spans="1:14" x14ac:dyDescent="0.25">
      <c r="A570" s="1">
        <v>45626</v>
      </c>
      <c r="B570" t="s">
        <v>14</v>
      </c>
      <c r="C570" t="s">
        <v>15</v>
      </c>
      <c r="D570" t="s">
        <v>25</v>
      </c>
      <c r="E570" t="s">
        <v>20</v>
      </c>
      <c r="F570">
        <v>174737</v>
      </c>
      <c r="G570">
        <v>5207</v>
      </c>
      <c r="H570">
        <v>2.98E-2</v>
      </c>
      <c r="I570">
        <v>1.44</v>
      </c>
      <c r="J570">
        <v>7498.08</v>
      </c>
      <c r="K570">
        <v>398</v>
      </c>
      <c r="L570">
        <v>18.84</v>
      </c>
      <c r="M570">
        <v>90351.24</v>
      </c>
      <c r="N570">
        <v>12.05</v>
      </c>
    </row>
    <row r="571" spans="1:14" x14ac:dyDescent="0.25">
      <c r="A571" s="1">
        <v>45545</v>
      </c>
      <c r="B571" t="s">
        <v>14</v>
      </c>
      <c r="C571" t="s">
        <v>24</v>
      </c>
      <c r="D571" t="s">
        <v>22</v>
      </c>
      <c r="E571" t="s">
        <v>26</v>
      </c>
      <c r="F571">
        <v>145508</v>
      </c>
      <c r="G571">
        <v>7158</v>
      </c>
      <c r="H571">
        <v>4.9200000000000001E-2</v>
      </c>
      <c r="I571">
        <v>1.44</v>
      </c>
      <c r="J571">
        <v>10307.52</v>
      </c>
      <c r="K571">
        <v>566</v>
      </c>
      <c r="L571">
        <v>18.21</v>
      </c>
      <c r="M571">
        <v>76404.289999999994</v>
      </c>
      <c r="N571">
        <v>7.41</v>
      </c>
    </row>
    <row r="572" spans="1:14" x14ac:dyDescent="0.25">
      <c r="A572" s="1">
        <v>45406</v>
      </c>
      <c r="B572" t="s">
        <v>14</v>
      </c>
      <c r="C572" t="s">
        <v>24</v>
      </c>
      <c r="D572" t="s">
        <v>19</v>
      </c>
      <c r="E572" t="s">
        <v>32</v>
      </c>
      <c r="F572">
        <v>75649</v>
      </c>
      <c r="G572">
        <v>1792</v>
      </c>
      <c r="H572">
        <v>2.3699999999999999E-2</v>
      </c>
      <c r="I572">
        <v>2.78</v>
      </c>
      <c r="J572">
        <v>4981.76</v>
      </c>
      <c r="K572">
        <v>110</v>
      </c>
      <c r="L572">
        <v>45.29</v>
      </c>
      <c r="M572">
        <v>12588.99</v>
      </c>
      <c r="N572">
        <v>2.5299999999999998</v>
      </c>
    </row>
    <row r="573" spans="1:14" x14ac:dyDescent="0.25">
      <c r="A573" s="1">
        <v>45376</v>
      </c>
      <c r="B573" t="s">
        <v>18</v>
      </c>
      <c r="C573" t="s">
        <v>29</v>
      </c>
      <c r="D573" t="s">
        <v>30</v>
      </c>
      <c r="E573" t="s">
        <v>20</v>
      </c>
      <c r="F573">
        <v>85522</v>
      </c>
      <c r="G573">
        <v>3378</v>
      </c>
      <c r="H573">
        <v>3.95E-2</v>
      </c>
      <c r="I573">
        <v>0.35</v>
      </c>
      <c r="J573">
        <v>1182.3</v>
      </c>
      <c r="K573">
        <v>167</v>
      </c>
      <c r="L573">
        <v>7.08</v>
      </c>
      <c r="M573">
        <v>30312.31</v>
      </c>
      <c r="N573">
        <v>25.64</v>
      </c>
    </row>
    <row r="574" spans="1:14" x14ac:dyDescent="0.25">
      <c r="A574" s="1">
        <v>45615</v>
      </c>
      <c r="B574" t="s">
        <v>28</v>
      </c>
      <c r="C574" t="s">
        <v>24</v>
      </c>
      <c r="D574" t="s">
        <v>22</v>
      </c>
      <c r="E574" t="s">
        <v>27</v>
      </c>
      <c r="F574">
        <v>19588</v>
      </c>
      <c r="G574">
        <v>434</v>
      </c>
      <c r="H574">
        <v>2.2200000000000001E-2</v>
      </c>
      <c r="I574">
        <v>1.77</v>
      </c>
      <c r="J574">
        <v>768.18</v>
      </c>
      <c r="K574">
        <v>5</v>
      </c>
      <c r="L574">
        <v>153.63999999999999</v>
      </c>
      <c r="M574">
        <v>560.03</v>
      </c>
      <c r="N574">
        <v>0.73</v>
      </c>
    </row>
    <row r="575" spans="1:14" x14ac:dyDescent="0.25">
      <c r="A575" s="1">
        <v>45598</v>
      </c>
      <c r="B575" t="s">
        <v>18</v>
      </c>
      <c r="C575" t="s">
        <v>21</v>
      </c>
      <c r="D575" t="s">
        <v>30</v>
      </c>
      <c r="E575" t="s">
        <v>27</v>
      </c>
      <c r="F575">
        <v>92985</v>
      </c>
      <c r="G575">
        <v>8024</v>
      </c>
      <c r="H575">
        <v>8.6300000000000002E-2</v>
      </c>
      <c r="I575">
        <v>0.85</v>
      </c>
      <c r="J575">
        <v>6820.4</v>
      </c>
      <c r="K575">
        <v>520</v>
      </c>
      <c r="L575">
        <v>13.12</v>
      </c>
      <c r="M575">
        <v>150774.99</v>
      </c>
      <c r="N575">
        <v>22.11</v>
      </c>
    </row>
    <row r="576" spans="1:14" x14ac:dyDescent="0.25">
      <c r="A576" s="1">
        <v>45372</v>
      </c>
      <c r="B576" t="s">
        <v>14</v>
      </c>
      <c r="C576" t="s">
        <v>21</v>
      </c>
      <c r="D576" t="s">
        <v>30</v>
      </c>
      <c r="E576" t="s">
        <v>23</v>
      </c>
      <c r="F576">
        <v>134198</v>
      </c>
      <c r="G576">
        <v>2670</v>
      </c>
      <c r="H576">
        <v>1.9900000000000001E-2</v>
      </c>
      <c r="I576">
        <v>3.15</v>
      </c>
      <c r="J576">
        <v>8410.5</v>
      </c>
      <c r="K576">
        <v>71</v>
      </c>
      <c r="L576">
        <v>118.46</v>
      </c>
      <c r="M576">
        <v>14769.75</v>
      </c>
      <c r="N576">
        <v>1.76</v>
      </c>
    </row>
    <row r="577" spans="1:14" x14ac:dyDescent="0.25">
      <c r="A577" s="1">
        <v>45632</v>
      </c>
      <c r="B577" t="s">
        <v>18</v>
      </c>
      <c r="C577" t="s">
        <v>15</v>
      </c>
      <c r="D577" t="s">
        <v>30</v>
      </c>
      <c r="E577" t="s">
        <v>27</v>
      </c>
      <c r="F577">
        <v>25951</v>
      </c>
      <c r="G577">
        <v>809</v>
      </c>
      <c r="H577">
        <v>3.1199999999999999E-2</v>
      </c>
      <c r="I577">
        <v>0.48</v>
      </c>
      <c r="J577">
        <v>388.32</v>
      </c>
      <c r="K577">
        <v>61</v>
      </c>
      <c r="L577">
        <v>6.37</v>
      </c>
      <c r="M577">
        <v>10397.040000000001</v>
      </c>
      <c r="N577">
        <v>26.77</v>
      </c>
    </row>
    <row r="578" spans="1:14" x14ac:dyDescent="0.25">
      <c r="A578" s="1">
        <v>45584</v>
      </c>
      <c r="B578" t="s">
        <v>14</v>
      </c>
      <c r="C578" t="s">
        <v>24</v>
      </c>
      <c r="D578" t="s">
        <v>30</v>
      </c>
      <c r="E578" t="s">
        <v>20</v>
      </c>
      <c r="F578">
        <v>55385</v>
      </c>
      <c r="G578">
        <v>1678</v>
      </c>
      <c r="H578">
        <v>3.0300000000000001E-2</v>
      </c>
      <c r="I578">
        <v>1.44</v>
      </c>
      <c r="J578">
        <v>2416.3200000000002</v>
      </c>
      <c r="K578">
        <v>64</v>
      </c>
      <c r="L578">
        <v>37.76</v>
      </c>
      <c r="M578">
        <v>18110.48</v>
      </c>
      <c r="N578">
        <v>7.5</v>
      </c>
    </row>
    <row r="579" spans="1:14" x14ac:dyDescent="0.25">
      <c r="A579" s="1">
        <v>45292</v>
      </c>
      <c r="B579" t="s">
        <v>14</v>
      </c>
      <c r="C579" t="s">
        <v>15</v>
      </c>
      <c r="D579" t="s">
        <v>25</v>
      </c>
      <c r="E579" t="s">
        <v>31</v>
      </c>
      <c r="F579">
        <v>21702</v>
      </c>
      <c r="G579">
        <v>1000</v>
      </c>
      <c r="H579">
        <v>4.6100000000000002E-2</v>
      </c>
      <c r="I579">
        <v>3.17</v>
      </c>
      <c r="J579">
        <v>3170</v>
      </c>
      <c r="K579">
        <v>17</v>
      </c>
      <c r="L579">
        <v>186.47</v>
      </c>
      <c r="M579">
        <v>3670.88</v>
      </c>
      <c r="N579">
        <v>1.1599999999999999</v>
      </c>
    </row>
    <row r="580" spans="1:14" x14ac:dyDescent="0.25">
      <c r="A580" s="1">
        <v>45349</v>
      </c>
      <c r="B580" t="s">
        <v>18</v>
      </c>
      <c r="C580" t="s">
        <v>15</v>
      </c>
      <c r="D580" t="s">
        <v>25</v>
      </c>
      <c r="E580" t="s">
        <v>17</v>
      </c>
      <c r="F580">
        <v>195972</v>
      </c>
      <c r="G580">
        <v>13796</v>
      </c>
      <c r="H580">
        <v>7.0400000000000004E-2</v>
      </c>
      <c r="I580">
        <v>0.5</v>
      </c>
      <c r="J580">
        <v>6898</v>
      </c>
      <c r="K580">
        <v>645</v>
      </c>
      <c r="L580">
        <v>10.69</v>
      </c>
      <c r="M580">
        <v>54701.33</v>
      </c>
      <c r="N580">
        <v>7.93</v>
      </c>
    </row>
    <row r="581" spans="1:14" x14ac:dyDescent="0.25">
      <c r="A581" s="1">
        <v>45547</v>
      </c>
      <c r="B581" t="s">
        <v>28</v>
      </c>
      <c r="C581" t="s">
        <v>15</v>
      </c>
      <c r="D581" t="s">
        <v>22</v>
      </c>
      <c r="E581" t="s">
        <v>17</v>
      </c>
      <c r="F581">
        <v>73447</v>
      </c>
      <c r="G581">
        <v>2401</v>
      </c>
      <c r="H581">
        <v>3.27E-2</v>
      </c>
      <c r="I581">
        <v>1.44</v>
      </c>
      <c r="J581">
        <v>3457.44</v>
      </c>
      <c r="K581">
        <v>93</v>
      </c>
      <c r="L581">
        <v>37.18</v>
      </c>
      <c r="M581">
        <v>11150.38</v>
      </c>
      <c r="N581">
        <v>3.23</v>
      </c>
    </row>
    <row r="582" spans="1:14" x14ac:dyDescent="0.25">
      <c r="A582" s="1">
        <v>45582</v>
      </c>
      <c r="B582" t="s">
        <v>28</v>
      </c>
      <c r="C582" t="s">
        <v>15</v>
      </c>
      <c r="D582" t="s">
        <v>22</v>
      </c>
      <c r="E582" t="s">
        <v>17</v>
      </c>
      <c r="F582">
        <v>55867</v>
      </c>
      <c r="G582">
        <v>1681</v>
      </c>
      <c r="H582">
        <v>3.0099999999999998E-2</v>
      </c>
      <c r="I582">
        <v>1.98</v>
      </c>
      <c r="J582">
        <v>3328.38</v>
      </c>
      <c r="K582">
        <v>32</v>
      </c>
      <c r="L582">
        <v>104.01</v>
      </c>
      <c r="M582">
        <v>3790.94</v>
      </c>
      <c r="N582">
        <v>1.1399999999999999</v>
      </c>
    </row>
    <row r="583" spans="1:14" x14ac:dyDescent="0.25">
      <c r="A583" s="1">
        <v>45431</v>
      </c>
      <c r="B583" t="s">
        <v>14</v>
      </c>
      <c r="C583" t="s">
        <v>29</v>
      </c>
      <c r="D583" t="s">
        <v>16</v>
      </c>
      <c r="E583" t="s">
        <v>20</v>
      </c>
      <c r="F583">
        <v>64567</v>
      </c>
      <c r="G583">
        <v>1439</v>
      </c>
      <c r="H583">
        <v>2.23E-2</v>
      </c>
      <c r="I583">
        <v>2.29</v>
      </c>
      <c r="J583">
        <v>3295.31</v>
      </c>
      <c r="K583">
        <v>64</v>
      </c>
      <c r="L583">
        <v>51.49</v>
      </c>
      <c r="M583">
        <v>4231.38</v>
      </c>
      <c r="N583">
        <v>1.28</v>
      </c>
    </row>
    <row r="584" spans="1:14" x14ac:dyDescent="0.25">
      <c r="A584" s="1">
        <v>45475</v>
      </c>
      <c r="B584" t="s">
        <v>18</v>
      </c>
      <c r="C584" t="s">
        <v>24</v>
      </c>
      <c r="D584" t="s">
        <v>25</v>
      </c>
      <c r="E584" t="s">
        <v>27</v>
      </c>
      <c r="F584">
        <v>97254</v>
      </c>
      <c r="G584">
        <v>3374</v>
      </c>
      <c r="H584">
        <v>3.4700000000000002E-2</v>
      </c>
      <c r="I584">
        <v>1.65</v>
      </c>
      <c r="J584">
        <v>5567.1</v>
      </c>
      <c r="K584">
        <v>63</v>
      </c>
      <c r="L584">
        <v>88.37</v>
      </c>
      <c r="M584">
        <v>17255.150000000001</v>
      </c>
      <c r="N584">
        <v>3.1</v>
      </c>
    </row>
    <row r="585" spans="1:14" x14ac:dyDescent="0.25">
      <c r="A585" s="1">
        <v>45311</v>
      </c>
      <c r="B585" t="s">
        <v>28</v>
      </c>
      <c r="C585" t="s">
        <v>24</v>
      </c>
      <c r="D585" t="s">
        <v>22</v>
      </c>
      <c r="E585" t="s">
        <v>20</v>
      </c>
      <c r="F585">
        <v>147897</v>
      </c>
      <c r="G585">
        <v>2144</v>
      </c>
      <c r="H585">
        <v>1.4500000000000001E-2</v>
      </c>
      <c r="I585">
        <v>1.94</v>
      </c>
      <c r="J585">
        <v>4159.3599999999997</v>
      </c>
      <c r="K585">
        <v>24</v>
      </c>
      <c r="L585">
        <v>173.31</v>
      </c>
      <c r="M585">
        <v>3826.61</v>
      </c>
      <c r="N585">
        <v>0.92</v>
      </c>
    </row>
    <row r="586" spans="1:14" x14ac:dyDescent="0.25">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row>
    <row r="587" spans="1:14" x14ac:dyDescent="0.25">
      <c r="A587" s="1">
        <v>45354</v>
      </c>
      <c r="B587" t="s">
        <v>14</v>
      </c>
      <c r="C587" t="s">
        <v>15</v>
      </c>
      <c r="D587" t="s">
        <v>16</v>
      </c>
      <c r="E587" t="s">
        <v>20</v>
      </c>
      <c r="F587">
        <v>51566</v>
      </c>
      <c r="G587">
        <v>1531</v>
      </c>
      <c r="H587">
        <v>2.9700000000000001E-2</v>
      </c>
      <c r="I587">
        <v>1.39</v>
      </c>
      <c r="J587">
        <v>2128.09</v>
      </c>
      <c r="K587">
        <v>112</v>
      </c>
      <c r="L587">
        <v>19</v>
      </c>
      <c r="M587">
        <v>6716.48</v>
      </c>
      <c r="N587">
        <v>3.16</v>
      </c>
    </row>
    <row r="588" spans="1:14" x14ac:dyDescent="0.25">
      <c r="A588" s="1">
        <v>45461</v>
      </c>
      <c r="B588" t="s">
        <v>14</v>
      </c>
      <c r="C588" t="s">
        <v>15</v>
      </c>
      <c r="D588" t="s">
        <v>22</v>
      </c>
      <c r="E588" t="s">
        <v>17</v>
      </c>
      <c r="F588">
        <v>184889</v>
      </c>
      <c r="G588">
        <v>6212</v>
      </c>
      <c r="H588">
        <v>3.3599999999999998E-2</v>
      </c>
      <c r="I588">
        <v>2.17</v>
      </c>
      <c r="J588">
        <v>13480.04</v>
      </c>
      <c r="K588">
        <v>73</v>
      </c>
      <c r="L588">
        <v>184.66</v>
      </c>
      <c r="M588">
        <v>2434.91</v>
      </c>
      <c r="N588">
        <v>0.18</v>
      </c>
    </row>
    <row r="589" spans="1:14" x14ac:dyDescent="0.25">
      <c r="A589" s="1">
        <v>45399</v>
      </c>
      <c r="B589" t="s">
        <v>18</v>
      </c>
      <c r="C589" t="s">
        <v>24</v>
      </c>
      <c r="D589" t="s">
        <v>19</v>
      </c>
      <c r="E589" t="s">
        <v>32</v>
      </c>
      <c r="F589">
        <v>100028</v>
      </c>
      <c r="G589">
        <v>7402</v>
      </c>
      <c r="H589">
        <v>7.3999999999999996E-2</v>
      </c>
      <c r="I589">
        <v>0.73</v>
      </c>
      <c r="J589">
        <v>5403.46</v>
      </c>
      <c r="K589">
        <v>100</v>
      </c>
      <c r="L589">
        <v>54.03</v>
      </c>
      <c r="M589">
        <v>7280.48</v>
      </c>
      <c r="N589">
        <v>1.35</v>
      </c>
    </row>
    <row r="590" spans="1:14" x14ac:dyDescent="0.25">
      <c r="A590" s="1">
        <v>45504</v>
      </c>
      <c r="B590" t="s">
        <v>18</v>
      </c>
      <c r="C590" t="s">
        <v>15</v>
      </c>
      <c r="D590" t="s">
        <v>19</v>
      </c>
      <c r="E590" t="s">
        <v>31</v>
      </c>
      <c r="F590">
        <v>29741</v>
      </c>
      <c r="G590">
        <v>1287</v>
      </c>
      <c r="H590">
        <v>4.3299999999999998E-2</v>
      </c>
      <c r="I590">
        <v>1.23</v>
      </c>
      <c r="J590">
        <v>1583.01</v>
      </c>
      <c r="K590">
        <v>55</v>
      </c>
      <c r="L590">
        <v>28.78</v>
      </c>
      <c r="M590">
        <v>6012.36</v>
      </c>
      <c r="N590">
        <v>3.8</v>
      </c>
    </row>
    <row r="591" spans="1:14" x14ac:dyDescent="0.25">
      <c r="A591" s="1">
        <v>45363</v>
      </c>
      <c r="B591" t="s">
        <v>14</v>
      </c>
      <c r="C591" t="s">
        <v>24</v>
      </c>
      <c r="D591" t="s">
        <v>16</v>
      </c>
      <c r="E591" t="s">
        <v>32</v>
      </c>
      <c r="F591">
        <v>155033</v>
      </c>
      <c r="G591">
        <v>5782</v>
      </c>
      <c r="H591">
        <v>3.73E-2</v>
      </c>
      <c r="I591">
        <v>2.17</v>
      </c>
      <c r="J591">
        <v>12546.94</v>
      </c>
      <c r="K591">
        <v>248</v>
      </c>
      <c r="L591">
        <v>50.59</v>
      </c>
      <c r="M591">
        <v>71470.23</v>
      </c>
      <c r="N591">
        <v>5.7</v>
      </c>
    </row>
    <row r="592" spans="1:14" x14ac:dyDescent="0.25">
      <c r="A592" s="1">
        <v>45519</v>
      </c>
      <c r="B592" t="s">
        <v>18</v>
      </c>
      <c r="C592" t="s">
        <v>24</v>
      </c>
      <c r="D592" t="s">
        <v>16</v>
      </c>
      <c r="E592" t="s">
        <v>27</v>
      </c>
      <c r="F592">
        <v>13562</v>
      </c>
      <c r="G592">
        <v>790</v>
      </c>
      <c r="H592">
        <v>5.8299999999999998E-2</v>
      </c>
      <c r="I592">
        <v>1.18</v>
      </c>
      <c r="J592">
        <v>932.2</v>
      </c>
      <c r="K592">
        <v>40</v>
      </c>
      <c r="L592">
        <v>23.3</v>
      </c>
      <c r="M592">
        <v>7014.55</v>
      </c>
      <c r="N592">
        <v>7.52</v>
      </c>
    </row>
    <row r="593" spans="1:14" x14ac:dyDescent="0.25">
      <c r="A593" s="1">
        <v>45309</v>
      </c>
      <c r="B593" t="s">
        <v>28</v>
      </c>
      <c r="C593" t="s">
        <v>24</v>
      </c>
      <c r="D593" t="s">
        <v>22</v>
      </c>
      <c r="E593" t="s">
        <v>17</v>
      </c>
      <c r="F593">
        <v>84830</v>
      </c>
      <c r="G593">
        <v>2612</v>
      </c>
      <c r="H593">
        <v>3.0800000000000001E-2</v>
      </c>
      <c r="I593">
        <v>1.98</v>
      </c>
      <c r="J593">
        <v>5171.76</v>
      </c>
      <c r="K593">
        <v>84</v>
      </c>
      <c r="L593">
        <v>61.57</v>
      </c>
      <c r="M593">
        <v>6284.59</v>
      </c>
      <c r="N593">
        <v>1.22</v>
      </c>
    </row>
    <row r="594" spans="1:14" x14ac:dyDescent="0.25">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row>
    <row r="595" spans="1:14" x14ac:dyDescent="0.25">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row>
    <row r="596" spans="1:14" x14ac:dyDescent="0.25">
      <c r="A596" s="1">
        <v>45498</v>
      </c>
      <c r="B596" t="s">
        <v>14</v>
      </c>
      <c r="C596" t="s">
        <v>15</v>
      </c>
      <c r="D596" t="s">
        <v>25</v>
      </c>
      <c r="E596" t="s">
        <v>32</v>
      </c>
      <c r="F596">
        <v>93919</v>
      </c>
      <c r="G596">
        <v>4968</v>
      </c>
      <c r="H596">
        <v>5.2900000000000003E-2</v>
      </c>
      <c r="I596">
        <v>2.5499999999999998</v>
      </c>
      <c r="J596">
        <v>12668.4</v>
      </c>
      <c r="K596">
        <v>308</v>
      </c>
      <c r="L596">
        <v>41.13</v>
      </c>
      <c r="M596">
        <v>66254.75</v>
      </c>
      <c r="N596">
        <v>5.23</v>
      </c>
    </row>
    <row r="597" spans="1:14" x14ac:dyDescent="0.25">
      <c r="A597" s="1">
        <v>45600</v>
      </c>
      <c r="B597" t="s">
        <v>18</v>
      </c>
      <c r="C597" t="s">
        <v>29</v>
      </c>
      <c r="D597" t="s">
        <v>16</v>
      </c>
      <c r="E597" t="s">
        <v>17</v>
      </c>
      <c r="F597">
        <v>46190</v>
      </c>
      <c r="G597">
        <v>3030</v>
      </c>
      <c r="H597">
        <v>6.5600000000000006E-2</v>
      </c>
      <c r="I597">
        <v>0.42</v>
      </c>
      <c r="J597">
        <v>1272.5999999999999</v>
      </c>
      <c r="K597">
        <v>183</v>
      </c>
      <c r="L597">
        <v>6.95</v>
      </c>
      <c r="M597">
        <v>38945.83</v>
      </c>
      <c r="N597">
        <v>30.6</v>
      </c>
    </row>
    <row r="598" spans="1:14" x14ac:dyDescent="0.25">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row>
    <row r="599" spans="1:14" x14ac:dyDescent="0.25">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row>
    <row r="600" spans="1:14" x14ac:dyDescent="0.25">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row>
    <row r="601" spans="1:14" x14ac:dyDescent="0.25">
      <c r="A601" s="1">
        <v>45410</v>
      </c>
      <c r="B601" t="s">
        <v>18</v>
      </c>
      <c r="C601" t="s">
        <v>21</v>
      </c>
      <c r="D601" t="s">
        <v>19</v>
      </c>
      <c r="E601" t="s">
        <v>31</v>
      </c>
      <c r="F601">
        <v>110940</v>
      </c>
      <c r="G601">
        <v>6512</v>
      </c>
      <c r="H601">
        <v>5.8700000000000002E-2</v>
      </c>
      <c r="I601">
        <v>1.41</v>
      </c>
      <c r="J601">
        <v>9181.92</v>
      </c>
      <c r="K601">
        <v>108</v>
      </c>
      <c r="L601">
        <v>85.02</v>
      </c>
      <c r="M601">
        <v>14612.87</v>
      </c>
      <c r="N601">
        <v>1.59</v>
      </c>
    </row>
    <row r="602" spans="1:14" x14ac:dyDescent="0.25">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row>
    <row r="603" spans="1:14" x14ac:dyDescent="0.25">
      <c r="A603" s="1">
        <v>45531</v>
      </c>
      <c r="B603" t="s">
        <v>18</v>
      </c>
      <c r="C603" t="s">
        <v>21</v>
      </c>
      <c r="D603" t="s">
        <v>19</v>
      </c>
      <c r="E603" t="s">
        <v>17</v>
      </c>
      <c r="F603">
        <v>149526</v>
      </c>
      <c r="G603">
        <v>4321</v>
      </c>
      <c r="H603">
        <v>2.8899999999999999E-2</v>
      </c>
      <c r="I603">
        <v>0.78</v>
      </c>
      <c r="J603">
        <v>3370.38</v>
      </c>
      <c r="K603">
        <v>120</v>
      </c>
      <c r="L603">
        <v>28.09</v>
      </c>
      <c r="M603">
        <v>25118.55</v>
      </c>
      <c r="N603">
        <v>7.45</v>
      </c>
    </row>
    <row r="604" spans="1:14" x14ac:dyDescent="0.25">
      <c r="A604" s="1">
        <v>45411</v>
      </c>
      <c r="B604" t="s">
        <v>28</v>
      </c>
      <c r="C604" t="s">
        <v>15</v>
      </c>
      <c r="D604" t="s">
        <v>22</v>
      </c>
      <c r="E604" t="s">
        <v>23</v>
      </c>
      <c r="F604">
        <v>77746</v>
      </c>
      <c r="G604">
        <v>2861</v>
      </c>
      <c r="H604">
        <v>3.6799999999999999E-2</v>
      </c>
      <c r="I604">
        <v>1.04</v>
      </c>
      <c r="J604">
        <v>2975.44</v>
      </c>
      <c r="K604">
        <v>82</v>
      </c>
      <c r="L604">
        <v>36.29</v>
      </c>
      <c r="M604">
        <v>21523.93</v>
      </c>
      <c r="N604">
        <v>7.23</v>
      </c>
    </row>
    <row r="605" spans="1:14" x14ac:dyDescent="0.25">
      <c r="A605" s="1">
        <v>45399</v>
      </c>
      <c r="B605" t="s">
        <v>14</v>
      </c>
      <c r="C605" t="s">
        <v>21</v>
      </c>
      <c r="D605" t="s">
        <v>22</v>
      </c>
      <c r="E605" t="s">
        <v>20</v>
      </c>
      <c r="F605">
        <v>105804</v>
      </c>
      <c r="G605">
        <v>3110</v>
      </c>
      <c r="H605">
        <v>2.9399999999999999E-2</v>
      </c>
      <c r="I605">
        <v>0.97</v>
      </c>
      <c r="J605">
        <v>3016.7</v>
      </c>
      <c r="K605">
        <v>200</v>
      </c>
      <c r="L605">
        <v>15.08</v>
      </c>
      <c r="M605">
        <v>49067.29</v>
      </c>
      <c r="N605">
        <v>16.27</v>
      </c>
    </row>
    <row r="606" spans="1:14" x14ac:dyDescent="0.25">
      <c r="A606" s="1">
        <v>45550</v>
      </c>
      <c r="B606" t="s">
        <v>28</v>
      </c>
      <c r="C606" t="s">
        <v>21</v>
      </c>
      <c r="D606" t="s">
        <v>16</v>
      </c>
      <c r="E606" t="s">
        <v>26</v>
      </c>
      <c r="F606">
        <v>37599</v>
      </c>
      <c r="G606">
        <v>1225</v>
      </c>
      <c r="H606">
        <v>3.2599999999999997E-2</v>
      </c>
      <c r="I606">
        <v>1.3</v>
      </c>
      <c r="J606">
        <v>1592.5</v>
      </c>
      <c r="K606">
        <v>73</v>
      </c>
      <c r="L606">
        <v>21.82</v>
      </c>
      <c r="M606">
        <v>19164.89</v>
      </c>
      <c r="N606">
        <v>12.03</v>
      </c>
    </row>
    <row r="607" spans="1:14" x14ac:dyDescent="0.25">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row>
    <row r="608" spans="1:14" x14ac:dyDescent="0.25">
      <c r="A608" s="1">
        <v>45351</v>
      </c>
      <c r="B608" t="s">
        <v>14</v>
      </c>
      <c r="C608" t="s">
        <v>15</v>
      </c>
      <c r="D608" t="s">
        <v>22</v>
      </c>
      <c r="E608" t="s">
        <v>23</v>
      </c>
      <c r="F608">
        <v>34802</v>
      </c>
      <c r="G608">
        <v>1708</v>
      </c>
      <c r="H608">
        <v>4.9099999999999998E-2</v>
      </c>
      <c r="I608">
        <v>2.9</v>
      </c>
      <c r="J608">
        <v>4953.2</v>
      </c>
      <c r="K608">
        <v>72</v>
      </c>
      <c r="L608">
        <v>68.790000000000006</v>
      </c>
      <c r="M608">
        <v>6827.25</v>
      </c>
      <c r="N608">
        <v>1.38</v>
      </c>
    </row>
    <row r="609" spans="1:14" x14ac:dyDescent="0.25">
      <c r="A609" s="1">
        <v>45582</v>
      </c>
      <c r="B609" t="s">
        <v>18</v>
      </c>
      <c r="C609" t="s">
        <v>29</v>
      </c>
      <c r="D609" t="s">
        <v>22</v>
      </c>
      <c r="E609" t="s">
        <v>31</v>
      </c>
      <c r="F609">
        <v>81394</v>
      </c>
      <c r="G609">
        <v>5192</v>
      </c>
      <c r="H609">
        <v>6.3799999999999996E-2</v>
      </c>
      <c r="I609">
        <v>0.94</v>
      </c>
      <c r="J609">
        <v>4880.4799999999996</v>
      </c>
      <c r="K609">
        <v>253</v>
      </c>
      <c r="L609">
        <v>19.29</v>
      </c>
      <c r="M609">
        <v>41499.01</v>
      </c>
      <c r="N609">
        <v>8.5</v>
      </c>
    </row>
    <row r="610" spans="1:14" x14ac:dyDescent="0.25">
      <c r="A610" s="1">
        <v>45541</v>
      </c>
      <c r="B610" t="s">
        <v>14</v>
      </c>
      <c r="C610" t="s">
        <v>24</v>
      </c>
      <c r="D610" t="s">
        <v>30</v>
      </c>
      <c r="E610" t="s">
        <v>26</v>
      </c>
      <c r="F610">
        <v>101299</v>
      </c>
      <c r="G610">
        <v>3504</v>
      </c>
      <c r="H610">
        <v>3.4599999999999999E-2</v>
      </c>
      <c r="I610">
        <v>1.8</v>
      </c>
      <c r="J610">
        <v>6307.2</v>
      </c>
      <c r="K610">
        <v>250</v>
      </c>
      <c r="L610">
        <v>25.23</v>
      </c>
      <c r="M610">
        <v>36776.35</v>
      </c>
      <c r="N610">
        <v>5.83</v>
      </c>
    </row>
    <row r="611" spans="1:14" x14ac:dyDescent="0.25">
      <c r="A611" s="1">
        <v>45534</v>
      </c>
      <c r="B611" t="s">
        <v>28</v>
      </c>
      <c r="C611" t="s">
        <v>21</v>
      </c>
      <c r="D611" t="s">
        <v>22</v>
      </c>
      <c r="E611" t="s">
        <v>26</v>
      </c>
      <c r="F611">
        <v>140431</v>
      </c>
      <c r="G611">
        <v>1544</v>
      </c>
      <c r="H611">
        <v>1.0999999999999999E-2</v>
      </c>
      <c r="I611">
        <v>0.52</v>
      </c>
      <c r="J611">
        <v>802.88</v>
      </c>
      <c r="K611">
        <v>74</v>
      </c>
      <c r="L611">
        <v>10.85</v>
      </c>
      <c r="M611">
        <v>2904.54</v>
      </c>
      <c r="N611">
        <v>3.62</v>
      </c>
    </row>
    <row r="612" spans="1:14" x14ac:dyDescent="0.25">
      <c r="A612" s="1">
        <v>45447</v>
      </c>
      <c r="B612" t="s">
        <v>14</v>
      </c>
      <c r="C612" t="s">
        <v>21</v>
      </c>
      <c r="D612" t="s">
        <v>25</v>
      </c>
      <c r="E612" t="s">
        <v>27</v>
      </c>
      <c r="F612">
        <v>113368</v>
      </c>
      <c r="G612">
        <v>5260</v>
      </c>
      <c r="H612">
        <v>4.6399999999999997E-2</v>
      </c>
      <c r="I612">
        <v>1.31</v>
      </c>
      <c r="J612">
        <v>6890.6</v>
      </c>
      <c r="K612">
        <v>168</v>
      </c>
      <c r="L612">
        <v>41.02</v>
      </c>
      <c r="M612">
        <v>8983.58</v>
      </c>
      <c r="N612">
        <v>1.3</v>
      </c>
    </row>
    <row r="613" spans="1:14" x14ac:dyDescent="0.25">
      <c r="A613" s="1">
        <v>45461</v>
      </c>
      <c r="B613" t="s">
        <v>14</v>
      </c>
      <c r="C613" t="s">
        <v>29</v>
      </c>
      <c r="D613" t="s">
        <v>30</v>
      </c>
      <c r="E613" t="s">
        <v>26</v>
      </c>
      <c r="F613">
        <v>89263</v>
      </c>
      <c r="G613">
        <v>3695</v>
      </c>
      <c r="H613">
        <v>4.1399999999999999E-2</v>
      </c>
      <c r="I613">
        <v>1.77</v>
      </c>
      <c r="J613">
        <v>6540.15</v>
      </c>
      <c r="K613">
        <v>155</v>
      </c>
      <c r="L613">
        <v>42.19</v>
      </c>
      <c r="M613">
        <v>19291.23</v>
      </c>
      <c r="N613">
        <v>2.95</v>
      </c>
    </row>
    <row r="614" spans="1:14" x14ac:dyDescent="0.25">
      <c r="A614" s="1">
        <v>45505</v>
      </c>
      <c r="B614" t="s">
        <v>28</v>
      </c>
      <c r="C614" t="s">
        <v>29</v>
      </c>
      <c r="D614" t="s">
        <v>30</v>
      </c>
      <c r="E614" t="s">
        <v>23</v>
      </c>
      <c r="F614">
        <v>168947</v>
      </c>
      <c r="G614">
        <v>4510</v>
      </c>
      <c r="H614">
        <v>2.6700000000000002E-2</v>
      </c>
      <c r="I614">
        <v>1.94</v>
      </c>
      <c r="J614">
        <v>8749.4</v>
      </c>
      <c r="K614">
        <v>179</v>
      </c>
      <c r="L614">
        <v>48.88</v>
      </c>
      <c r="M614">
        <v>48341.14</v>
      </c>
      <c r="N614">
        <v>5.53</v>
      </c>
    </row>
    <row r="615" spans="1:14" x14ac:dyDescent="0.25">
      <c r="A615" s="1">
        <v>45456</v>
      </c>
      <c r="B615" t="s">
        <v>18</v>
      </c>
      <c r="C615" t="s">
        <v>15</v>
      </c>
      <c r="D615" t="s">
        <v>19</v>
      </c>
      <c r="E615" t="s">
        <v>17</v>
      </c>
      <c r="F615">
        <v>139511</v>
      </c>
      <c r="G615">
        <v>8384</v>
      </c>
      <c r="H615">
        <v>6.0100000000000001E-2</v>
      </c>
      <c r="I615">
        <v>1.35</v>
      </c>
      <c r="J615">
        <v>11318.4</v>
      </c>
      <c r="K615">
        <v>209</v>
      </c>
      <c r="L615">
        <v>54.16</v>
      </c>
      <c r="M615">
        <v>26357.3</v>
      </c>
      <c r="N615">
        <v>2.33</v>
      </c>
    </row>
    <row r="616" spans="1:14" x14ac:dyDescent="0.25">
      <c r="A616" s="1">
        <v>45547</v>
      </c>
      <c r="B616" t="s">
        <v>14</v>
      </c>
      <c r="C616" t="s">
        <v>15</v>
      </c>
      <c r="D616" t="s">
        <v>16</v>
      </c>
      <c r="E616" t="s">
        <v>20</v>
      </c>
      <c r="F616">
        <v>25927</v>
      </c>
      <c r="G616">
        <v>1501</v>
      </c>
      <c r="H616">
        <v>5.79E-2</v>
      </c>
      <c r="I616">
        <v>1.01</v>
      </c>
      <c r="J616">
        <v>1516.01</v>
      </c>
      <c r="K616">
        <v>44</v>
      </c>
      <c r="L616">
        <v>34.450000000000003</v>
      </c>
      <c r="M616">
        <v>4091.03</v>
      </c>
      <c r="N616">
        <v>2.7</v>
      </c>
    </row>
    <row r="617" spans="1:14" x14ac:dyDescent="0.25">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row>
    <row r="618" spans="1:14" x14ac:dyDescent="0.25">
      <c r="A618" s="1">
        <v>45639</v>
      </c>
      <c r="B618" t="s">
        <v>28</v>
      </c>
      <c r="C618" t="s">
        <v>21</v>
      </c>
      <c r="D618" t="s">
        <v>22</v>
      </c>
      <c r="E618" t="s">
        <v>31</v>
      </c>
      <c r="F618">
        <v>149542</v>
      </c>
      <c r="G618">
        <v>2497</v>
      </c>
      <c r="H618">
        <v>1.67E-2</v>
      </c>
      <c r="I618">
        <v>1.04</v>
      </c>
      <c r="J618">
        <v>2596.88</v>
      </c>
      <c r="K618">
        <v>70</v>
      </c>
      <c r="L618">
        <v>37.1</v>
      </c>
      <c r="M618">
        <v>12612.87</v>
      </c>
      <c r="N618">
        <v>4.8600000000000003</v>
      </c>
    </row>
    <row r="619" spans="1:14" x14ac:dyDescent="0.25">
      <c r="A619" s="1">
        <v>45552</v>
      </c>
      <c r="B619" t="s">
        <v>28</v>
      </c>
      <c r="C619" t="s">
        <v>21</v>
      </c>
      <c r="D619" t="s">
        <v>22</v>
      </c>
      <c r="E619" t="s">
        <v>20</v>
      </c>
      <c r="F619">
        <v>20021</v>
      </c>
      <c r="G619">
        <v>462</v>
      </c>
      <c r="H619">
        <v>2.3099999999999999E-2</v>
      </c>
      <c r="I619">
        <v>1.57</v>
      </c>
      <c r="J619">
        <v>725.34</v>
      </c>
      <c r="K619">
        <v>20</v>
      </c>
      <c r="L619">
        <v>36.270000000000003</v>
      </c>
      <c r="M619">
        <v>4554.08</v>
      </c>
      <c r="N619">
        <v>6.28</v>
      </c>
    </row>
    <row r="620" spans="1:14" x14ac:dyDescent="0.25">
      <c r="A620" s="1">
        <v>45307</v>
      </c>
      <c r="B620" t="s">
        <v>14</v>
      </c>
      <c r="C620" t="s">
        <v>24</v>
      </c>
      <c r="D620" t="s">
        <v>25</v>
      </c>
      <c r="E620" t="s">
        <v>17</v>
      </c>
      <c r="F620">
        <v>31783</v>
      </c>
      <c r="G620">
        <v>781</v>
      </c>
      <c r="H620">
        <v>2.46E-2</v>
      </c>
      <c r="I620">
        <v>1.1599999999999999</v>
      </c>
      <c r="J620">
        <v>905.96</v>
      </c>
      <c r="K620">
        <v>49</v>
      </c>
      <c r="L620">
        <v>18.489999999999998</v>
      </c>
      <c r="M620">
        <v>4886.84</v>
      </c>
      <c r="N620">
        <v>5.39</v>
      </c>
    </row>
    <row r="621" spans="1:14" x14ac:dyDescent="0.25">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row>
    <row r="622" spans="1:14" x14ac:dyDescent="0.25">
      <c r="A622" s="1">
        <v>45315</v>
      </c>
      <c r="B622" t="s">
        <v>14</v>
      </c>
      <c r="C622" t="s">
        <v>24</v>
      </c>
      <c r="D622" t="s">
        <v>16</v>
      </c>
      <c r="E622" t="s">
        <v>32</v>
      </c>
      <c r="F622">
        <v>31325</v>
      </c>
      <c r="G622">
        <v>858</v>
      </c>
      <c r="H622">
        <v>2.7400000000000001E-2</v>
      </c>
      <c r="I622">
        <v>2.12</v>
      </c>
      <c r="J622">
        <v>1818.96</v>
      </c>
      <c r="K622">
        <v>43</v>
      </c>
      <c r="L622">
        <v>42.3</v>
      </c>
      <c r="M622">
        <v>2004.67</v>
      </c>
      <c r="N622">
        <v>1.1000000000000001</v>
      </c>
    </row>
    <row r="623" spans="1:14" x14ac:dyDescent="0.25">
      <c r="A623" s="1">
        <v>45656</v>
      </c>
      <c r="B623" t="s">
        <v>28</v>
      </c>
      <c r="C623" t="s">
        <v>29</v>
      </c>
      <c r="D623" t="s">
        <v>25</v>
      </c>
      <c r="E623" t="s">
        <v>32</v>
      </c>
      <c r="F623">
        <v>49134</v>
      </c>
      <c r="G623">
        <v>1026</v>
      </c>
      <c r="H623">
        <v>2.0899999999999998E-2</v>
      </c>
      <c r="I623">
        <v>0.8</v>
      </c>
      <c r="J623">
        <v>820.8</v>
      </c>
      <c r="K623">
        <v>16</v>
      </c>
      <c r="L623">
        <v>51.3</v>
      </c>
      <c r="M623">
        <v>1025.05</v>
      </c>
      <c r="N623">
        <v>1.25</v>
      </c>
    </row>
    <row r="624" spans="1:14" x14ac:dyDescent="0.25">
      <c r="A624" s="1">
        <v>45412</v>
      </c>
      <c r="B624" t="s">
        <v>14</v>
      </c>
      <c r="C624" t="s">
        <v>29</v>
      </c>
      <c r="D624" t="s">
        <v>25</v>
      </c>
      <c r="E624" t="s">
        <v>31</v>
      </c>
      <c r="F624">
        <v>114599</v>
      </c>
      <c r="G624">
        <v>2028</v>
      </c>
      <c r="H624">
        <v>1.77E-2</v>
      </c>
      <c r="I624">
        <v>2.4300000000000002</v>
      </c>
      <c r="J624">
        <v>4928.04</v>
      </c>
      <c r="K624">
        <v>29</v>
      </c>
      <c r="L624">
        <v>169.93</v>
      </c>
      <c r="M624">
        <v>5366.72</v>
      </c>
      <c r="N624">
        <v>1.0900000000000001</v>
      </c>
    </row>
    <row r="625" spans="1:14" x14ac:dyDescent="0.25">
      <c r="A625" s="1">
        <v>45573</v>
      </c>
      <c r="B625" t="s">
        <v>28</v>
      </c>
      <c r="C625" t="s">
        <v>21</v>
      </c>
      <c r="D625" t="s">
        <v>16</v>
      </c>
      <c r="E625" t="s">
        <v>20</v>
      </c>
      <c r="F625">
        <v>198581</v>
      </c>
      <c r="G625">
        <v>1985</v>
      </c>
      <c r="H625">
        <v>0.01</v>
      </c>
      <c r="I625">
        <v>1.76</v>
      </c>
      <c r="J625">
        <v>3493.6</v>
      </c>
      <c r="K625">
        <v>38</v>
      </c>
      <c r="L625">
        <v>91.94</v>
      </c>
      <c r="M625">
        <v>8029.71</v>
      </c>
      <c r="N625">
        <v>2.2999999999999998</v>
      </c>
    </row>
    <row r="626" spans="1:14" x14ac:dyDescent="0.25">
      <c r="A626" s="1">
        <v>45494</v>
      </c>
      <c r="B626" t="s">
        <v>14</v>
      </c>
      <c r="C626" t="s">
        <v>21</v>
      </c>
      <c r="D626" t="s">
        <v>25</v>
      </c>
      <c r="E626" t="s">
        <v>27</v>
      </c>
      <c r="F626">
        <v>157890</v>
      </c>
      <c r="G626">
        <v>9204</v>
      </c>
      <c r="H626">
        <v>5.8299999999999998E-2</v>
      </c>
      <c r="I626">
        <v>3.37</v>
      </c>
      <c r="J626">
        <v>31017.48</v>
      </c>
      <c r="K626">
        <v>321</v>
      </c>
      <c r="L626">
        <v>96.63</v>
      </c>
      <c r="M626">
        <v>10260.33</v>
      </c>
      <c r="N626">
        <v>0.33</v>
      </c>
    </row>
    <row r="627" spans="1:14" x14ac:dyDescent="0.25">
      <c r="A627" s="1">
        <v>45386</v>
      </c>
      <c r="B627" t="s">
        <v>14</v>
      </c>
      <c r="C627" t="s">
        <v>15</v>
      </c>
      <c r="D627" t="s">
        <v>19</v>
      </c>
      <c r="E627" t="s">
        <v>26</v>
      </c>
      <c r="F627">
        <v>161215</v>
      </c>
      <c r="G627">
        <v>5948</v>
      </c>
      <c r="H627">
        <v>3.6900000000000002E-2</v>
      </c>
      <c r="I627">
        <v>2.27</v>
      </c>
      <c r="J627">
        <v>13501.96</v>
      </c>
      <c r="K627">
        <v>439</v>
      </c>
      <c r="L627">
        <v>30.76</v>
      </c>
      <c r="M627">
        <v>105685.25</v>
      </c>
      <c r="N627">
        <v>7.83</v>
      </c>
    </row>
    <row r="628" spans="1:14" x14ac:dyDescent="0.25">
      <c r="A628" s="1">
        <v>45321</v>
      </c>
      <c r="B628" t="s">
        <v>18</v>
      </c>
      <c r="C628" t="s">
        <v>21</v>
      </c>
      <c r="D628" t="s">
        <v>16</v>
      </c>
      <c r="E628" t="s">
        <v>31</v>
      </c>
      <c r="F628">
        <v>48147</v>
      </c>
      <c r="G628">
        <v>3562</v>
      </c>
      <c r="H628">
        <v>7.3999999999999996E-2</v>
      </c>
      <c r="I628">
        <v>0.42</v>
      </c>
      <c r="J628">
        <v>1496.04</v>
      </c>
      <c r="K628">
        <v>163</v>
      </c>
      <c r="L628">
        <v>9.18</v>
      </c>
      <c r="M628">
        <v>41382.29</v>
      </c>
      <c r="N628">
        <v>27.66</v>
      </c>
    </row>
    <row r="629" spans="1:14" x14ac:dyDescent="0.25">
      <c r="A629" s="1">
        <v>45386</v>
      </c>
      <c r="B629" t="s">
        <v>28</v>
      </c>
      <c r="C629" t="s">
        <v>21</v>
      </c>
      <c r="D629" t="s">
        <v>19</v>
      </c>
      <c r="E629" t="s">
        <v>23</v>
      </c>
      <c r="F629">
        <v>90818</v>
      </c>
      <c r="G629">
        <v>3287</v>
      </c>
      <c r="H629">
        <v>3.6200000000000003E-2</v>
      </c>
      <c r="I629">
        <v>0.8</v>
      </c>
      <c r="J629">
        <v>2629.6</v>
      </c>
      <c r="K629">
        <v>123</v>
      </c>
      <c r="L629">
        <v>21.38</v>
      </c>
      <c r="M629">
        <v>11242.68</v>
      </c>
      <c r="N629">
        <v>4.28</v>
      </c>
    </row>
    <row r="630" spans="1:14" x14ac:dyDescent="0.25">
      <c r="A630" s="1">
        <v>45471</v>
      </c>
      <c r="B630" t="s">
        <v>14</v>
      </c>
      <c r="C630" t="s">
        <v>21</v>
      </c>
      <c r="D630" t="s">
        <v>25</v>
      </c>
      <c r="E630" t="s">
        <v>31</v>
      </c>
      <c r="F630">
        <v>118415</v>
      </c>
      <c r="G630">
        <v>6500</v>
      </c>
      <c r="H630">
        <v>5.4899999999999997E-2</v>
      </c>
      <c r="I630">
        <v>1.74</v>
      </c>
      <c r="J630">
        <v>11310</v>
      </c>
      <c r="K630">
        <v>458</v>
      </c>
      <c r="L630">
        <v>24.69</v>
      </c>
      <c r="M630">
        <v>110383.15</v>
      </c>
      <c r="N630">
        <v>9.76</v>
      </c>
    </row>
    <row r="631" spans="1:14" x14ac:dyDescent="0.25">
      <c r="A631" s="1">
        <v>45609</v>
      </c>
      <c r="B631" t="s">
        <v>18</v>
      </c>
      <c r="C631" t="s">
        <v>24</v>
      </c>
      <c r="D631" t="s">
        <v>25</v>
      </c>
      <c r="E631" t="s">
        <v>26</v>
      </c>
      <c r="F631">
        <v>113886</v>
      </c>
      <c r="G631">
        <v>4965</v>
      </c>
      <c r="H631">
        <v>4.36E-2</v>
      </c>
      <c r="I631">
        <v>1.34</v>
      </c>
      <c r="J631">
        <v>6653.1</v>
      </c>
      <c r="K631">
        <v>141</v>
      </c>
      <c r="L631">
        <v>47.19</v>
      </c>
      <c r="M631">
        <v>24007.439999999999</v>
      </c>
      <c r="N631">
        <v>3.61</v>
      </c>
    </row>
    <row r="632" spans="1:14" x14ac:dyDescent="0.25">
      <c r="A632" s="1">
        <v>45380</v>
      </c>
      <c r="B632" t="s">
        <v>28</v>
      </c>
      <c r="C632" t="s">
        <v>29</v>
      </c>
      <c r="D632" t="s">
        <v>22</v>
      </c>
      <c r="E632" t="s">
        <v>23</v>
      </c>
      <c r="F632">
        <v>113668</v>
      </c>
      <c r="G632">
        <v>2864</v>
      </c>
      <c r="H632">
        <v>2.52E-2</v>
      </c>
      <c r="I632">
        <v>1.57</v>
      </c>
      <c r="J632">
        <v>4496.4799999999996</v>
      </c>
      <c r="K632">
        <v>81</v>
      </c>
      <c r="L632">
        <v>55.51</v>
      </c>
      <c r="M632">
        <v>6109.21</v>
      </c>
      <c r="N632">
        <v>1.36</v>
      </c>
    </row>
    <row r="633" spans="1:14" x14ac:dyDescent="0.25">
      <c r="A633" s="1">
        <v>45464</v>
      </c>
      <c r="B633" t="s">
        <v>28</v>
      </c>
      <c r="C633" t="s">
        <v>24</v>
      </c>
      <c r="D633" t="s">
        <v>22</v>
      </c>
      <c r="E633" t="s">
        <v>32</v>
      </c>
      <c r="F633">
        <v>76880</v>
      </c>
      <c r="G633">
        <v>1798</v>
      </c>
      <c r="H633">
        <v>2.3400000000000001E-2</v>
      </c>
      <c r="I633">
        <v>1.18</v>
      </c>
      <c r="J633">
        <v>2121.64</v>
      </c>
      <c r="K633">
        <v>91</v>
      </c>
      <c r="L633">
        <v>23.31</v>
      </c>
      <c r="M633">
        <v>8926.11</v>
      </c>
      <c r="N633">
        <v>4.21</v>
      </c>
    </row>
    <row r="634" spans="1:14" x14ac:dyDescent="0.25">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row>
    <row r="635" spans="1:14" x14ac:dyDescent="0.25">
      <c r="A635" s="1">
        <v>45606</v>
      </c>
      <c r="B635" t="s">
        <v>14</v>
      </c>
      <c r="C635" t="s">
        <v>15</v>
      </c>
      <c r="D635" t="s">
        <v>30</v>
      </c>
      <c r="E635" t="s">
        <v>26</v>
      </c>
      <c r="F635">
        <v>34764</v>
      </c>
      <c r="G635">
        <v>1251</v>
      </c>
      <c r="H635">
        <v>3.5999999999999997E-2</v>
      </c>
      <c r="I635">
        <v>0.83</v>
      </c>
      <c r="J635">
        <v>1038.33</v>
      </c>
      <c r="K635">
        <v>83</v>
      </c>
      <c r="L635">
        <v>12.51</v>
      </c>
      <c r="M635">
        <v>3361.16</v>
      </c>
      <c r="N635">
        <v>3.24</v>
      </c>
    </row>
    <row r="636" spans="1:14" x14ac:dyDescent="0.25">
      <c r="A636" s="1">
        <v>45378</v>
      </c>
      <c r="B636" t="s">
        <v>28</v>
      </c>
      <c r="C636" t="s">
        <v>21</v>
      </c>
      <c r="D636" t="s">
        <v>16</v>
      </c>
      <c r="E636" t="s">
        <v>27</v>
      </c>
      <c r="F636">
        <v>61387</v>
      </c>
      <c r="G636">
        <v>1608</v>
      </c>
      <c r="H636">
        <v>2.6200000000000001E-2</v>
      </c>
      <c r="I636">
        <v>2.09</v>
      </c>
      <c r="J636">
        <v>3360.72</v>
      </c>
      <c r="K636">
        <v>96</v>
      </c>
      <c r="L636">
        <v>35.01</v>
      </c>
      <c r="M636">
        <v>12312.27</v>
      </c>
      <c r="N636">
        <v>3.66</v>
      </c>
    </row>
    <row r="637" spans="1:14" x14ac:dyDescent="0.25">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row>
    <row r="638" spans="1:14" x14ac:dyDescent="0.25">
      <c r="A638" s="1">
        <v>45325</v>
      </c>
      <c r="B638" t="s">
        <v>28</v>
      </c>
      <c r="C638" t="s">
        <v>24</v>
      </c>
      <c r="D638" t="s">
        <v>19</v>
      </c>
      <c r="E638" t="s">
        <v>20</v>
      </c>
      <c r="F638">
        <v>48271</v>
      </c>
      <c r="G638">
        <v>1182</v>
      </c>
      <c r="H638">
        <v>2.4500000000000001E-2</v>
      </c>
      <c r="I638">
        <v>1.94</v>
      </c>
      <c r="J638">
        <v>2293.08</v>
      </c>
      <c r="K638">
        <v>30</v>
      </c>
      <c r="L638">
        <v>76.44</v>
      </c>
      <c r="M638">
        <v>2529.5</v>
      </c>
      <c r="N638">
        <v>1.1000000000000001</v>
      </c>
    </row>
    <row r="639" spans="1:14" x14ac:dyDescent="0.25">
      <c r="A639" s="1">
        <v>45617</v>
      </c>
      <c r="B639" t="s">
        <v>18</v>
      </c>
      <c r="C639" t="s">
        <v>15</v>
      </c>
      <c r="D639" t="s">
        <v>19</v>
      </c>
      <c r="E639" t="s">
        <v>32</v>
      </c>
      <c r="F639">
        <v>181833</v>
      </c>
      <c r="G639">
        <v>10018</v>
      </c>
      <c r="H639">
        <v>5.5100000000000003E-2</v>
      </c>
      <c r="I639">
        <v>0.48</v>
      </c>
      <c r="J639">
        <v>4808.6400000000003</v>
      </c>
      <c r="K639">
        <v>686</v>
      </c>
      <c r="L639">
        <v>7.01</v>
      </c>
      <c r="M639">
        <v>153650.81</v>
      </c>
      <c r="N639">
        <v>31.95</v>
      </c>
    </row>
    <row r="640" spans="1:14" x14ac:dyDescent="0.25">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row>
    <row r="641" spans="1:14" x14ac:dyDescent="0.25">
      <c r="A641" s="1">
        <v>45407</v>
      </c>
      <c r="B641" t="s">
        <v>14</v>
      </c>
      <c r="C641" t="s">
        <v>15</v>
      </c>
      <c r="D641" t="s">
        <v>25</v>
      </c>
      <c r="E641" t="s">
        <v>32</v>
      </c>
      <c r="F641">
        <v>32898</v>
      </c>
      <c r="G641">
        <v>1743</v>
      </c>
      <c r="H641">
        <v>5.2999999999999999E-2</v>
      </c>
      <c r="I641">
        <v>1.17</v>
      </c>
      <c r="J641">
        <v>2039.31</v>
      </c>
      <c r="K641">
        <v>130</v>
      </c>
      <c r="L641">
        <v>15.69</v>
      </c>
      <c r="M641">
        <v>31968.71</v>
      </c>
      <c r="N641">
        <v>15.68</v>
      </c>
    </row>
    <row r="642" spans="1:14" x14ac:dyDescent="0.25">
      <c r="A642" s="1">
        <v>45538</v>
      </c>
      <c r="B642" t="s">
        <v>28</v>
      </c>
      <c r="C642" t="s">
        <v>15</v>
      </c>
      <c r="D642" t="s">
        <v>22</v>
      </c>
      <c r="E642" t="s">
        <v>26</v>
      </c>
      <c r="F642">
        <v>36153</v>
      </c>
      <c r="G642">
        <v>882</v>
      </c>
      <c r="H642">
        <v>2.4400000000000002E-2</v>
      </c>
      <c r="I642">
        <v>1.68</v>
      </c>
      <c r="J642">
        <v>1481.76</v>
      </c>
      <c r="K642">
        <v>62</v>
      </c>
      <c r="L642">
        <v>23.9</v>
      </c>
      <c r="M642">
        <v>16744.05</v>
      </c>
      <c r="N642">
        <v>11.3</v>
      </c>
    </row>
    <row r="643" spans="1:14" x14ac:dyDescent="0.25">
      <c r="A643" s="1">
        <v>45457</v>
      </c>
      <c r="B643" t="s">
        <v>28</v>
      </c>
      <c r="C643" t="s">
        <v>15</v>
      </c>
      <c r="D643" t="s">
        <v>22</v>
      </c>
      <c r="E643" t="s">
        <v>23</v>
      </c>
      <c r="F643">
        <v>140372</v>
      </c>
      <c r="G643">
        <v>4548</v>
      </c>
      <c r="H643">
        <v>3.2399999999999998E-2</v>
      </c>
      <c r="I643">
        <v>1.44</v>
      </c>
      <c r="J643">
        <v>6549.12</v>
      </c>
      <c r="K643">
        <v>125</v>
      </c>
      <c r="L643">
        <v>52.39</v>
      </c>
      <c r="M643">
        <v>23552.19</v>
      </c>
      <c r="N643">
        <v>3.6</v>
      </c>
    </row>
    <row r="644" spans="1:14" x14ac:dyDescent="0.25">
      <c r="A644" s="1">
        <v>45318</v>
      </c>
      <c r="B644" t="s">
        <v>18</v>
      </c>
      <c r="C644" t="s">
        <v>21</v>
      </c>
      <c r="D644" t="s">
        <v>25</v>
      </c>
      <c r="E644" t="s">
        <v>17</v>
      </c>
      <c r="F644">
        <v>196889</v>
      </c>
      <c r="G644">
        <v>9568</v>
      </c>
      <c r="H644">
        <v>4.8599999999999997E-2</v>
      </c>
      <c r="I644">
        <v>0.93</v>
      </c>
      <c r="J644">
        <v>8898.24</v>
      </c>
      <c r="K644">
        <v>137</v>
      </c>
      <c r="L644">
        <v>64.95</v>
      </c>
      <c r="M644">
        <v>34964.660000000003</v>
      </c>
      <c r="N644">
        <v>3.93</v>
      </c>
    </row>
    <row r="645" spans="1:14" x14ac:dyDescent="0.25">
      <c r="A645" s="1">
        <v>45333</v>
      </c>
      <c r="B645" t="s">
        <v>18</v>
      </c>
      <c r="C645" t="s">
        <v>29</v>
      </c>
      <c r="D645" t="s">
        <v>19</v>
      </c>
      <c r="E645" t="s">
        <v>20</v>
      </c>
      <c r="F645">
        <v>77467</v>
      </c>
      <c r="G645">
        <v>3300</v>
      </c>
      <c r="H645">
        <v>4.2599999999999999E-2</v>
      </c>
      <c r="I645">
        <v>1.01</v>
      </c>
      <c r="J645">
        <v>3333</v>
      </c>
      <c r="K645">
        <v>180</v>
      </c>
      <c r="L645">
        <v>18.52</v>
      </c>
      <c r="M645">
        <v>42781.66</v>
      </c>
      <c r="N645">
        <v>12.84</v>
      </c>
    </row>
    <row r="646" spans="1:14" x14ac:dyDescent="0.25">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row>
    <row r="647" spans="1:14" x14ac:dyDescent="0.25">
      <c r="A647" s="1">
        <v>45484</v>
      </c>
      <c r="B647" t="s">
        <v>28</v>
      </c>
      <c r="C647" t="s">
        <v>24</v>
      </c>
      <c r="D647" t="s">
        <v>22</v>
      </c>
      <c r="E647" t="s">
        <v>27</v>
      </c>
      <c r="F647">
        <v>117200</v>
      </c>
      <c r="G647">
        <v>1699</v>
      </c>
      <c r="H647">
        <v>1.4500000000000001E-2</v>
      </c>
      <c r="I647">
        <v>1.94</v>
      </c>
      <c r="J647">
        <v>3296.06</v>
      </c>
      <c r="K647">
        <v>113</v>
      </c>
      <c r="L647">
        <v>29.17</v>
      </c>
      <c r="M647">
        <v>30970.48</v>
      </c>
      <c r="N647">
        <v>9.4</v>
      </c>
    </row>
    <row r="648" spans="1:14" x14ac:dyDescent="0.25">
      <c r="A648" s="1">
        <v>45417</v>
      </c>
      <c r="B648" t="s">
        <v>14</v>
      </c>
      <c r="C648" t="s">
        <v>24</v>
      </c>
      <c r="D648" t="s">
        <v>25</v>
      </c>
      <c r="E648" t="s">
        <v>26</v>
      </c>
      <c r="F648">
        <v>134157</v>
      </c>
      <c r="G648">
        <v>3407</v>
      </c>
      <c r="H648">
        <v>2.5399999999999999E-2</v>
      </c>
      <c r="I648">
        <v>2.41</v>
      </c>
      <c r="J648">
        <v>8210.8700000000008</v>
      </c>
      <c r="K648">
        <v>147</v>
      </c>
      <c r="L648">
        <v>55.86</v>
      </c>
      <c r="M648">
        <v>41434.67</v>
      </c>
      <c r="N648">
        <v>5.05</v>
      </c>
    </row>
    <row r="649" spans="1:14" x14ac:dyDescent="0.25">
      <c r="A649" s="1">
        <v>45377</v>
      </c>
      <c r="B649" t="s">
        <v>14</v>
      </c>
      <c r="C649" t="s">
        <v>29</v>
      </c>
      <c r="D649" t="s">
        <v>16</v>
      </c>
      <c r="E649" t="s">
        <v>31</v>
      </c>
      <c r="F649">
        <v>161434</v>
      </c>
      <c r="G649">
        <v>6328</v>
      </c>
      <c r="H649">
        <v>3.9199999999999999E-2</v>
      </c>
      <c r="I649">
        <v>0.77</v>
      </c>
      <c r="J649">
        <v>4872.5600000000004</v>
      </c>
      <c r="K649">
        <v>263</v>
      </c>
      <c r="L649">
        <v>18.53</v>
      </c>
      <c r="M649">
        <v>25426.86</v>
      </c>
      <c r="N649">
        <v>5.22</v>
      </c>
    </row>
    <row r="650" spans="1:14" x14ac:dyDescent="0.25">
      <c r="A650" s="1">
        <v>45487</v>
      </c>
      <c r="B650" t="s">
        <v>18</v>
      </c>
      <c r="C650" t="s">
        <v>24</v>
      </c>
      <c r="D650" t="s">
        <v>25</v>
      </c>
      <c r="E650" t="s">
        <v>27</v>
      </c>
      <c r="F650">
        <v>62888</v>
      </c>
      <c r="G650">
        <v>3307</v>
      </c>
      <c r="H650">
        <v>5.2600000000000001E-2</v>
      </c>
      <c r="I650">
        <v>0.61</v>
      </c>
      <c r="J650">
        <v>2017.27</v>
      </c>
      <c r="K650">
        <v>55</v>
      </c>
      <c r="L650">
        <v>36.68</v>
      </c>
      <c r="M650">
        <v>12898.32</v>
      </c>
      <c r="N650">
        <v>6.39</v>
      </c>
    </row>
    <row r="651" spans="1:14" x14ac:dyDescent="0.25">
      <c r="A651" s="1">
        <v>45425</v>
      </c>
      <c r="B651" t="s">
        <v>14</v>
      </c>
      <c r="C651" t="s">
        <v>21</v>
      </c>
      <c r="D651" t="s">
        <v>25</v>
      </c>
      <c r="E651" t="s">
        <v>27</v>
      </c>
      <c r="F651">
        <v>108187</v>
      </c>
      <c r="G651">
        <v>2423</v>
      </c>
      <c r="H651">
        <v>2.24E-2</v>
      </c>
      <c r="I651">
        <v>2.67</v>
      </c>
      <c r="J651">
        <v>6469.41</v>
      </c>
      <c r="K651">
        <v>179</v>
      </c>
      <c r="L651">
        <v>36.14</v>
      </c>
      <c r="M651">
        <v>29012.87</v>
      </c>
      <c r="N651">
        <v>4.4800000000000004</v>
      </c>
    </row>
    <row r="652" spans="1:14" x14ac:dyDescent="0.25">
      <c r="A652" s="1">
        <v>45523</v>
      </c>
      <c r="B652" t="s">
        <v>28</v>
      </c>
      <c r="C652" t="s">
        <v>15</v>
      </c>
      <c r="D652" t="s">
        <v>30</v>
      </c>
      <c r="E652" t="s">
        <v>27</v>
      </c>
      <c r="F652">
        <v>199363</v>
      </c>
      <c r="G652">
        <v>3847</v>
      </c>
      <c r="H652">
        <v>1.9300000000000001E-2</v>
      </c>
      <c r="I652">
        <v>0.9</v>
      </c>
      <c r="J652">
        <v>3462.3</v>
      </c>
      <c r="K652">
        <v>73</v>
      </c>
      <c r="L652">
        <v>47.43</v>
      </c>
      <c r="M652">
        <v>11133.49</v>
      </c>
      <c r="N652">
        <v>3.22</v>
      </c>
    </row>
    <row r="653" spans="1:14" x14ac:dyDescent="0.25">
      <c r="A653" s="1">
        <v>45411</v>
      </c>
      <c r="B653" t="s">
        <v>28</v>
      </c>
      <c r="C653" t="s">
        <v>21</v>
      </c>
      <c r="D653" t="s">
        <v>25</v>
      </c>
      <c r="E653" t="s">
        <v>32</v>
      </c>
      <c r="F653">
        <v>59160</v>
      </c>
      <c r="G653">
        <v>958</v>
      </c>
      <c r="H653">
        <v>1.6199999999999999E-2</v>
      </c>
      <c r="I653">
        <v>1</v>
      </c>
      <c r="J653">
        <v>958</v>
      </c>
      <c r="K653">
        <v>35</v>
      </c>
      <c r="L653">
        <v>27.37</v>
      </c>
      <c r="M653">
        <v>7848.99</v>
      </c>
      <c r="N653">
        <v>8.19</v>
      </c>
    </row>
    <row r="654" spans="1:14" x14ac:dyDescent="0.25">
      <c r="A654" s="1">
        <v>45617</v>
      </c>
      <c r="B654" t="s">
        <v>14</v>
      </c>
      <c r="C654" t="s">
        <v>24</v>
      </c>
      <c r="D654" t="s">
        <v>30</v>
      </c>
      <c r="E654" t="s">
        <v>32</v>
      </c>
      <c r="F654">
        <v>78551</v>
      </c>
      <c r="G654">
        <v>2411</v>
      </c>
      <c r="H654">
        <v>3.0700000000000002E-2</v>
      </c>
      <c r="I654">
        <v>3.38</v>
      </c>
      <c r="J654">
        <v>8149.18</v>
      </c>
      <c r="K654">
        <v>92</v>
      </c>
      <c r="L654">
        <v>88.58</v>
      </c>
      <c r="M654">
        <v>8262.09</v>
      </c>
      <c r="N654">
        <v>1.01</v>
      </c>
    </row>
    <row r="655" spans="1:14" x14ac:dyDescent="0.25">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row>
    <row r="656" spans="1:14" x14ac:dyDescent="0.25">
      <c r="A656" s="1">
        <v>45569</v>
      </c>
      <c r="B656" t="s">
        <v>28</v>
      </c>
      <c r="C656" t="s">
        <v>24</v>
      </c>
      <c r="D656" t="s">
        <v>25</v>
      </c>
      <c r="E656" t="s">
        <v>20</v>
      </c>
      <c r="F656">
        <v>5528</v>
      </c>
      <c r="G656">
        <v>108</v>
      </c>
      <c r="H656">
        <v>1.9599999999999999E-2</v>
      </c>
      <c r="I656">
        <v>2.02</v>
      </c>
      <c r="J656">
        <v>218.16</v>
      </c>
      <c r="K656">
        <v>7</v>
      </c>
      <c r="L656">
        <v>31.17</v>
      </c>
      <c r="M656">
        <v>2000.84</v>
      </c>
      <c r="N656">
        <v>9.17</v>
      </c>
    </row>
    <row r="657" spans="1:14" x14ac:dyDescent="0.25">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row>
    <row r="658" spans="1:14" x14ac:dyDescent="0.25">
      <c r="A658" s="1">
        <v>45512</v>
      </c>
      <c r="B658" t="s">
        <v>28</v>
      </c>
      <c r="C658" t="s">
        <v>15</v>
      </c>
      <c r="D658" t="s">
        <v>30</v>
      </c>
      <c r="E658" t="s">
        <v>17</v>
      </c>
      <c r="F658">
        <v>8188</v>
      </c>
      <c r="G658">
        <v>272</v>
      </c>
      <c r="H658">
        <v>3.3300000000000003E-2</v>
      </c>
      <c r="I658">
        <v>1.1599999999999999</v>
      </c>
      <c r="J658">
        <v>315.52</v>
      </c>
      <c r="K658">
        <v>14</v>
      </c>
      <c r="L658">
        <v>22.54</v>
      </c>
      <c r="M658">
        <v>3745.84</v>
      </c>
      <c r="N658">
        <v>11.87</v>
      </c>
    </row>
    <row r="659" spans="1:14" x14ac:dyDescent="0.25">
      <c r="A659" s="1">
        <v>45509</v>
      </c>
      <c r="B659" t="s">
        <v>14</v>
      </c>
      <c r="C659" t="s">
        <v>29</v>
      </c>
      <c r="D659" t="s">
        <v>16</v>
      </c>
      <c r="E659" t="s">
        <v>27</v>
      </c>
      <c r="F659">
        <v>71151</v>
      </c>
      <c r="G659">
        <v>4368</v>
      </c>
      <c r="H659">
        <v>6.1400000000000003E-2</v>
      </c>
      <c r="I659">
        <v>3.23</v>
      </c>
      <c r="J659">
        <v>14108.64</v>
      </c>
      <c r="K659">
        <v>202</v>
      </c>
      <c r="L659">
        <v>69.84</v>
      </c>
      <c r="M659">
        <v>51341.85</v>
      </c>
      <c r="N659">
        <v>3.64</v>
      </c>
    </row>
    <row r="660" spans="1:14" x14ac:dyDescent="0.25">
      <c r="A660" s="1">
        <v>45357</v>
      </c>
      <c r="B660" t="s">
        <v>28</v>
      </c>
      <c r="C660" t="s">
        <v>24</v>
      </c>
      <c r="D660" t="s">
        <v>19</v>
      </c>
      <c r="E660" t="s">
        <v>26</v>
      </c>
      <c r="F660">
        <v>171797</v>
      </c>
      <c r="G660">
        <v>5153</v>
      </c>
      <c r="H660">
        <v>0.03</v>
      </c>
      <c r="I660">
        <v>0.54</v>
      </c>
      <c r="J660">
        <v>2782.62</v>
      </c>
      <c r="K660">
        <v>255</v>
      </c>
      <c r="L660">
        <v>10.91</v>
      </c>
      <c r="M660">
        <v>52673.17</v>
      </c>
      <c r="N660">
        <v>18.93</v>
      </c>
    </row>
    <row r="661" spans="1:14" x14ac:dyDescent="0.25">
      <c r="A661" s="1">
        <v>45340</v>
      </c>
      <c r="B661" t="s">
        <v>18</v>
      </c>
      <c r="C661" t="s">
        <v>15</v>
      </c>
      <c r="D661" t="s">
        <v>19</v>
      </c>
      <c r="E661" t="s">
        <v>32</v>
      </c>
      <c r="F661">
        <v>173050</v>
      </c>
      <c r="G661">
        <v>8565</v>
      </c>
      <c r="H661">
        <v>4.9500000000000002E-2</v>
      </c>
      <c r="I661">
        <v>0.69</v>
      </c>
      <c r="J661">
        <v>5909.85</v>
      </c>
      <c r="K661">
        <v>414</v>
      </c>
      <c r="L661">
        <v>14.28</v>
      </c>
      <c r="M661">
        <v>118511.79</v>
      </c>
      <c r="N661">
        <v>20.05</v>
      </c>
    </row>
    <row r="662" spans="1:14" x14ac:dyDescent="0.25">
      <c r="A662" s="1">
        <v>45539</v>
      </c>
      <c r="B662" t="s">
        <v>18</v>
      </c>
      <c r="C662" t="s">
        <v>21</v>
      </c>
      <c r="D662" t="s">
        <v>30</v>
      </c>
      <c r="E662" t="s">
        <v>27</v>
      </c>
      <c r="F662">
        <v>178269</v>
      </c>
      <c r="G662">
        <v>8646</v>
      </c>
      <c r="H662">
        <v>4.8500000000000001E-2</v>
      </c>
      <c r="I662">
        <v>0.63</v>
      </c>
      <c r="J662">
        <v>5446.98</v>
      </c>
      <c r="K662">
        <v>93</v>
      </c>
      <c r="L662">
        <v>58.57</v>
      </c>
      <c r="M662">
        <v>10627.54</v>
      </c>
      <c r="N662">
        <v>1.95</v>
      </c>
    </row>
    <row r="663" spans="1:14" x14ac:dyDescent="0.25">
      <c r="A663" s="1">
        <v>45647</v>
      </c>
      <c r="B663" t="s">
        <v>14</v>
      </c>
      <c r="C663" t="s">
        <v>29</v>
      </c>
      <c r="D663" t="s">
        <v>30</v>
      </c>
      <c r="E663" t="s">
        <v>17</v>
      </c>
      <c r="F663">
        <v>164028</v>
      </c>
      <c r="G663">
        <v>5905</v>
      </c>
      <c r="H663">
        <v>3.5999999999999997E-2</v>
      </c>
      <c r="I663">
        <v>1</v>
      </c>
      <c r="J663">
        <v>5905</v>
      </c>
      <c r="K663">
        <v>377</v>
      </c>
      <c r="L663">
        <v>15.66</v>
      </c>
      <c r="M663">
        <v>25718.59</v>
      </c>
      <c r="N663">
        <v>4.3600000000000003</v>
      </c>
    </row>
    <row r="664" spans="1:14" x14ac:dyDescent="0.25">
      <c r="A664" s="1">
        <v>45323</v>
      </c>
      <c r="B664" t="s">
        <v>18</v>
      </c>
      <c r="C664" t="s">
        <v>21</v>
      </c>
      <c r="D664" t="s">
        <v>22</v>
      </c>
      <c r="E664" t="s">
        <v>32</v>
      </c>
      <c r="F664">
        <v>184504</v>
      </c>
      <c r="G664">
        <v>15479</v>
      </c>
      <c r="H664">
        <v>8.3900000000000002E-2</v>
      </c>
      <c r="I664">
        <v>0.8</v>
      </c>
      <c r="J664">
        <v>12383.2</v>
      </c>
      <c r="K664">
        <v>538</v>
      </c>
      <c r="L664">
        <v>23.02</v>
      </c>
      <c r="M664">
        <v>112251.74</v>
      </c>
      <c r="N664">
        <v>9.06</v>
      </c>
    </row>
    <row r="665" spans="1:14" x14ac:dyDescent="0.25">
      <c r="A665" s="1">
        <v>45584</v>
      </c>
      <c r="B665" t="s">
        <v>18</v>
      </c>
      <c r="C665" t="s">
        <v>24</v>
      </c>
      <c r="D665" t="s">
        <v>22</v>
      </c>
      <c r="E665" t="s">
        <v>31</v>
      </c>
      <c r="F665">
        <v>119515</v>
      </c>
      <c r="G665">
        <v>6824</v>
      </c>
      <c r="H665">
        <v>5.7099999999999998E-2</v>
      </c>
      <c r="I665">
        <v>0.86</v>
      </c>
      <c r="J665">
        <v>5868.64</v>
      </c>
      <c r="K665">
        <v>89</v>
      </c>
      <c r="L665">
        <v>65.94</v>
      </c>
      <c r="M665">
        <v>25992.880000000001</v>
      </c>
      <c r="N665">
        <v>4.43</v>
      </c>
    </row>
    <row r="666" spans="1:14" x14ac:dyDescent="0.25">
      <c r="A666" s="1">
        <v>45583</v>
      </c>
      <c r="B666" t="s">
        <v>28</v>
      </c>
      <c r="C666" t="s">
        <v>15</v>
      </c>
      <c r="D666" t="s">
        <v>19</v>
      </c>
      <c r="E666" t="s">
        <v>23</v>
      </c>
      <c r="F666">
        <v>108591</v>
      </c>
      <c r="G666">
        <v>2084</v>
      </c>
      <c r="H666">
        <v>1.9199999999999998E-2</v>
      </c>
      <c r="I666">
        <v>2.16</v>
      </c>
      <c r="J666">
        <v>4501.4399999999996</v>
      </c>
      <c r="K666">
        <v>31</v>
      </c>
      <c r="L666">
        <v>145.21</v>
      </c>
      <c r="M666">
        <v>6469.19</v>
      </c>
      <c r="N666">
        <v>1.44</v>
      </c>
    </row>
    <row r="667" spans="1:14" x14ac:dyDescent="0.25">
      <c r="A667" s="1">
        <v>45423</v>
      </c>
      <c r="B667" t="s">
        <v>28</v>
      </c>
      <c r="C667" t="s">
        <v>24</v>
      </c>
      <c r="D667" t="s">
        <v>19</v>
      </c>
      <c r="E667" t="s">
        <v>20</v>
      </c>
      <c r="F667">
        <v>68472</v>
      </c>
      <c r="G667">
        <v>2601</v>
      </c>
      <c r="H667">
        <v>3.7999999999999999E-2</v>
      </c>
      <c r="I667">
        <v>1.38</v>
      </c>
      <c r="J667">
        <v>3589.38</v>
      </c>
      <c r="K667">
        <v>63</v>
      </c>
      <c r="L667">
        <v>56.97</v>
      </c>
      <c r="M667">
        <v>17508.47</v>
      </c>
      <c r="N667">
        <v>4.88</v>
      </c>
    </row>
    <row r="668" spans="1:14" x14ac:dyDescent="0.25">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row>
    <row r="669" spans="1:14" x14ac:dyDescent="0.25">
      <c r="A669" s="1">
        <v>45360</v>
      </c>
      <c r="B669" t="s">
        <v>14</v>
      </c>
      <c r="C669" t="s">
        <v>21</v>
      </c>
      <c r="D669" t="s">
        <v>19</v>
      </c>
      <c r="E669" t="s">
        <v>32</v>
      </c>
      <c r="F669">
        <v>92340</v>
      </c>
      <c r="G669">
        <v>2502</v>
      </c>
      <c r="H669">
        <v>2.7099999999999999E-2</v>
      </c>
      <c r="I669">
        <v>1.96</v>
      </c>
      <c r="J669">
        <v>4903.92</v>
      </c>
      <c r="K669">
        <v>153</v>
      </c>
      <c r="L669">
        <v>32.049999999999997</v>
      </c>
      <c r="M669">
        <v>27593.24</v>
      </c>
      <c r="N669">
        <v>5.63</v>
      </c>
    </row>
    <row r="670" spans="1:14" x14ac:dyDescent="0.25">
      <c r="A670" s="1">
        <v>45393</v>
      </c>
      <c r="B670" t="s">
        <v>18</v>
      </c>
      <c r="C670" t="s">
        <v>15</v>
      </c>
      <c r="D670" t="s">
        <v>25</v>
      </c>
      <c r="E670" t="s">
        <v>23</v>
      </c>
      <c r="F670">
        <v>136940</v>
      </c>
      <c r="G670">
        <v>4683</v>
      </c>
      <c r="H670">
        <v>3.4200000000000001E-2</v>
      </c>
      <c r="I670">
        <v>0.69</v>
      </c>
      <c r="J670">
        <v>3231.27</v>
      </c>
      <c r="K670">
        <v>137</v>
      </c>
      <c r="L670">
        <v>23.59</v>
      </c>
      <c r="M670">
        <v>12153.39</v>
      </c>
      <c r="N670">
        <v>3.76</v>
      </c>
    </row>
    <row r="671" spans="1:14" x14ac:dyDescent="0.25">
      <c r="A671" s="1">
        <v>45650</v>
      </c>
      <c r="B671" t="s">
        <v>14</v>
      </c>
      <c r="C671" t="s">
        <v>15</v>
      </c>
      <c r="D671" t="s">
        <v>19</v>
      </c>
      <c r="E671" t="s">
        <v>32</v>
      </c>
      <c r="F671">
        <v>106311</v>
      </c>
      <c r="G671">
        <v>5762</v>
      </c>
      <c r="H671">
        <v>5.4199999999999998E-2</v>
      </c>
      <c r="I671">
        <v>0.92</v>
      </c>
      <c r="J671">
        <v>5301.04</v>
      </c>
      <c r="K671">
        <v>434</v>
      </c>
      <c r="L671">
        <v>12.21</v>
      </c>
      <c r="M671">
        <v>55571.88</v>
      </c>
      <c r="N671">
        <v>10.48</v>
      </c>
    </row>
    <row r="672" spans="1:14" x14ac:dyDescent="0.25">
      <c r="A672" s="1">
        <v>45366</v>
      </c>
      <c r="B672" t="s">
        <v>18</v>
      </c>
      <c r="C672" t="s">
        <v>24</v>
      </c>
      <c r="D672" t="s">
        <v>30</v>
      </c>
      <c r="E672" t="s">
        <v>27</v>
      </c>
      <c r="F672">
        <v>120016</v>
      </c>
      <c r="G672">
        <v>3336</v>
      </c>
      <c r="H672">
        <v>2.7799999999999998E-2</v>
      </c>
      <c r="I672">
        <v>1.33</v>
      </c>
      <c r="J672">
        <v>4436.88</v>
      </c>
      <c r="K672">
        <v>43</v>
      </c>
      <c r="L672">
        <v>103.18</v>
      </c>
      <c r="M672">
        <v>5864.19</v>
      </c>
      <c r="N672">
        <v>1.32</v>
      </c>
    </row>
    <row r="673" spans="1:14" x14ac:dyDescent="0.25">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row>
    <row r="674" spans="1:14" x14ac:dyDescent="0.25">
      <c r="A674" s="1">
        <v>45559</v>
      </c>
      <c r="B674" t="s">
        <v>18</v>
      </c>
      <c r="C674" t="s">
        <v>24</v>
      </c>
      <c r="D674" t="s">
        <v>30</v>
      </c>
      <c r="E674" t="s">
        <v>32</v>
      </c>
      <c r="F674">
        <v>138780</v>
      </c>
      <c r="G674">
        <v>4135</v>
      </c>
      <c r="H674">
        <v>2.98E-2</v>
      </c>
      <c r="I674">
        <v>0.85</v>
      </c>
      <c r="J674">
        <v>3514.75</v>
      </c>
      <c r="K674">
        <v>86</v>
      </c>
      <c r="L674">
        <v>40.869999999999997</v>
      </c>
      <c r="M674">
        <v>7373.66</v>
      </c>
      <c r="N674">
        <v>2.1</v>
      </c>
    </row>
    <row r="675" spans="1:14" x14ac:dyDescent="0.25">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row>
    <row r="676" spans="1:14" x14ac:dyDescent="0.25">
      <c r="A676" s="1">
        <v>45357</v>
      </c>
      <c r="B676" t="s">
        <v>14</v>
      </c>
      <c r="C676" t="s">
        <v>24</v>
      </c>
      <c r="D676" t="s">
        <v>22</v>
      </c>
      <c r="E676" t="s">
        <v>20</v>
      </c>
      <c r="F676">
        <v>185903</v>
      </c>
      <c r="G676">
        <v>4647</v>
      </c>
      <c r="H676">
        <v>2.5000000000000001E-2</v>
      </c>
      <c r="I676">
        <v>2.96</v>
      </c>
      <c r="J676">
        <v>13755.12</v>
      </c>
      <c r="K676">
        <v>342</v>
      </c>
      <c r="L676">
        <v>40.22</v>
      </c>
      <c r="M676">
        <v>58276.63</v>
      </c>
      <c r="N676">
        <v>4.24</v>
      </c>
    </row>
    <row r="677" spans="1:14" x14ac:dyDescent="0.25">
      <c r="A677" s="1">
        <v>45352</v>
      </c>
      <c r="B677" t="s">
        <v>18</v>
      </c>
      <c r="C677" t="s">
        <v>29</v>
      </c>
      <c r="D677" t="s">
        <v>25</v>
      </c>
      <c r="E677" t="s">
        <v>32</v>
      </c>
      <c r="F677">
        <v>61232</v>
      </c>
      <c r="G677">
        <v>2951</v>
      </c>
      <c r="H677">
        <v>4.82E-2</v>
      </c>
      <c r="I677">
        <v>0.75</v>
      </c>
      <c r="J677">
        <v>2213.25</v>
      </c>
      <c r="K677">
        <v>51</v>
      </c>
      <c r="L677">
        <v>43.4</v>
      </c>
      <c r="M677">
        <v>15061.62</v>
      </c>
      <c r="N677">
        <v>6.81</v>
      </c>
    </row>
    <row r="678" spans="1:14" x14ac:dyDescent="0.25">
      <c r="A678" s="1">
        <v>45571</v>
      </c>
      <c r="B678" t="s">
        <v>18</v>
      </c>
      <c r="C678" t="s">
        <v>29</v>
      </c>
      <c r="D678" t="s">
        <v>25</v>
      </c>
      <c r="E678" t="s">
        <v>23</v>
      </c>
      <c r="F678">
        <v>122286</v>
      </c>
      <c r="G678">
        <v>7642</v>
      </c>
      <c r="H678">
        <v>6.25E-2</v>
      </c>
      <c r="I678">
        <v>1.47</v>
      </c>
      <c r="J678">
        <v>11233.74</v>
      </c>
      <c r="K678">
        <v>201</v>
      </c>
      <c r="L678">
        <v>55.89</v>
      </c>
      <c r="M678">
        <v>60002.91</v>
      </c>
      <c r="N678">
        <v>5.34</v>
      </c>
    </row>
    <row r="679" spans="1:14" x14ac:dyDescent="0.25">
      <c r="A679" s="1">
        <v>45357</v>
      </c>
      <c r="B679" t="s">
        <v>18</v>
      </c>
      <c r="C679" t="s">
        <v>24</v>
      </c>
      <c r="D679" t="s">
        <v>22</v>
      </c>
      <c r="E679" t="s">
        <v>20</v>
      </c>
      <c r="F679">
        <v>60114</v>
      </c>
      <c r="G679">
        <v>4917</v>
      </c>
      <c r="H679">
        <v>8.1799999999999998E-2</v>
      </c>
      <c r="I679">
        <v>1.35</v>
      </c>
      <c r="J679">
        <v>6637.95</v>
      </c>
      <c r="K679">
        <v>279</v>
      </c>
      <c r="L679">
        <v>23.79</v>
      </c>
      <c r="M679">
        <v>15410.94</v>
      </c>
      <c r="N679">
        <v>2.3199999999999998</v>
      </c>
    </row>
    <row r="680" spans="1:14" x14ac:dyDescent="0.25">
      <c r="A680" s="1">
        <v>45326</v>
      </c>
      <c r="B680" t="s">
        <v>28</v>
      </c>
      <c r="C680" t="s">
        <v>29</v>
      </c>
      <c r="D680" t="s">
        <v>22</v>
      </c>
      <c r="E680" t="s">
        <v>32</v>
      </c>
      <c r="F680">
        <v>124004</v>
      </c>
      <c r="G680">
        <v>2083</v>
      </c>
      <c r="H680">
        <v>1.6799999999999999E-2</v>
      </c>
      <c r="I680">
        <v>1.51</v>
      </c>
      <c r="J680">
        <v>3145.33</v>
      </c>
      <c r="K680">
        <v>49</v>
      </c>
      <c r="L680">
        <v>64.19</v>
      </c>
      <c r="M680">
        <v>9959.3700000000008</v>
      </c>
      <c r="N680">
        <v>3.17</v>
      </c>
    </row>
    <row r="681" spans="1:14" x14ac:dyDescent="0.25">
      <c r="A681" s="1">
        <v>45327</v>
      </c>
      <c r="B681" t="s">
        <v>18</v>
      </c>
      <c r="C681" t="s">
        <v>15</v>
      </c>
      <c r="D681" t="s">
        <v>30</v>
      </c>
      <c r="E681" t="s">
        <v>20</v>
      </c>
      <c r="F681">
        <v>168322</v>
      </c>
      <c r="G681">
        <v>4965</v>
      </c>
      <c r="H681">
        <v>2.9499999999999998E-2</v>
      </c>
      <c r="I681">
        <v>0.91</v>
      </c>
      <c r="J681">
        <v>4518.1499999999996</v>
      </c>
      <c r="K681">
        <v>228</v>
      </c>
      <c r="L681">
        <v>19.82</v>
      </c>
      <c r="M681">
        <v>49052.14</v>
      </c>
      <c r="N681">
        <v>10.86</v>
      </c>
    </row>
    <row r="682" spans="1:14" x14ac:dyDescent="0.25">
      <c r="A682" s="1">
        <v>45421</v>
      </c>
      <c r="B682" t="s">
        <v>28</v>
      </c>
      <c r="C682" t="s">
        <v>29</v>
      </c>
      <c r="D682" t="s">
        <v>22</v>
      </c>
      <c r="E682" t="s">
        <v>26</v>
      </c>
      <c r="F682">
        <v>113957</v>
      </c>
      <c r="G682">
        <v>3008</v>
      </c>
      <c r="H682">
        <v>2.64E-2</v>
      </c>
      <c r="I682">
        <v>2.33</v>
      </c>
      <c r="J682">
        <v>7008.64</v>
      </c>
      <c r="K682">
        <v>127</v>
      </c>
      <c r="L682">
        <v>55.19</v>
      </c>
      <c r="M682">
        <v>17960.45</v>
      </c>
      <c r="N682">
        <v>2.56</v>
      </c>
    </row>
    <row r="683" spans="1:14" x14ac:dyDescent="0.25">
      <c r="A683" s="1">
        <v>45326</v>
      </c>
      <c r="B683" t="s">
        <v>14</v>
      </c>
      <c r="C683" t="s">
        <v>15</v>
      </c>
      <c r="D683" t="s">
        <v>25</v>
      </c>
      <c r="E683" t="s">
        <v>23</v>
      </c>
      <c r="F683">
        <v>137290</v>
      </c>
      <c r="G683">
        <v>5011</v>
      </c>
      <c r="H683">
        <v>3.6499999999999998E-2</v>
      </c>
      <c r="I683">
        <v>1.56</v>
      </c>
      <c r="J683">
        <v>7817.16</v>
      </c>
      <c r="K683">
        <v>323</v>
      </c>
      <c r="L683">
        <v>24.2</v>
      </c>
      <c r="M683">
        <v>28440.57</v>
      </c>
      <c r="N683">
        <v>3.64</v>
      </c>
    </row>
    <row r="684" spans="1:14" x14ac:dyDescent="0.25">
      <c r="A684" s="1">
        <v>45433</v>
      </c>
      <c r="B684" t="s">
        <v>28</v>
      </c>
      <c r="C684" t="s">
        <v>21</v>
      </c>
      <c r="D684" t="s">
        <v>16</v>
      </c>
      <c r="E684" t="s">
        <v>17</v>
      </c>
      <c r="F684">
        <v>12253</v>
      </c>
      <c r="G684">
        <v>468</v>
      </c>
      <c r="H684">
        <v>3.8199999999999998E-2</v>
      </c>
      <c r="I684">
        <v>0.77</v>
      </c>
      <c r="J684">
        <v>360.36</v>
      </c>
      <c r="K684">
        <v>9</v>
      </c>
      <c r="L684">
        <v>40.04</v>
      </c>
      <c r="M684">
        <v>1433.96</v>
      </c>
      <c r="N684">
        <v>3.98</v>
      </c>
    </row>
    <row r="685" spans="1:14" x14ac:dyDescent="0.25">
      <c r="A685" s="1">
        <v>45647</v>
      </c>
      <c r="B685" t="s">
        <v>14</v>
      </c>
      <c r="C685" t="s">
        <v>21</v>
      </c>
      <c r="D685" t="s">
        <v>19</v>
      </c>
      <c r="E685" t="s">
        <v>32</v>
      </c>
      <c r="F685">
        <v>109216</v>
      </c>
      <c r="G685">
        <v>5777</v>
      </c>
      <c r="H685">
        <v>5.2900000000000003E-2</v>
      </c>
      <c r="I685">
        <v>3.06</v>
      </c>
      <c r="J685">
        <v>17677.62</v>
      </c>
      <c r="K685">
        <v>140</v>
      </c>
      <c r="L685">
        <v>126.27</v>
      </c>
      <c r="M685">
        <v>11237.04</v>
      </c>
      <c r="N685">
        <v>0.64</v>
      </c>
    </row>
    <row r="686" spans="1:14" x14ac:dyDescent="0.25">
      <c r="A686" s="1">
        <v>45354</v>
      </c>
      <c r="B686" t="s">
        <v>14</v>
      </c>
      <c r="C686" t="s">
        <v>24</v>
      </c>
      <c r="D686" t="s">
        <v>16</v>
      </c>
      <c r="E686" t="s">
        <v>27</v>
      </c>
      <c r="F686">
        <v>166215</v>
      </c>
      <c r="G686">
        <v>9158</v>
      </c>
      <c r="H686">
        <v>5.5100000000000003E-2</v>
      </c>
      <c r="I686">
        <v>0.72</v>
      </c>
      <c r="J686">
        <v>6593.76</v>
      </c>
      <c r="K686">
        <v>112</v>
      </c>
      <c r="L686">
        <v>58.87</v>
      </c>
      <c r="M686">
        <v>29121.09</v>
      </c>
      <c r="N686">
        <v>4.42</v>
      </c>
    </row>
    <row r="687" spans="1:14" x14ac:dyDescent="0.25">
      <c r="A687" s="1">
        <v>45625</v>
      </c>
      <c r="B687" t="s">
        <v>28</v>
      </c>
      <c r="C687" t="s">
        <v>24</v>
      </c>
      <c r="D687" t="s">
        <v>25</v>
      </c>
      <c r="E687" t="s">
        <v>31</v>
      </c>
      <c r="F687">
        <v>140678</v>
      </c>
      <c r="G687">
        <v>5655</v>
      </c>
      <c r="H687">
        <v>4.02E-2</v>
      </c>
      <c r="I687">
        <v>2.0699999999999998</v>
      </c>
      <c r="J687">
        <v>11705.85</v>
      </c>
      <c r="K687">
        <v>154</v>
      </c>
      <c r="L687">
        <v>76.010000000000005</v>
      </c>
      <c r="M687">
        <v>7932.09</v>
      </c>
      <c r="N687">
        <v>0.68</v>
      </c>
    </row>
    <row r="688" spans="1:14" x14ac:dyDescent="0.25">
      <c r="A688" s="1">
        <v>45492</v>
      </c>
      <c r="B688" t="s">
        <v>14</v>
      </c>
      <c r="C688" t="s">
        <v>15</v>
      </c>
      <c r="D688" t="s">
        <v>30</v>
      </c>
      <c r="E688" t="s">
        <v>17</v>
      </c>
      <c r="F688">
        <v>176066</v>
      </c>
      <c r="G688">
        <v>5264</v>
      </c>
      <c r="H688">
        <v>2.9899999999999999E-2</v>
      </c>
      <c r="I688">
        <v>1.58</v>
      </c>
      <c r="J688">
        <v>8317.1200000000008</v>
      </c>
      <c r="K688">
        <v>119</v>
      </c>
      <c r="L688">
        <v>69.89</v>
      </c>
      <c r="M688">
        <v>28182.41</v>
      </c>
      <c r="N688">
        <v>3.39</v>
      </c>
    </row>
    <row r="689" spans="1:14" x14ac:dyDescent="0.25">
      <c r="A689" s="1">
        <v>45411</v>
      </c>
      <c r="B689" t="s">
        <v>14</v>
      </c>
      <c r="C689" t="s">
        <v>15</v>
      </c>
      <c r="D689" t="s">
        <v>22</v>
      </c>
      <c r="E689" t="s">
        <v>27</v>
      </c>
      <c r="F689">
        <v>59418</v>
      </c>
      <c r="G689">
        <v>1996</v>
      </c>
      <c r="H689">
        <v>3.3599999999999998E-2</v>
      </c>
      <c r="I689">
        <v>1.65</v>
      </c>
      <c r="J689">
        <v>3293.4</v>
      </c>
      <c r="K689">
        <v>80</v>
      </c>
      <c r="L689">
        <v>41.17</v>
      </c>
      <c r="M689">
        <v>3528.5</v>
      </c>
      <c r="N689">
        <v>1.07</v>
      </c>
    </row>
    <row r="690" spans="1:14" x14ac:dyDescent="0.25">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row>
    <row r="691" spans="1:14" x14ac:dyDescent="0.25">
      <c r="A691" s="1">
        <v>45492</v>
      </c>
      <c r="B691" t="s">
        <v>28</v>
      </c>
      <c r="C691" t="s">
        <v>24</v>
      </c>
      <c r="D691" t="s">
        <v>30</v>
      </c>
      <c r="E691" t="s">
        <v>31</v>
      </c>
      <c r="F691">
        <v>194059</v>
      </c>
      <c r="G691">
        <v>3434</v>
      </c>
      <c r="H691">
        <v>1.77E-2</v>
      </c>
      <c r="I691">
        <v>1.36</v>
      </c>
      <c r="J691">
        <v>4670.24</v>
      </c>
      <c r="K691">
        <v>193</v>
      </c>
      <c r="L691">
        <v>24.2</v>
      </c>
      <c r="M691">
        <v>7460.79</v>
      </c>
      <c r="N691">
        <v>1.6</v>
      </c>
    </row>
    <row r="692" spans="1:14" x14ac:dyDescent="0.25">
      <c r="A692" s="1">
        <v>45506</v>
      </c>
      <c r="B692" t="s">
        <v>14</v>
      </c>
      <c r="C692" t="s">
        <v>24</v>
      </c>
      <c r="D692" t="s">
        <v>25</v>
      </c>
      <c r="E692" t="s">
        <v>17</v>
      </c>
      <c r="F692">
        <v>98899</v>
      </c>
      <c r="G692">
        <v>2185</v>
      </c>
      <c r="H692">
        <v>2.2100000000000002E-2</v>
      </c>
      <c r="I692">
        <v>3.16</v>
      </c>
      <c r="J692">
        <v>6904.6</v>
      </c>
      <c r="K692">
        <v>171</v>
      </c>
      <c r="L692">
        <v>40.380000000000003</v>
      </c>
      <c r="M692">
        <v>45859.64</v>
      </c>
      <c r="N692">
        <v>6.64</v>
      </c>
    </row>
    <row r="693" spans="1:14" x14ac:dyDescent="0.25">
      <c r="A693" s="1">
        <v>45347</v>
      </c>
      <c r="B693" t="s">
        <v>28</v>
      </c>
      <c r="C693" t="s">
        <v>15</v>
      </c>
      <c r="D693" t="s">
        <v>30</v>
      </c>
      <c r="E693" t="s">
        <v>20</v>
      </c>
      <c r="F693">
        <v>129494</v>
      </c>
      <c r="G693">
        <v>1631</v>
      </c>
      <c r="H693">
        <v>1.26E-2</v>
      </c>
      <c r="I693">
        <v>2.14</v>
      </c>
      <c r="J693">
        <v>3490.34</v>
      </c>
      <c r="K693">
        <v>108</v>
      </c>
      <c r="L693">
        <v>32.32</v>
      </c>
      <c r="M693">
        <v>28288.04</v>
      </c>
      <c r="N693">
        <v>8.1</v>
      </c>
    </row>
    <row r="694" spans="1:14" x14ac:dyDescent="0.25">
      <c r="A694" s="1">
        <v>45354</v>
      </c>
      <c r="B694" t="s">
        <v>18</v>
      </c>
      <c r="C694" t="s">
        <v>24</v>
      </c>
      <c r="D694" t="s">
        <v>25</v>
      </c>
      <c r="E694" t="s">
        <v>17</v>
      </c>
      <c r="F694">
        <v>191443</v>
      </c>
      <c r="G694">
        <v>6872</v>
      </c>
      <c r="H694">
        <v>3.5900000000000001E-2</v>
      </c>
      <c r="I694">
        <v>1.67</v>
      </c>
      <c r="J694">
        <v>11476.24</v>
      </c>
      <c r="K694">
        <v>422</v>
      </c>
      <c r="L694">
        <v>27.19</v>
      </c>
      <c r="M694">
        <v>108198.8</v>
      </c>
      <c r="N694">
        <v>9.43</v>
      </c>
    </row>
    <row r="695" spans="1:14" x14ac:dyDescent="0.25">
      <c r="A695" s="1">
        <v>45656</v>
      </c>
      <c r="B695" t="s">
        <v>18</v>
      </c>
      <c r="C695" t="s">
        <v>15</v>
      </c>
      <c r="D695" t="s">
        <v>25</v>
      </c>
      <c r="E695" t="s">
        <v>32</v>
      </c>
      <c r="F695">
        <v>61950</v>
      </c>
      <c r="G695">
        <v>4076</v>
      </c>
      <c r="H695">
        <v>6.5799999999999997E-2</v>
      </c>
      <c r="I695">
        <v>0.3</v>
      </c>
      <c r="J695">
        <v>1222.8</v>
      </c>
      <c r="K695">
        <v>97</v>
      </c>
      <c r="L695">
        <v>12.61</v>
      </c>
      <c r="M695">
        <v>26763.8</v>
      </c>
      <c r="N695">
        <v>21.89</v>
      </c>
    </row>
    <row r="696" spans="1:14" x14ac:dyDescent="0.25">
      <c r="A696" s="1">
        <v>45604</v>
      </c>
      <c r="B696" t="s">
        <v>14</v>
      </c>
      <c r="C696" t="s">
        <v>24</v>
      </c>
      <c r="D696" t="s">
        <v>25</v>
      </c>
      <c r="E696" t="s">
        <v>20</v>
      </c>
      <c r="F696">
        <v>34605</v>
      </c>
      <c r="G696">
        <v>809</v>
      </c>
      <c r="H696">
        <v>2.3400000000000001E-2</v>
      </c>
      <c r="I696">
        <v>1.76</v>
      </c>
      <c r="J696">
        <v>1423.84</v>
      </c>
      <c r="K696">
        <v>40</v>
      </c>
      <c r="L696">
        <v>35.6</v>
      </c>
      <c r="M696">
        <v>5146.88</v>
      </c>
      <c r="N696">
        <v>3.61</v>
      </c>
    </row>
    <row r="697" spans="1:14" x14ac:dyDescent="0.25">
      <c r="A697" s="1">
        <v>45322</v>
      </c>
      <c r="B697" t="s">
        <v>18</v>
      </c>
      <c r="C697" t="s">
        <v>24</v>
      </c>
      <c r="D697" t="s">
        <v>16</v>
      </c>
      <c r="E697" t="s">
        <v>17</v>
      </c>
      <c r="F697">
        <v>127790</v>
      </c>
      <c r="G697">
        <v>7015</v>
      </c>
      <c r="H697">
        <v>5.4899999999999997E-2</v>
      </c>
      <c r="I697">
        <v>1.23</v>
      </c>
      <c r="J697">
        <v>8628.4500000000007</v>
      </c>
      <c r="K697">
        <v>422</v>
      </c>
      <c r="L697">
        <v>20.45</v>
      </c>
      <c r="M697">
        <v>90118.48</v>
      </c>
      <c r="N697">
        <v>10.44</v>
      </c>
    </row>
    <row r="698" spans="1:14" x14ac:dyDescent="0.25">
      <c r="A698" s="1">
        <v>45300</v>
      </c>
      <c r="B698" t="s">
        <v>18</v>
      </c>
      <c r="C698" t="s">
        <v>15</v>
      </c>
      <c r="D698" t="s">
        <v>22</v>
      </c>
      <c r="E698" t="s">
        <v>26</v>
      </c>
      <c r="F698">
        <v>96310</v>
      </c>
      <c r="G698">
        <v>6905</v>
      </c>
      <c r="H698">
        <v>7.17E-2</v>
      </c>
      <c r="I698">
        <v>1.28</v>
      </c>
      <c r="J698">
        <v>8838.4</v>
      </c>
      <c r="K698">
        <v>247</v>
      </c>
      <c r="L698">
        <v>35.78</v>
      </c>
      <c r="M698">
        <v>8632.99</v>
      </c>
      <c r="N698">
        <v>0.98</v>
      </c>
    </row>
    <row r="699" spans="1:14" x14ac:dyDescent="0.25">
      <c r="A699" s="1">
        <v>45540</v>
      </c>
      <c r="B699" t="s">
        <v>14</v>
      </c>
      <c r="C699" t="s">
        <v>24</v>
      </c>
      <c r="D699" t="s">
        <v>16</v>
      </c>
      <c r="E699" t="s">
        <v>31</v>
      </c>
      <c r="F699">
        <v>197589</v>
      </c>
      <c r="G699">
        <v>4781</v>
      </c>
      <c r="H699">
        <v>2.4199999999999999E-2</v>
      </c>
      <c r="I699">
        <v>1.6</v>
      </c>
      <c r="J699">
        <v>7649.6</v>
      </c>
      <c r="K699">
        <v>225</v>
      </c>
      <c r="L699">
        <v>34</v>
      </c>
      <c r="M699">
        <v>12329.91</v>
      </c>
      <c r="N699">
        <v>1.61</v>
      </c>
    </row>
    <row r="700" spans="1:14" x14ac:dyDescent="0.25">
      <c r="A700" s="1">
        <v>45339</v>
      </c>
      <c r="B700" t="s">
        <v>28</v>
      </c>
      <c r="C700" t="s">
        <v>21</v>
      </c>
      <c r="D700" t="s">
        <v>30</v>
      </c>
      <c r="E700" t="s">
        <v>23</v>
      </c>
      <c r="F700">
        <v>118566</v>
      </c>
      <c r="G700">
        <v>3711</v>
      </c>
      <c r="H700">
        <v>3.1300000000000001E-2</v>
      </c>
      <c r="I700">
        <v>1.1299999999999999</v>
      </c>
      <c r="J700">
        <v>4193.43</v>
      </c>
      <c r="K700">
        <v>58</v>
      </c>
      <c r="L700">
        <v>72.3</v>
      </c>
      <c r="M700">
        <v>14643.53</v>
      </c>
      <c r="N700">
        <v>3.49</v>
      </c>
    </row>
    <row r="701" spans="1:14" x14ac:dyDescent="0.25">
      <c r="A701" s="1">
        <v>45560</v>
      </c>
      <c r="B701" t="s">
        <v>28</v>
      </c>
      <c r="C701" t="s">
        <v>24</v>
      </c>
      <c r="D701" t="s">
        <v>22</v>
      </c>
      <c r="E701" t="s">
        <v>26</v>
      </c>
      <c r="F701">
        <v>199451</v>
      </c>
      <c r="G701">
        <v>3989</v>
      </c>
      <c r="H701">
        <v>0.02</v>
      </c>
      <c r="I701">
        <v>1.28</v>
      </c>
      <c r="J701">
        <v>5105.92</v>
      </c>
      <c r="K701">
        <v>110</v>
      </c>
      <c r="L701">
        <v>46.42</v>
      </c>
      <c r="M701">
        <v>8236.16</v>
      </c>
      <c r="N701">
        <v>1.61</v>
      </c>
    </row>
    <row r="702" spans="1:14" x14ac:dyDescent="0.25">
      <c r="A702" s="1">
        <v>45588</v>
      </c>
      <c r="B702" t="s">
        <v>14</v>
      </c>
      <c r="C702" t="s">
        <v>29</v>
      </c>
      <c r="D702" t="s">
        <v>25</v>
      </c>
      <c r="E702" t="s">
        <v>17</v>
      </c>
      <c r="F702">
        <v>88251</v>
      </c>
      <c r="G702">
        <v>5965</v>
      </c>
      <c r="H702">
        <v>6.7599999999999993E-2</v>
      </c>
      <c r="I702">
        <v>0.82</v>
      </c>
      <c r="J702">
        <v>4891.3</v>
      </c>
      <c r="K702">
        <v>133</v>
      </c>
      <c r="L702">
        <v>36.78</v>
      </c>
      <c r="M702">
        <v>14897.06</v>
      </c>
      <c r="N702">
        <v>3.05</v>
      </c>
    </row>
    <row r="703" spans="1:14" x14ac:dyDescent="0.25">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row>
    <row r="704" spans="1:14" x14ac:dyDescent="0.25">
      <c r="A704" s="1">
        <v>45338</v>
      </c>
      <c r="B704" t="s">
        <v>18</v>
      </c>
      <c r="C704" t="s">
        <v>29</v>
      </c>
      <c r="D704" t="s">
        <v>16</v>
      </c>
      <c r="E704" t="s">
        <v>32</v>
      </c>
      <c r="F704">
        <v>141447</v>
      </c>
      <c r="G704">
        <v>9873</v>
      </c>
      <c r="H704">
        <v>6.9800000000000001E-2</v>
      </c>
      <c r="I704">
        <v>1.39</v>
      </c>
      <c r="J704">
        <v>13723.47</v>
      </c>
      <c r="K704">
        <v>588</v>
      </c>
      <c r="L704">
        <v>23.34</v>
      </c>
      <c r="M704">
        <v>86774.51</v>
      </c>
      <c r="N704">
        <v>6.32</v>
      </c>
    </row>
    <row r="705" spans="1:14" x14ac:dyDescent="0.25">
      <c r="A705" s="1">
        <v>45328</v>
      </c>
      <c r="B705" t="s">
        <v>14</v>
      </c>
      <c r="C705" t="s">
        <v>21</v>
      </c>
      <c r="D705" t="s">
        <v>19</v>
      </c>
      <c r="E705" t="s">
        <v>20</v>
      </c>
      <c r="F705">
        <v>73591</v>
      </c>
      <c r="G705">
        <v>2649</v>
      </c>
      <c r="H705">
        <v>3.5999999999999997E-2</v>
      </c>
      <c r="I705">
        <v>2.83</v>
      </c>
      <c r="J705">
        <v>7496.67</v>
      </c>
      <c r="K705">
        <v>161</v>
      </c>
      <c r="L705">
        <v>46.56</v>
      </c>
      <c r="M705">
        <v>45161.9</v>
      </c>
      <c r="N705">
        <v>6.02</v>
      </c>
    </row>
    <row r="706" spans="1:14" x14ac:dyDescent="0.25">
      <c r="A706" s="1">
        <v>45347</v>
      </c>
      <c r="B706" t="s">
        <v>14</v>
      </c>
      <c r="C706" t="s">
        <v>21</v>
      </c>
      <c r="D706" t="s">
        <v>16</v>
      </c>
      <c r="E706" t="s">
        <v>31</v>
      </c>
      <c r="F706">
        <v>66477</v>
      </c>
      <c r="G706">
        <v>2718</v>
      </c>
      <c r="H706">
        <v>4.0899999999999999E-2</v>
      </c>
      <c r="I706">
        <v>2.86</v>
      </c>
      <c r="J706">
        <v>7773.48</v>
      </c>
      <c r="K706">
        <v>160</v>
      </c>
      <c r="L706">
        <v>48.58</v>
      </c>
      <c r="M706">
        <v>16856.48</v>
      </c>
      <c r="N706">
        <v>2.17</v>
      </c>
    </row>
    <row r="707" spans="1:14" x14ac:dyDescent="0.25">
      <c r="A707" s="1">
        <v>45532</v>
      </c>
      <c r="B707" t="s">
        <v>28</v>
      </c>
      <c r="C707" t="s">
        <v>21</v>
      </c>
      <c r="D707" t="s">
        <v>30</v>
      </c>
      <c r="E707" t="s">
        <v>17</v>
      </c>
      <c r="F707">
        <v>196386</v>
      </c>
      <c r="G707">
        <v>6794</v>
      </c>
      <c r="H707">
        <v>3.4599999999999999E-2</v>
      </c>
      <c r="I707">
        <v>0.81</v>
      </c>
      <c r="J707">
        <v>5503.14</v>
      </c>
      <c r="K707">
        <v>506</v>
      </c>
      <c r="L707">
        <v>10.88</v>
      </c>
      <c r="M707">
        <v>34412.06</v>
      </c>
      <c r="N707">
        <v>6.25</v>
      </c>
    </row>
    <row r="708" spans="1:14" x14ac:dyDescent="0.25">
      <c r="A708" s="1">
        <v>45593</v>
      </c>
      <c r="B708" t="s">
        <v>14</v>
      </c>
      <c r="C708" t="s">
        <v>29</v>
      </c>
      <c r="D708" t="s">
        <v>16</v>
      </c>
      <c r="E708" t="s">
        <v>27</v>
      </c>
      <c r="F708">
        <v>78927</v>
      </c>
      <c r="G708">
        <v>3172</v>
      </c>
      <c r="H708">
        <v>4.02E-2</v>
      </c>
      <c r="I708">
        <v>3.2</v>
      </c>
      <c r="J708">
        <v>10150.4</v>
      </c>
      <c r="K708">
        <v>62</v>
      </c>
      <c r="L708">
        <v>163.72</v>
      </c>
      <c r="M708">
        <v>7568.63</v>
      </c>
      <c r="N708">
        <v>0.75</v>
      </c>
    </row>
    <row r="709" spans="1:14" x14ac:dyDescent="0.25">
      <c r="A709" s="1">
        <v>45636</v>
      </c>
      <c r="B709" t="s">
        <v>14</v>
      </c>
      <c r="C709" t="s">
        <v>29</v>
      </c>
      <c r="D709" t="s">
        <v>25</v>
      </c>
      <c r="E709" t="s">
        <v>27</v>
      </c>
      <c r="F709">
        <v>184857</v>
      </c>
      <c r="G709">
        <v>3419</v>
      </c>
      <c r="H709">
        <v>1.8499999999999999E-2</v>
      </c>
      <c r="I709">
        <v>2.57</v>
      </c>
      <c r="J709">
        <v>8786.83</v>
      </c>
      <c r="K709">
        <v>248</v>
      </c>
      <c r="L709">
        <v>35.43</v>
      </c>
      <c r="M709">
        <v>70137.509999999995</v>
      </c>
      <c r="N709">
        <v>7.98</v>
      </c>
    </row>
    <row r="710" spans="1:14" x14ac:dyDescent="0.25">
      <c r="A710" s="1">
        <v>45534</v>
      </c>
      <c r="B710" t="s">
        <v>18</v>
      </c>
      <c r="C710" t="s">
        <v>29</v>
      </c>
      <c r="D710" t="s">
        <v>19</v>
      </c>
      <c r="E710" t="s">
        <v>31</v>
      </c>
      <c r="F710">
        <v>122174</v>
      </c>
      <c r="G710">
        <v>6499</v>
      </c>
      <c r="H710">
        <v>5.3199999999999997E-2</v>
      </c>
      <c r="I710">
        <v>0.88</v>
      </c>
      <c r="J710">
        <v>5719.12</v>
      </c>
      <c r="K710">
        <v>413</v>
      </c>
      <c r="L710">
        <v>13.85</v>
      </c>
      <c r="M710">
        <v>58791.38</v>
      </c>
      <c r="N710">
        <v>10.28</v>
      </c>
    </row>
    <row r="711" spans="1:14" x14ac:dyDescent="0.25">
      <c r="A711" s="1">
        <v>45499</v>
      </c>
      <c r="B711" t="s">
        <v>14</v>
      </c>
      <c r="C711" t="s">
        <v>15</v>
      </c>
      <c r="D711" t="s">
        <v>25</v>
      </c>
      <c r="E711" t="s">
        <v>26</v>
      </c>
      <c r="F711">
        <v>108719</v>
      </c>
      <c r="G711">
        <v>4207</v>
      </c>
      <c r="H711">
        <v>3.8699999999999998E-2</v>
      </c>
      <c r="I711">
        <v>3.2</v>
      </c>
      <c r="J711">
        <v>13462.4</v>
      </c>
      <c r="K711">
        <v>121</v>
      </c>
      <c r="L711">
        <v>111.26</v>
      </c>
      <c r="M711">
        <v>21018.47</v>
      </c>
      <c r="N711">
        <v>1.56</v>
      </c>
    </row>
    <row r="712" spans="1:14" x14ac:dyDescent="0.25">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row>
    <row r="713" spans="1:14" x14ac:dyDescent="0.25">
      <c r="A713" s="1">
        <v>45547</v>
      </c>
      <c r="B713" t="s">
        <v>14</v>
      </c>
      <c r="C713" t="s">
        <v>21</v>
      </c>
      <c r="D713" t="s">
        <v>30</v>
      </c>
      <c r="E713" t="s">
        <v>20</v>
      </c>
      <c r="F713">
        <v>193869</v>
      </c>
      <c r="G713">
        <v>13124</v>
      </c>
      <c r="H713">
        <v>6.7699999999999996E-2</v>
      </c>
      <c r="I713">
        <v>2.93</v>
      </c>
      <c r="J713">
        <v>38453.32</v>
      </c>
      <c r="K713">
        <v>264</v>
      </c>
      <c r="L713">
        <v>145.66</v>
      </c>
      <c r="M713">
        <v>67604.89</v>
      </c>
      <c r="N713">
        <v>1.76</v>
      </c>
    </row>
    <row r="714" spans="1:14" x14ac:dyDescent="0.25">
      <c r="A714" s="1">
        <v>45501</v>
      </c>
      <c r="B714" t="s">
        <v>14</v>
      </c>
      <c r="C714" t="s">
        <v>15</v>
      </c>
      <c r="D714" t="s">
        <v>19</v>
      </c>
      <c r="E714" t="s">
        <v>32</v>
      </c>
      <c r="F714">
        <v>158535</v>
      </c>
      <c r="G714">
        <v>3836</v>
      </c>
      <c r="H714">
        <v>2.4199999999999999E-2</v>
      </c>
      <c r="I714">
        <v>2.16</v>
      </c>
      <c r="J714">
        <v>8285.76</v>
      </c>
      <c r="K714">
        <v>120</v>
      </c>
      <c r="L714">
        <v>69.05</v>
      </c>
      <c r="M714">
        <v>12930.51</v>
      </c>
      <c r="N714">
        <v>1.56</v>
      </c>
    </row>
    <row r="715" spans="1:14" x14ac:dyDescent="0.25">
      <c r="A715" s="1">
        <v>45640</v>
      </c>
      <c r="B715" t="s">
        <v>18</v>
      </c>
      <c r="C715" t="s">
        <v>15</v>
      </c>
      <c r="D715" t="s">
        <v>19</v>
      </c>
      <c r="E715" t="s">
        <v>17</v>
      </c>
      <c r="F715">
        <v>148949</v>
      </c>
      <c r="G715">
        <v>12332</v>
      </c>
      <c r="H715">
        <v>8.2799999999999999E-2</v>
      </c>
      <c r="I715">
        <v>1.01</v>
      </c>
      <c r="J715">
        <v>12455.32</v>
      </c>
      <c r="K715">
        <v>546</v>
      </c>
      <c r="L715">
        <v>22.81</v>
      </c>
      <c r="M715">
        <v>95805.85</v>
      </c>
      <c r="N715">
        <v>7.69</v>
      </c>
    </row>
    <row r="716" spans="1:14" x14ac:dyDescent="0.25">
      <c r="A716" s="1">
        <v>45492</v>
      </c>
      <c r="B716" t="s">
        <v>14</v>
      </c>
      <c r="C716" t="s">
        <v>29</v>
      </c>
      <c r="D716" t="s">
        <v>16</v>
      </c>
      <c r="E716" t="s">
        <v>23</v>
      </c>
      <c r="F716">
        <v>184810</v>
      </c>
      <c r="G716">
        <v>7447</v>
      </c>
      <c r="H716">
        <v>4.0300000000000002E-2</v>
      </c>
      <c r="I716">
        <v>3.12</v>
      </c>
      <c r="J716">
        <v>23234.639999999999</v>
      </c>
      <c r="K716">
        <v>334</v>
      </c>
      <c r="L716">
        <v>69.56</v>
      </c>
      <c r="M716">
        <v>51289.24</v>
      </c>
      <c r="N716">
        <v>2.21</v>
      </c>
    </row>
    <row r="717" spans="1:14" x14ac:dyDescent="0.25">
      <c r="A717" s="1">
        <v>45489</v>
      </c>
      <c r="B717" t="s">
        <v>28</v>
      </c>
      <c r="C717" t="s">
        <v>21</v>
      </c>
      <c r="D717" t="s">
        <v>30</v>
      </c>
      <c r="E717" t="s">
        <v>23</v>
      </c>
      <c r="F717">
        <v>85989</v>
      </c>
      <c r="G717">
        <v>997</v>
      </c>
      <c r="H717">
        <v>1.1599999999999999E-2</v>
      </c>
      <c r="I717">
        <v>1.69</v>
      </c>
      <c r="J717">
        <v>1684.93</v>
      </c>
      <c r="K717">
        <v>37</v>
      </c>
      <c r="L717">
        <v>45.54</v>
      </c>
      <c r="M717">
        <v>4865.84</v>
      </c>
      <c r="N717">
        <v>2.89</v>
      </c>
    </row>
    <row r="718" spans="1:14" x14ac:dyDescent="0.25">
      <c r="A718" s="1">
        <v>45338</v>
      </c>
      <c r="B718" t="s">
        <v>28</v>
      </c>
      <c r="C718" t="s">
        <v>24</v>
      </c>
      <c r="D718" t="s">
        <v>16</v>
      </c>
      <c r="E718" t="s">
        <v>27</v>
      </c>
      <c r="F718">
        <v>35755</v>
      </c>
      <c r="G718">
        <v>654</v>
      </c>
      <c r="H718">
        <v>1.83E-2</v>
      </c>
      <c r="I718">
        <v>1.6</v>
      </c>
      <c r="J718">
        <v>1046.4000000000001</v>
      </c>
      <c r="K718">
        <v>40</v>
      </c>
      <c r="L718">
        <v>26.16</v>
      </c>
      <c r="M718">
        <v>11846.71</v>
      </c>
      <c r="N718">
        <v>11.32</v>
      </c>
    </row>
    <row r="719" spans="1:14" x14ac:dyDescent="0.25">
      <c r="A719" s="1">
        <v>45590</v>
      </c>
      <c r="B719" t="s">
        <v>28</v>
      </c>
      <c r="C719" t="s">
        <v>21</v>
      </c>
      <c r="D719" t="s">
        <v>16</v>
      </c>
      <c r="E719" t="s">
        <v>20</v>
      </c>
      <c r="F719">
        <v>184298</v>
      </c>
      <c r="G719">
        <v>7758</v>
      </c>
      <c r="H719">
        <v>4.2099999999999999E-2</v>
      </c>
      <c r="I719">
        <v>1.55</v>
      </c>
      <c r="J719">
        <v>12024.9</v>
      </c>
      <c r="K719">
        <v>351</v>
      </c>
      <c r="L719">
        <v>34.26</v>
      </c>
      <c r="M719">
        <v>91198.92</v>
      </c>
      <c r="N719">
        <v>7.58</v>
      </c>
    </row>
    <row r="720" spans="1:14" x14ac:dyDescent="0.25">
      <c r="A720" s="1">
        <v>45368</v>
      </c>
      <c r="B720" t="s">
        <v>28</v>
      </c>
      <c r="C720" t="s">
        <v>21</v>
      </c>
      <c r="D720" t="s">
        <v>25</v>
      </c>
      <c r="E720" t="s">
        <v>31</v>
      </c>
      <c r="F720">
        <v>22878</v>
      </c>
      <c r="G720">
        <v>619</v>
      </c>
      <c r="H720">
        <v>2.7099999999999999E-2</v>
      </c>
      <c r="I720">
        <v>1.01</v>
      </c>
      <c r="J720">
        <v>625.19000000000005</v>
      </c>
      <c r="K720">
        <v>43</v>
      </c>
      <c r="L720">
        <v>14.54</v>
      </c>
      <c r="M720">
        <v>8615.57</v>
      </c>
      <c r="N720">
        <v>13.78</v>
      </c>
    </row>
    <row r="721" spans="1:14" x14ac:dyDescent="0.25">
      <c r="A721" s="1">
        <v>45612</v>
      </c>
      <c r="B721" t="s">
        <v>28</v>
      </c>
      <c r="C721" t="s">
        <v>15</v>
      </c>
      <c r="D721" t="s">
        <v>16</v>
      </c>
      <c r="E721" t="s">
        <v>20</v>
      </c>
      <c r="F721">
        <v>151539</v>
      </c>
      <c r="G721">
        <v>3455</v>
      </c>
      <c r="H721">
        <v>2.2800000000000001E-2</v>
      </c>
      <c r="I721">
        <v>2.0499999999999998</v>
      </c>
      <c r="J721">
        <v>7082.75</v>
      </c>
      <c r="K721">
        <v>135</v>
      </c>
      <c r="L721">
        <v>52.46</v>
      </c>
      <c r="M721">
        <v>4666.78</v>
      </c>
      <c r="N721">
        <v>0.66</v>
      </c>
    </row>
    <row r="722" spans="1:14" x14ac:dyDescent="0.25">
      <c r="A722" s="1">
        <v>45591</v>
      </c>
      <c r="B722" t="s">
        <v>14</v>
      </c>
      <c r="C722" t="s">
        <v>29</v>
      </c>
      <c r="D722" t="s">
        <v>22</v>
      </c>
      <c r="E722" t="s">
        <v>32</v>
      </c>
      <c r="F722">
        <v>180365</v>
      </c>
      <c r="G722">
        <v>6114</v>
      </c>
      <c r="H722">
        <v>3.39E-2</v>
      </c>
      <c r="I722">
        <v>3.46</v>
      </c>
      <c r="J722">
        <v>21154.44</v>
      </c>
      <c r="K722">
        <v>400</v>
      </c>
      <c r="L722">
        <v>52.89</v>
      </c>
      <c r="M722">
        <v>111623.05</v>
      </c>
      <c r="N722">
        <v>5.28</v>
      </c>
    </row>
    <row r="723" spans="1:14" x14ac:dyDescent="0.25">
      <c r="A723" s="1">
        <v>45526</v>
      </c>
      <c r="B723" t="s">
        <v>28</v>
      </c>
      <c r="C723" t="s">
        <v>21</v>
      </c>
      <c r="D723" t="s">
        <v>16</v>
      </c>
      <c r="E723" t="s">
        <v>32</v>
      </c>
      <c r="F723">
        <v>30168</v>
      </c>
      <c r="G723">
        <v>1080</v>
      </c>
      <c r="H723">
        <v>3.5799999999999998E-2</v>
      </c>
      <c r="I723">
        <v>0.46</v>
      </c>
      <c r="J723">
        <v>496.8</v>
      </c>
      <c r="K723">
        <v>34</v>
      </c>
      <c r="L723">
        <v>14.61</v>
      </c>
      <c r="M723">
        <v>5163.2700000000004</v>
      </c>
      <c r="N723">
        <v>10.39</v>
      </c>
    </row>
    <row r="724" spans="1:14" x14ac:dyDescent="0.25">
      <c r="A724" s="1">
        <v>45424</v>
      </c>
      <c r="B724" t="s">
        <v>14</v>
      </c>
      <c r="C724" t="s">
        <v>29</v>
      </c>
      <c r="D724" t="s">
        <v>16</v>
      </c>
      <c r="E724" t="s">
        <v>17</v>
      </c>
      <c r="F724">
        <v>26352</v>
      </c>
      <c r="G724">
        <v>1697</v>
      </c>
      <c r="H724">
        <v>6.4399999999999999E-2</v>
      </c>
      <c r="I724">
        <v>1.71</v>
      </c>
      <c r="J724">
        <v>2901.87</v>
      </c>
      <c r="K724">
        <v>126</v>
      </c>
      <c r="L724">
        <v>23.03</v>
      </c>
      <c r="M724">
        <v>31980.19</v>
      </c>
      <c r="N724">
        <v>11.02</v>
      </c>
    </row>
    <row r="725" spans="1:14" x14ac:dyDescent="0.25">
      <c r="A725" s="1">
        <v>45314</v>
      </c>
      <c r="B725" t="s">
        <v>14</v>
      </c>
      <c r="C725" t="s">
        <v>15</v>
      </c>
      <c r="D725" t="s">
        <v>22</v>
      </c>
      <c r="E725" t="s">
        <v>31</v>
      </c>
      <c r="F725">
        <v>57979</v>
      </c>
      <c r="G725">
        <v>2081</v>
      </c>
      <c r="H725">
        <v>3.5900000000000001E-2</v>
      </c>
      <c r="I725">
        <v>1.89</v>
      </c>
      <c r="J725">
        <v>3933.09</v>
      </c>
      <c r="K725">
        <v>148</v>
      </c>
      <c r="L725">
        <v>26.57</v>
      </c>
      <c r="M725">
        <v>18788.47</v>
      </c>
      <c r="N725">
        <v>4.78</v>
      </c>
    </row>
    <row r="726" spans="1:14" x14ac:dyDescent="0.25">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row>
    <row r="727" spans="1:14" x14ac:dyDescent="0.25">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row>
    <row r="728" spans="1:14" x14ac:dyDescent="0.25">
      <c r="A728" s="1">
        <v>45432</v>
      </c>
      <c r="B728" t="s">
        <v>28</v>
      </c>
      <c r="C728" t="s">
        <v>29</v>
      </c>
      <c r="D728" t="s">
        <v>19</v>
      </c>
      <c r="E728" t="s">
        <v>20</v>
      </c>
      <c r="F728">
        <v>64799</v>
      </c>
      <c r="G728">
        <v>842</v>
      </c>
      <c r="H728">
        <v>1.2999999999999999E-2</v>
      </c>
      <c r="I728">
        <v>1.75</v>
      </c>
      <c r="J728">
        <v>1473.5</v>
      </c>
      <c r="K728">
        <v>52</v>
      </c>
      <c r="L728">
        <v>28.34</v>
      </c>
      <c r="M728">
        <v>15157.93</v>
      </c>
      <c r="N728">
        <v>10.29</v>
      </c>
    </row>
    <row r="729" spans="1:14" x14ac:dyDescent="0.25">
      <c r="A729" s="1">
        <v>45307</v>
      </c>
      <c r="B729" t="s">
        <v>28</v>
      </c>
      <c r="C729" t="s">
        <v>24</v>
      </c>
      <c r="D729" t="s">
        <v>30</v>
      </c>
      <c r="E729" t="s">
        <v>20</v>
      </c>
      <c r="F729">
        <v>167893</v>
      </c>
      <c r="G729">
        <v>4432</v>
      </c>
      <c r="H729">
        <v>2.64E-2</v>
      </c>
      <c r="I729">
        <v>0.57999999999999996</v>
      </c>
      <c r="J729">
        <v>2570.56</v>
      </c>
      <c r="K729">
        <v>66</v>
      </c>
      <c r="L729">
        <v>38.950000000000003</v>
      </c>
      <c r="M729">
        <v>15989.78</v>
      </c>
      <c r="N729">
        <v>6.22</v>
      </c>
    </row>
    <row r="730" spans="1:14" x14ac:dyDescent="0.25">
      <c r="A730" s="1">
        <v>45411</v>
      </c>
      <c r="B730" t="s">
        <v>14</v>
      </c>
      <c r="C730" t="s">
        <v>29</v>
      </c>
      <c r="D730" t="s">
        <v>19</v>
      </c>
      <c r="E730" t="s">
        <v>32</v>
      </c>
      <c r="F730">
        <v>72474</v>
      </c>
      <c r="G730">
        <v>4022</v>
      </c>
      <c r="H730">
        <v>5.5500000000000001E-2</v>
      </c>
      <c r="I730">
        <v>3.11</v>
      </c>
      <c r="J730">
        <v>12508.42</v>
      </c>
      <c r="K730">
        <v>142</v>
      </c>
      <c r="L730">
        <v>88.09</v>
      </c>
      <c r="M730">
        <v>38937.53</v>
      </c>
      <c r="N730">
        <v>3.11</v>
      </c>
    </row>
    <row r="731" spans="1:14" x14ac:dyDescent="0.25">
      <c r="A731" s="1">
        <v>45590</v>
      </c>
      <c r="B731" t="s">
        <v>28</v>
      </c>
      <c r="C731" t="s">
        <v>21</v>
      </c>
      <c r="D731" t="s">
        <v>19</v>
      </c>
      <c r="E731" t="s">
        <v>27</v>
      </c>
      <c r="F731">
        <v>138678</v>
      </c>
      <c r="G731">
        <v>1802</v>
      </c>
      <c r="H731">
        <v>1.2999999999999999E-2</v>
      </c>
      <c r="I731">
        <v>1.9</v>
      </c>
      <c r="J731">
        <v>3423.8</v>
      </c>
      <c r="K731">
        <v>61</v>
      </c>
      <c r="L731">
        <v>56.13</v>
      </c>
      <c r="M731">
        <v>2147.0300000000002</v>
      </c>
      <c r="N731">
        <v>0.63</v>
      </c>
    </row>
    <row r="732" spans="1:14" x14ac:dyDescent="0.25">
      <c r="A732" s="1">
        <v>45479</v>
      </c>
      <c r="B732" t="s">
        <v>18</v>
      </c>
      <c r="C732" t="s">
        <v>15</v>
      </c>
      <c r="D732" t="s">
        <v>22</v>
      </c>
      <c r="E732" t="s">
        <v>17</v>
      </c>
      <c r="F732">
        <v>70195</v>
      </c>
      <c r="G732">
        <v>4239</v>
      </c>
      <c r="H732">
        <v>6.0400000000000002E-2</v>
      </c>
      <c r="I732">
        <v>1.42</v>
      </c>
      <c r="J732">
        <v>6019.38</v>
      </c>
      <c r="K732">
        <v>234</v>
      </c>
      <c r="L732">
        <v>25.72</v>
      </c>
      <c r="M732">
        <v>38776.78</v>
      </c>
      <c r="N732">
        <v>6.44</v>
      </c>
    </row>
    <row r="733" spans="1:14" x14ac:dyDescent="0.25">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row>
    <row r="734" spans="1:14" x14ac:dyDescent="0.25">
      <c r="A734" s="1">
        <v>45445</v>
      </c>
      <c r="B734" t="s">
        <v>14</v>
      </c>
      <c r="C734" t="s">
        <v>15</v>
      </c>
      <c r="D734" t="s">
        <v>25</v>
      </c>
      <c r="E734" t="s">
        <v>26</v>
      </c>
      <c r="F734">
        <v>162786</v>
      </c>
      <c r="G734">
        <v>7406</v>
      </c>
      <c r="H734">
        <v>4.5499999999999999E-2</v>
      </c>
      <c r="I734">
        <v>1.45</v>
      </c>
      <c r="J734">
        <v>10738.7</v>
      </c>
      <c r="K734">
        <v>513</v>
      </c>
      <c r="L734">
        <v>20.93</v>
      </c>
      <c r="M734">
        <v>67523.570000000007</v>
      </c>
      <c r="N734">
        <v>6.29</v>
      </c>
    </row>
    <row r="735" spans="1:14" x14ac:dyDescent="0.25">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row>
    <row r="736" spans="1:14" x14ac:dyDescent="0.25">
      <c r="A736" s="1">
        <v>45316</v>
      </c>
      <c r="B736" t="s">
        <v>14</v>
      </c>
      <c r="C736" t="s">
        <v>15</v>
      </c>
      <c r="D736" t="s">
        <v>30</v>
      </c>
      <c r="E736" t="s">
        <v>32</v>
      </c>
      <c r="F736">
        <v>92185</v>
      </c>
      <c r="G736">
        <v>3779</v>
      </c>
      <c r="H736">
        <v>4.1000000000000002E-2</v>
      </c>
      <c r="I736">
        <v>1.62</v>
      </c>
      <c r="J736">
        <v>6121.98</v>
      </c>
      <c r="K736">
        <v>82</v>
      </c>
      <c r="L736">
        <v>74.66</v>
      </c>
      <c r="M736">
        <v>11861.33</v>
      </c>
      <c r="N736">
        <v>1.94</v>
      </c>
    </row>
    <row r="737" spans="1:14" x14ac:dyDescent="0.25">
      <c r="A737" s="1">
        <v>45459</v>
      </c>
      <c r="B737" t="s">
        <v>28</v>
      </c>
      <c r="C737" t="s">
        <v>15</v>
      </c>
      <c r="D737" t="s">
        <v>30</v>
      </c>
      <c r="E737" t="s">
        <v>32</v>
      </c>
      <c r="F737">
        <v>136637</v>
      </c>
      <c r="G737">
        <v>4399</v>
      </c>
      <c r="H737">
        <v>3.2199999999999999E-2</v>
      </c>
      <c r="I737">
        <v>1.31</v>
      </c>
      <c r="J737">
        <v>5762.69</v>
      </c>
      <c r="K737">
        <v>254</v>
      </c>
      <c r="L737">
        <v>22.69</v>
      </c>
      <c r="M737">
        <v>21909.38</v>
      </c>
      <c r="N737">
        <v>3.8</v>
      </c>
    </row>
    <row r="738" spans="1:14" x14ac:dyDescent="0.25">
      <c r="A738" s="1">
        <v>45447</v>
      </c>
      <c r="B738" t="s">
        <v>28</v>
      </c>
      <c r="C738" t="s">
        <v>29</v>
      </c>
      <c r="D738" t="s">
        <v>30</v>
      </c>
      <c r="E738" t="s">
        <v>31</v>
      </c>
      <c r="F738">
        <v>56986</v>
      </c>
      <c r="G738">
        <v>1270</v>
      </c>
      <c r="H738">
        <v>2.23E-2</v>
      </c>
      <c r="I738">
        <v>0.93</v>
      </c>
      <c r="J738">
        <v>1181.0999999999999</v>
      </c>
      <c r="K738">
        <v>13</v>
      </c>
      <c r="L738">
        <v>90.85</v>
      </c>
      <c r="M738">
        <v>3679.26</v>
      </c>
      <c r="N738">
        <v>3.12</v>
      </c>
    </row>
    <row r="739" spans="1:14" x14ac:dyDescent="0.25">
      <c r="A739" s="1">
        <v>45342</v>
      </c>
      <c r="B739" t="s">
        <v>28</v>
      </c>
      <c r="C739" t="s">
        <v>29</v>
      </c>
      <c r="D739" t="s">
        <v>25</v>
      </c>
      <c r="E739" t="s">
        <v>20</v>
      </c>
      <c r="F739">
        <v>148859</v>
      </c>
      <c r="G739">
        <v>3840</v>
      </c>
      <c r="H739">
        <v>2.58E-2</v>
      </c>
      <c r="I739">
        <v>1.8</v>
      </c>
      <c r="J739">
        <v>6912</v>
      </c>
      <c r="K739">
        <v>250</v>
      </c>
      <c r="L739">
        <v>27.65</v>
      </c>
      <c r="M739">
        <v>22027.39</v>
      </c>
      <c r="N739">
        <v>3.19</v>
      </c>
    </row>
    <row r="740" spans="1:14" x14ac:dyDescent="0.25">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row>
    <row r="741" spans="1:14" x14ac:dyDescent="0.25">
      <c r="A741" s="1">
        <v>45573</v>
      </c>
      <c r="B741" t="s">
        <v>28</v>
      </c>
      <c r="C741" t="s">
        <v>24</v>
      </c>
      <c r="D741" t="s">
        <v>19</v>
      </c>
      <c r="E741" t="s">
        <v>17</v>
      </c>
      <c r="F741">
        <v>155555</v>
      </c>
      <c r="G741">
        <v>4588</v>
      </c>
      <c r="H741">
        <v>2.9499999999999998E-2</v>
      </c>
      <c r="I741">
        <v>1.55</v>
      </c>
      <c r="J741">
        <v>7111.4</v>
      </c>
      <c r="K741">
        <v>332</v>
      </c>
      <c r="L741">
        <v>21.42</v>
      </c>
      <c r="M741">
        <v>12719.4</v>
      </c>
      <c r="N741">
        <v>1.79</v>
      </c>
    </row>
    <row r="742" spans="1:14" x14ac:dyDescent="0.25">
      <c r="A742" s="1">
        <v>45576</v>
      </c>
      <c r="B742" t="s">
        <v>28</v>
      </c>
      <c r="C742" t="s">
        <v>29</v>
      </c>
      <c r="D742" t="s">
        <v>25</v>
      </c>
      <c r="E742" t="s">
        <v>26</v>
      </c>
      <c r="F742">
        <v>198979</v>
      </c>
      <c r="G742">
        <v>2089</v>
      </c>
      <c r="H742">
        <v>1.0500000000000001E-2</v>
      </c>
      <c r="I742">
        <v>1.7</v>
      </c>
      <c r="J742">
        <v>3551.3</v>
      </c>
      <c r="K742">
        <v>66</v>
      </c>
      <c r="L742">
        <v>53.81</v>
      </c>
      <c r="M742">
        <v>7694.86</v>
      </c>
      <c r="N742">
        <v>2.17</v>
      </c>
    </row>
    <row r="743" spans="1:14" x14ac:dyDescent="0.25">
      <c r="A743" s="1">
        <v>45630</v>
      </c>
      <c r="B743" t="s">
        <v>28</v>
      </c>
      <c r="C743" t="s">
        <v>15</v>
      </c>
      <c r="D743" t="s">
        <v>30</v>
      </c>
      <c r="E743" t="s">
        <v>31</v>
      </c>
      <c r="F743">
        <v>186740</v>
      </c>
      <c r="G743">
        <v>4182</v>
      </c>
      <c r="H743">
        <v>2.24E-2</v>
      </c>
      <c r="I743">
        <v>0.56000000000000005</v>
      </c>
      <c r="J743">
        <v>2341.92</v>
      </c>
      <c r="K743">
        <v>47</v>
      </c>
      <c r="L743">
        <v>49.83</v>
      </c>
      <c r="M743">
        <v>8643.08</v>
      </c>
      <c r="N743">
        <v>3.69</v>
      </c>
    </row>
    <row r="744" spans="1:14" x14ac:dyDescent="0.25">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row>
    <row r="745" spans="1:14" x14ac:dyDescent="0.25">
      <c r="A745" s="1">
        <v>45337</v>
      </c>
      <c r="B745" t="s">
        <v>14</v>
      </c>
      <c r="C745" t="s">
        <v>15</v>
      </c>
      <c r="D745" t="s">
        <v>16</v>
      </c>
      <c r="E745" t="s">
        <v>26</v>
      </c>
      <c r="F745">
        <v>30835</v>
      </c>
      <c r="G745">
        <v>925</v>
      </c>
      <c r="H745">
        <v>0.03</v>
      </c>
      <c r="I745">
        <v>1.96</v>
      </c>
      <c r="J745">
        <v>1813</v>
      </c>
      <c r="K745">
        <v>14</v>
      </c>
      <c r="L745">
        <v>129.5</v>
      </c>
      <c r="M745">
        <v>3805.56</v>
      </c>
      <c r="N745">
        <v>2.1</v>
      </c>
    </row>
    <row r="746" spans="1:14" x14ac:dyDescent="0.25">
      <c r="A746" s="1">
        <v>45648</v>
      </c>
      <c r="B746" t="s">
        <v>18</v>
      </c>
      <c r="C746" t="s">
        <v>21</v>
      </c>
      <c r="D746" t="s">
        <v>19</v>
      </c>
      <c r="E746" t="s">
        <v>27</v>
      </c>
      <c r="F746">
        <v>112938</v>
      </c>
      <c r="G746">
        <v>3263</v>
      </c>
      <c r="H746">
        <v>2.8899999999999999E-2</v>
      </c>
      <c r="I746">
        <v>0.39</v>
      </c>
      <c r="J746">
        <v>1272.57</v>
      </c>
      <c r="K746">
        <v>80</v>
      </c>
      <c r="L746">
        <v>15.91</v>
      </c>
      <c r="M746">
        <v>22895.07</v>
      </c>
      <c r="N746">
        <v>17.989999999999998</v>
      </c>
    </row>
    <row r="747" spans="1:14" x14ac:dyDescent="0.25">
      <c r="A747" s="1">
        <v>45642</v>
      </c>
      <c r="B747" t="s">
        <v>14</v>
      </c>
      <c r="C747" t="s">
        <v>29</v>
      </c>
      <c r="D747" t="s">
        <v>25</v>
      </c>
      <c r="E747" t="s">
        <v>27</v>
      </c>
      <c r="F747">
        <v>143573</v>
      </c>
      <c r="G747">
        <v>3474</v>
      </c>
      <c r="H747">
        <v>2.4199999999999999E-2</v>
      </c>
      <c r="I747">
        <v>1.63</v>
      </c>
      <c r="J747">
        <v>5662.62</v>
      </c>
      <c r="K747">
        <v>131</v>
      </c>
      <c r="L747">
        <v>43.23</v>
      </c>
      <c r="M747">
        <v>11434.82</v>
      </c>
      <c r="N747">
        <v>2.02</v>
      </c>
    </row>
    <row r="748" spans="1:14" x14ac:dyDescent="0.25">
      <c r="A748" s="1">
        <v>45487</v>
      </c>
      <c r="B748" t="s">
        <v>18</v>
      </c>
      <c r="C748" t="s">
        <v>29</v>
      </c>
      <c r="D748" t="s">
        <v>30</v>
      </c>
      <c r="E748" t="s">
        <v>27</v>
      </c>
      <c r="F748">
        <v>113621</v>
      </c>
      <c r="G748">
        <v>10112</v>
      </c>
      <c r="H748">
        <v>8.8999999999999996E-2</v>
      </c>
      <c r="I748">
        <v>0.99</v>
      </c>
      <c r="J748">
        <v>10010.879999999999</v>
      </c>
      <c r="K748">
        <v>472</v>
      </c>
      <c r="L748">
        <v>21.21</v>
      </c>
      <c r="M748">
        <v>84899.73</v>
      </c>
      <c r="N748">
        <v>8.48</v>
      </c>
    </row>
    <row r="749" spans="1:14" x14ac:dyDescent="0.25">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row>
    <row r="750" spans="1:14" x14ac:dyDescent="0.25">
      <c r="A750" s="1">
        <v>45469</v>
      </c>
      <c r="B750" t="s">
        <v>28</v>
      </c>
      <c r="C750" t="s">
        <v>24</v>
      </c>
      <c r="D750" t="s">
        <v>16</v>
      </c>
      <c r="E750" t="s">
        <v>23</v>
      </c>
      <c r="F750">
        <v>52940</v>
      </c>
      <c r="G750">
        <v>1281</v>
      </c>
      <c r="H750">
        <v>2.4199999999999999E-2</v>
      </c>
      <c r="I750">
        <v>1.5</v>
      </c>
      <c r="J750">
        <v>1921.5</v>
      </c>
      <c r="K750">
        <v>37</v>
      </c>
      <c r="L750">
        <v>51.93</v>
      </c>
      <c r="M750">
        <v>8409.06</v>
      </c>
      <c r="N750">
        <v>4.38</v>
      </c>
    </row>
    <row r="751" spans="1:14" x14ac:dyDescent="0.25">
      <c r="A751" s="1">
        <v>45536</v>
      </c>
      <c r="B751" t="s">
        <v>18</v>
      </c>
      <c r="C751" t="s">
        <v>29</v>
      </c>
      <c r="D751" t="s">
        <v>25</v>
      </c>
      <c r="E751" t="s">
        <v>23</v>
      </c>
      <c r="F751">
        <v>106069</v>
      </c>
      <c r="G751">
        <v>3139</v>
      </c>
      <c r="H751">
        <v>2.9600000000000001E-2</v>
      </c>
      <c r="I751">
        <v>0.5</v>
      </c>
      <c r="J751">
        <v>1569.5</v>
      </c>
      <c r="K751">
        <v>78</v>
      </c>
      <c r="L751">
        <v>20.12</v>
      </c>
      <c r="M751">
        <v>6648.74</v>
      </c>
      <c r="N751">
        <v>4.24</v>
      </c>
    </row>
    <row r="752" spans="1:14" x14ac:dyDescent="0.25">
      <c r="A752" s="1">
        <v>45375</v>
      </c>
      <c r="B752" t="s">
        <v>14</v>
      </c>
      <c r="C752" t="s">
        <v>21</v>
      </c>
      <c r="D752" t="s">
        <v>19</v>
      </c>
      <c r="E752" t="s">
        <v>27</v>
      </c>
      <c r="F752">
        <v>185523</v>
      </c>
      <c r="G752">
        <v>6029</v>
      </c>
      <c r="H752">
        <v>3.2500000000000001E-2</v>
      </c>
      <c r="I752">
        <v>1.38</v>
      </c>
      <c r="J752">
        <v>8320.02</v>
      </c>
      <c r="K752">
        <v>252</v>
      </c>
      <c r="L752">
        <v>33.020000000000003</v>
      </c>
      <c r="M752">
        <v>12404.91</v>
      </c>
      <c r="N752">
        <v>1.49</v>
      </c>
    </row>
    <row r="753" spans="1:14" x14ac:dyDescent="0.25">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row>
    <row r="754" spans="1:14" x14ac:dyDescent="0.25">
      <c r="A754" s="1">
        <v>45650</v>
      </c>
      <c r="B754" t="s">
        <v>14</v>
      </c>
      <c r="C754" t="s">
        <v>21</v>
      </c>
      <c r="D754" t="s">
        <v>22</v>
      </c>
      <c r="E754" t="s">
        <v>27</v>
      </c>
      <c r="F754">
        <v>118005</v>
      </c>
      <c r="G754">
        <v>5003</v>
      </c>
      <c r="H754">
        <v>4.24E-2</v>
      </c>
      <c r="I754">
        <v>1.8</v>
      </c>
      <c r="J754">
        <v>9005.4</v>
      </c>
      <c r="K754">
        <v>63</v>
      </c>
      <c r="L754">
        <v>142.94</v>
      </c>
      <c r="M754">
        <v>6740.12</v>
      </c>
      <c r="N754">
        <v>0.75</v>
      </c>
    </row>
    <row r="755" spans="1:14" x14ac:dyDescent="0.25">
      <c r="A755" s="1">
        <v>45541</v>
      </c>
      <c r="B755" t="s">
        <v>14</v>
      </c>
      <c r="C755" t="s">
        <v>21</v>
      </c>
      <c r="D755" t="s">
        <v>25</v>
      </c>
      <c r="E755" t="s">
        <v>31</v>
      </c>
      <c r="F755">
        <v>47176</v>
      </c>
      <c r="G755">
        <v>1278</v>
      </c>
      <c r="H755">
        <v>2.7099999999999999E-2</v>
      </c>
      <c r="I755">
        <v>1.43</v>
      </c>
      <c r="J755">
        <v>1827.54</v>
      </c>
      <c r="K755">
        <v>62</v>
      </c>
      <c r="L755">
        <v>29.48</v>
      </c>
      <c r="M755">
        <v>2278.75</v>
      </c>
      <c r="N755">
        <v>1.25</v>
      </c>
    </row>
    <row r="756" spans="1:14" x14ac:dyDescent="0.25">
      <c r="A756" s="1">
        <v>45636</v>
      </c>
      <c r="B756" t="s">
        <v>28</v>
      </c>
      <c r="C756" t="s">
        <v>21</v>
      </c>
      <c r="D756" t="s">
        <v>16</v>
      </c>
      <c r="E756" t="s">
        <v>20</v>
      </c>
      <c r="F756">
        <v>8512</v>
      </c>
      <c r="G756">
        <v>251</v>
      </c>
      <c r="H756">
        <v>2.9600000000000001E-2</v>
      </c>
      <c r="I756">
        <v>0.64</v>
      </c>
      <c r="J756">
        <v>160.63999999999999</v>
      </c>
      <c r="K756">
        <v>11</v>
      </c>
      <c r="L756">
        <v>14.6</v>
      </c>
      <c r="M756">
        <v>1671.09</v>
      </c>
      <c r="N756">
        <v>10.4</v>
      </c>
    </row>
    <row r="757" spans="1:14" x14ac:dyDescent="0.25">
      <c r="A757" s="1">
        <v>45460</v>
      </c>
      <c r="B757" t="s">
        <v>28</v>
      </c>
      <c r="C757" t="s">
        <v>24</v>
      </c>
      <c r="D757" t="s">
        <v>19</v>
      </c>
      <c r="E757" t="s">
        <v>32</v>
      </c>
      <c r="F757">
        <v>83591</v>
      </c>
      <c r="G757">
        <v>2499</v>
      </c>
      <c r="H757">
        <v>2.9899999999999999E-2</v>
      </c>
      <c r="I757">
        <v>1.68</v>
      </c>
      <c r="J757">
        <v>4198.32</v>
      </c>
      <c r="K757">
        <v>84</v>
      </c>
      <c r="L757">
        <v>49.98</v>
      </c>
      <c r="M757">
        <v>18620.43</v>
      </c>
      <c r="N757">
        <v>4.4400000000000004</v>
      </c>
    </row>
    <row r="758" spans="1:14" x14ac:dyDescent="0.25">
      <c r="A758" s="1">
        <v>45468</v>
      </c>
      <c r="B758" t="s">
        <v>14</v>
      </c>
      <c r="C758" t="s">
        <v>15</v>
      </c>
      <c r="D758" t="s">
        <v>30</v>
      </c>
      <c r="E758" t="s">
        <v>17</v>
      </c>
      <c r="F758">
        <v>88323</v>
      </c>
      <c r="G758">
        <v>3965</v>
      </c>
      <c r="H758">
        <v>4.4900000000000002E-2</v>
      </c>
      <c r="I758">
        <v>2.36</v>
      </c>
      <c r="J758">
        <v>9357.4</v>
      </c>
      <c r="K758">
        <v>95</v>
      </c>
      <c r="L758">
        <v>98.5</v>
      </c>
      <c r="M758">
        <v>8337.4</v>
      </c>
      <c r="N758">
        <v>0.89</v>
      </c>
    </row>
    <row r="759" spans="1:14" x14ac:dyDescent="0.25">
      <c r="A759" s="1">
        <v>45624</v>
      </c>
      <c r="B759" t="s">
        <v>14</v>
      </c>
      <c r="C759" t="s">
        <v>21</v>
      </c>
      <c r="D759" t="s">
        <v>22</v>
      </c>
      <c r="E759" t="s">
        <v>26</v>
      </c>
      <c r="F759">
        <v>24755</v>
      </c>
      <c r="G759">
        <v>811</v>
      </c>
      <c r="H759">
        <v>3.2800000000000003E-2</v>
      </c>
      <c r="I759">
        <v>2.48</v>
      </c>
      <c r="J759">
        <v>2011.28</v>
      </c>
      <c r="K759">
        <v>8</v>
      </c>
      <c r="L759">
        <v>251.41</v>
      </c>
      <c r="M759">
        <v>1786.84</v>
      </c>
      <c r="N759">
        <v>0.89</v>
      </c>
    </row>
    <row r="760" spans="1:14" x14ac:dyDescent="0.25">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row>
    <row r="761" spans="1:14" x14ac:dyDescent="0.25">
      <c r="A761" s="1">
        <v>45303</v>
      </c>
      <c r="B761" t="s">
        <v>28</v>
      </c>
      <c r="C761" t="s">
        <v>21</v>
      </c>
      <c r="D761" t="s">
        <v>25</v>
      </c>
      <c r="E761" t="s">
        <v>32</v>
      </c>
      <c r="F761">
        <v>176250</v>
      </c>
      <c r="G761">
        <v>6204</v>
      </c>
      <c r="H761">
        <v>3.5200000000000002E-2</v>
      </c>
      <c r="I761">
        <v>0.65</v>
      </c>
      <c r="J761">
        <v>4032.6</v>
      </c>
      <c r="K761">
        <v>312</v>
      </c>
      <c r="L761">
        <v>12.92</v>
      </c>
      <c r="M761">
        <v>84311.3</v>
      </c>
      <c r="N761">
        <v>20.91</v>
      </c>
    </row>
    <row r="762" spans="1:14" x14ac:dyDescent="0.25">
      <c r="A762" s="1">
        <v>45295</v>
      </c>
      <c r="B762" t="s">
        <v>28</v>
      </c>
      <c r="C762" t="s">
        <v>24</v>
      </c>
      <c r="D762" t="s">
        <v>19</v>
      </c>
      <c r="E762" t="s">
        <v>20</v>
      </c>
      <c r="F762">
        <v>184729</v>
      </c>
      <c r="G762">
        <v>2586</v>
      </c>
      <c r="H762">
        <v>1.4E-2</v>
      </c>
      <c r="I762">
        <v>0.9</v>
      </c>
      <c r="J762">
        <v>2327.4</v>
      </c>
      <c r="K762">
        <v>201</v>
      </c>
      <c r="L762">
        <v>11.58</v>
      </c>
      <c r="M762">
        <v>16864.93</v>
      </c>
      <c r="N762">
        <v>7.25</v>
      </c>
    </row>
    <row r="763" spans="1:14" x14ac:dyDescent="0.25">
      <c r="A763" s="1">
        <v>45307</v>
      </c>
      <c r="B763" t="s">
        <v>14</v>
      </c>
      <c r="C763" t="s">
        <v>15</v>
      </c>
      <c r="D763" t="s">
        <v>22</v>
      </c>
      <c r="E763" t="s">
        <v>20</v>
      </c>
      <c r="F763">
        <v>175381</v>
      </c>
      <c r="G763">
        <v>4226</v>
      </c>
      <c r="H763">
        <v>2.41E-2</v>
      </c>
      <c r="I763">
        <v>0.91</v>
      </c>
      <c r="J763">
        <v>3845.66</v>
      </c>
      <c r="K763">
        <v>204</v>
      </c>
      <c r="L763">
        <v>18.850000000000001</v>
      </c>
      <c r="M763">
        <v>11471.83</v>
      </c>
      <c r="N763">
        <v>2.98</v>
      </c>
    </row>
    <row r="764" spans="1:14" x14ac:dyDescent="0.25">
      <c r="A764" s="1">
        <v>45594</v>
      </c>
      <c r="B764" t="s">
        <v>14</v>
      </c>
      <c r="C764" t="s">
        <v>21</v>
      </c>
      <c r="D764" t="s">
        <v>25</v>
      </c>
      <c r="E764" t="s">
        <v>20</v>
      </c>
      <c r="F764">
        <v>174741</v>
      </c>
      <c r="G764">
        <v>7129</v>
      </c>
      <c r="H764">
        <v>4.0800000000000003E-2</v>
      </c>
      <c r="I764">
        <v>2.17</v>
      </c>
      <c r="J764">
        <v>15469.93</v>
      </c>
      <c r="K764">
        <v>326</v>
      </c>
      <c r="L764">
        <v>47.45</v>
      </c>
      <c r="M764">
        <v>58786.78</v>
      </c>
      <c r="N764">
        <v>3.8</v>
      </c>
    </row>
    <row r="765" spans="1:14" x14ac:dyDescent="0.25">
      <c r="A765" s="1">
        <v>45308</v>
      </c>
      <c r="B765" t="s">
        <v>28</v>
      </c>
      <c r="C765" t="s">
        <v>24</v>
      </c>
      <c r="D765" t="s">
        <v>30</v>
      </c>
      <c r="E765" t="s">
        <v>26</v>
      </c>
      <c r="F765">
        <v>62033</v>
      </c>
      <c r="G765">
        <v>2667</v>
      </c>
      <c r="H765">
        <v>4.2999999999999997E-2</v>
      </c>
      <c r="I765">
        <v>1.1000000000000001</v>
      </c>
      <c r="J765">
        <v>2933.7</v>
      </c>
      <c r="K765">
        <v>135</v>
      </c>
      <c r="L765">
        <v>21.73</v>
      </c>
      <c r="M765">
        <v>14288.2</v>
      </c>
      <c r="N765">
        <v>4.87</v>
      </c>
    </row>
    <row r="766" spans="1:14" x14ac:dyDescent="0.25">
      <c r="A766" s="1">
        <v>45400</v>
      </c>
      <c r="B766" t="s">
        <v>18</v>
      </c>
      <c r="C766" t="s">
        <v>15</v>
      </c>
      <c r="D766" t="s">
        <v>16</v>
      </c>
      <c r="E766" t="s">
        <v>27</v>
      </c>
      <c r="F766">
        <v>6067</v>
      </c>
      <c r="G766">
        <v>201</v>
      </c>
      <c r="H766">
        <v>3.32E-2</v>
      </c>
      <c r="I766">
        <v>0.63</v>
      </c>
      <c r="J766">
        <v>126.63</v>
      </c>
      <c r="K766">
        <v>12</v>
      </c>
      <c r="L766">
        <v>10.55</v>
      </c>
      <c r="M766">
        <v>2449.2800000000002</v>
      </c>
      <c r="N766">
        <v>19.34</v>
      </c>
    </row>
    <row r="767" spans="1:14" x14ac:dyDescent="0.25">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row>
    <row r="768" spans="1:14" x14ac:dyDescent="0.25">
      <c r="A768" s="1">
        <v>45588</v>
      </c>
      <c r="B768" t="s">
        <v>18</v>
      </c>
      <c r="C768" t="s">
        <v>24</v>
      </c>
      <c r="D768" t="s">
        <v>19</v>
      </c>
      <c r="E768" t="s">
        <v>17</v>
      </c>
      <c r="F768">
        <v>16094</v>
      </c>
      <c r="G768">
        <v>535</v>
      </c>
      <c r="H768">
        <v>3.3300000000000003E-2</v>
      </c>
      <c r="I768">
        <v>1.81</v>
      </c>
      <c r="J768">
        <v>968.35</v>
      </c>
      <c r="K768">
        <v>8</v>
      </c>
      <c r="L768">
        <v>121.04</v>
      </c>
      <c r="M768">
        <v>469.8</v>
      </c>
      <c r="N768">
        <v>0.49</v>
      </c>
    </row>
    <row r="769" spans="1:14" x14ac:dyDescent="0.25">
      <c r="A769" s="1">
        <v>45562</v>
      </c>
      <c r="B769" t="s">
        <v>28</v>
      </c>
      <c r="C769" t="s">
        <v>29</v>
      </c>
      <c r="D769" t="s">
        <v>19</v>
      </c>
      <c r="E769" t="s">
        <v>31</v>
      </c>
      <c r="F769">
        <v>8599</v>
      </c>
      <c r="G769">
        <v>258</v>
      </c>
      <c r="H769">
        <v>3.0099999999999998E-2</v>
      </c>
      <c r="I769">
        <v>0.65</v>
      </c>
      <c r="J769">
        <v>167.7</v>
      </c>
      <c r="K769">
        <v>6</v>
      </c>
      <c r="L769">
        <v>27.95</v>
      </c>
      <c r="M769">
        <v>594.69000000000005</v>
      </c>
      <c r="N769">
        <v>3.55</v>
      </c>
    </row>
    <row r="770" spans="1:14" x14ac:dyDescent="0.25">
      <c r="A770" s="1">
        <v>45298</v>
      </c>
      <c r="B770" t="s">
        <v>14</v>
      </c>
      <c r="C770" t="s">
        <v>21</v>
      </c>
      <c r="D770" t="s">
        <v>16</v>
      </c>
      <c r="E770" t="s">
        <v>17</v>
      </c>
      <c r="F770">
        <v>32476</v>
      </c>
      <c r="G770">
        <v>1136</v>
      </c>
      <c r="H770">
        <v>3.5000000000000003E-2</v>
      </c>
      <c r="I770">
        <v>1.64</v>
      </c>
      <c r="J770">
        <v>1863.04</v>
      </c>
      <c r="K770">
        <v>86</v>
      </c>
      <c r="L770">
        <v>21.66</v>
      </c>
      <c r="M770">
        <v>21754.11</v>
      </c>
      <c r="N770">
        <v>11.68</v>
      </c>
    </row>
    <row r="771" spans="1:14" x14ac:dyDescent="0.25">
      <c r="A771" s="1">
        <v>45322</v>
      </c>
      <c r="B771" t="s">
        <v>14</v>
      </c>
      <c r="C771" t="s">
        <v>29</v>
      </c>
      <c r="D771" t="s">
        <v>16</v>
      </c>
      <c r="E771" t="s">
        <v>27</v>
      </c>
      <c r="F771">
        <v>64739</v>
      </c>
      <c r="G771">
        <v>1599</v>
      </c>
      <c r="H771">
        <v>2.47E-2</v>
      </c>
      <c r="I771">
        <v>3.26</v>
      </c>
      <c r="J771">
        <v>5212.74</v>
      </c>
      <c r="K771">
        <v>109</v>
      </c>
      <c r="L771">
        <v>47.82</v>
      </c>
      <c r="M771">
        <v>22723.24</v>
      </c>
      <c r="N771">
        <v>4.3600000000000003</v>
      </c>
    </row>
    <row r="772" spans="1:14" x14ac:dyDescent="0.25">
      <c r="A772" s="1">
        <v>45418</v>
      </c>
      <c r="B772" t="s">
        <v>14</v>
      </c>
      <c r="C772" t="s">
        <v>15</v>
      </c>
      <c r="D772" t="s">
        <v>19</v>
      </c>
      <c r="E772" t="s">
        <v>20</v>
      </c>
      <c r="F772">
        <v>51666</v>
      </c>
      <c r="G772">
        <v>2965</v>
      </c>
      <c r="H772">
        <v>5.74E-2</v>
      </c>
      <c r="I772">
        <v>2.92</v>
      </c>
      <c r="J772">
        <v>8657.7999999999993</v>
      </c>
      <c r="K772">
        <v>80</v>
      </c>
      <c r="L772">
        <v>108.22</v>
      </c>
      <c r="M772">
        <v>16836.59</v>
      </c>
      <c r="N772">
        <v>1.94</v>
      </c>
    </row>
    <row r="773" spans="1:14" x14ac:dyDescent="0.25">
      <c r="A773" s="1">
        <v>45599</v>
      </c>
      <c r="B773" t="s">
        <v>28</v>
      </c>
      <c r="C773" t="s">
        <v>24</v>
      </c>
      <c r="D773" t="s">
        <v>25</v>
      </c>
      <c r="E773" t="s">
        <v>31</v>
      </c>
      <c r="F773">
        <v>39723</v>
      </c>
      <c r="G773">
        <v>1116</v>
      </c>
      <c r="H773">
        <v>2.81E-2</v>
      </c>
      <c r="I773">
        <v>0.95</v>
      </c>
      <c r="J773">
        <v>1060.2</v>
      </c>
      <c r="K773">
        <v>14</v>
      </c>
      <c r="L773">
        <v>75.73</v>
      </c>
      <c r="M773">
        <v>582.59</v>
      </c>
      <c r="N773">
        <v>0.55000000000000004</v>
      </c>
    </row>
    <row r="774" spans="1:14" x14ac:dyDescent="0.25">
      <c r="A774" s="1">
        <v>45638</v>
      </c>
      <c r="B774" t="s">
        <v>18</v>
      </c>
      <c r="C774" t="s">
        <v>15</v>
      </c>
      <c r="D774" t="s">
        <v>22</v>
      </c>
      <c r="E774" t="s">
        <v>27</v>
      </c>
      <c r="F774">
        <v>163984</v>
      </c>
      <c r="G774">
        <v>12971</v>
      </c>
      <c r="H774">
        <v>7.9100000000000004E-2</v>
      </c>
      <c r="I774">
        <v>1.68</v>
      </c>
      <c r="J774">
        <v>21791.279999999999</v>
      </c>
      <c r="K774">
        <v>962</v>
      </c>
      <c r="L774">
        <v>22.65</v>
      </c>
      <c r="M774">
        <v>170813.74</v>
      </c>
      <c r="N774">
        <v>7.84</v>
      </c>
    </row>
    <row r="775" spans="1:14" x14ac:dyDescent="0.25">
      <c r="A775" s="1">
        <v>45301</v>
      </c>
      <c r="B775" t="s">
        <v>28</v>
      </c>
      <c r="C775" t="s">
        <v>21</v>
      </c>
      <c r="D775" t="s">
        <v>16</v>
      </c>
      <c r="E775" t="s">
        <v>32</v>
      </c>
      <c r="F775">
        <v>51698</v>
      </c>
      <c r="G775">
        <v>1307</v>
      </c>
      <c r="H775">
        <v>2.53E-2</v>
      </c>
      <c r="I775">
        <v>1.96</v>
      </c>
      <c r="J775">
        <v>2561.7199999999998</v>
      </c>
      <c r="K775">
        <v>91</v>
      </c>
      <c r="L775">
        <v>28.15</v>
      </c>
      <c r="M775">
        <v>15551.2</v>
      </c>
      <c r="N775">
        <v>6.07</v>
      </c>
    </row>
    <row r="776" spans="1:14" x14ac:dyDescent="0.25">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row>
    <row r="777" spans="1:14" x14ac:dyDescent="0.25">
      <c r="A777" s="1">
        <v>45573</v>
      </c>
      <c r="B777" t="s">
        <v>14</v>
      </c>
      <c r="C777" t="s">
        <v>21</v>
      </c>
      <c r="D777" t="s">
        <v>16</v>
      </c>
      <c r="E777" t="s">
        <v>17</v>
      </c>
      <c r="F777">
        <v>194099</v>
      </c>
      <c r="G777">
        <v>4774</v>
      </c>
      <c r="H777">
        <v>2.46E-2</v>
      </c>
      <c r="I777">
        <v>2.4900000000000002</v>
      </c>
      <c r="J777">
        <v>11887.26</v>
      </c>
      <c r="K777">
        <v>134</v>
      </c>
      <c r="L777">
        <v>88.71</v>
      </c>
      <c r="M777">
        <v>8446.2099999999991</v>
      </c>
      <c r="N777">
        <v>0.71</v>
      </c>
    </row>
    <row r="778" spans="1:14" x14ac:dyDescent="0.25">
      <c r="A778" s="1">
        <v>45655</v>
      </c>
      <c r="B778" t="s">
        <v>18</v>
      </c>
      <c r="C778" t="s">
        <v>21</v>
      </c>
      <c r="D778" t="s">
        <v>30</v>
      </c>
      <c r="E778" t="s">
        <v>23</v>
      </c>
      <c r="F778">
        <v>11820</v>
      </c>
      <c r="G778">
        <v>366</v>
      </c>
      <c r="H778">
        <v>3.1E-2</v>
      </c>
      <c r="I778">
        <v>1.72</v>
      </c>
      <c r="J778">
        <v>629.52</v>
      </c>
      <c r="K778">
        <v>12</v>
      </c>
      <c r="L778">
        <v>52.46</v>
      </c>
      <c r="M778">
        <v>2301.9899999999998</v>
      </c>
      <c r="N778">
        <v>3.66</v>
      </c>
    </row>
    <row r="779" spans="1:14" x14ac:dyDescent="0.25">
      <c r="A779" s="1">
        <v>45642</v>
      </c>
      <c r="B779" t="s">
        <v>18</v>
      </c>
      <c r="C779" t="s">
        <v>15</v>
      </c>
      <c r="D779" t="s">
        <v>25</v>
      </c>
      <c r="E779" t="s">
        <v>23</v>
      </c>
      <c r="F779">
        <v>56782</v>
      </c>
      <c r="G779">
        <v>3264</v>
      </c>
      <c r="H779">
        <v>5.7500000000000002E-2</v>
      </c>
      <c r="I779">
        <v>0.8</v>
      </c>
      <c r="J779">
        <v>2611.1999999999998</v>
      </c>
      <c r="K779">
        <v>154</v>
      </c>
      <c r="L779">
        <v>16.96</v>
      </c>
      <c r="M779">
        <v>15749.58</v>
      </c>
      <c r="N779">
        <v>6.03</v>
      </c>
    </row>
    <row r="780" spans="1:14" x14ac:dyDescent="0.25">
      <c r="A780" s="1">
        <v>45517</v>
      </c>
      <c r="B780" t="s">
        <v>18</v>
      </c>
      <c r="C780" t="s">
        <v>21</v>
      </c>
      <c r="D780" t="s">
        <v>25</v>
      </c>
      <c r="E780" t="s">
        <v>20</v>
      </c>
      <c r="F780">
        <v>191894</v>
      </c>
      <c r="G780">
        <v>7138</v>
      </c>
      <c r="H780">
        <v>3.7199999999999997E-2</v>
      </c>
      <c r="I780">
        <v>0.77</v>
      </c>
      <c r="J780">
        <v>5496.26</v>
      </c>
      <c r="K780">
        <v>380</v>
      </c>
      <c r="L780">
        <v>14.46</v>
      </c>
      <c r="M780">
        <v>85112.1</v>
      </c>
      <c r="N780">
        <v>15.49</v>
      </c>
    </row>
    <row r="781" spans="1:14" x14ac:dyDescent="0.25">
      <c r="A781" s="1">
        <v>45310</v>
      </c>
      <c r="B781" t="s">
        <v>14</v>
      </c>
      <c r="C781" t="s">
        <v>24</v>
      </c>
      <c r="D781" t="s">
        <v>16</v>
      </c>
      <c r="E781" t="s">
        <v>20</v>
      </c>
      <c r="F781">
        <v>55075</v>
      </c>
      <c r="G781">
        <v>3056</v>
      </c>
      <c r="H781">
        <v>5.5500000000000001E-2</v>
      </c>
      <c r="I781">
        <v>2.36</v>
      </c>
      <c r="J781">
        <v>7212.16</v>
      </c>
      <c r="K781">
        <v>156</v>
      </c>
      <c r="L781">
        <v>46.23</v>
      </c>
      <c r="M781">
        <v>5145.3100000000004</v>
      </c>
      <c r="N781">
        <v>0.71</v>
      </c>
    </row>
    <row r="782" spans="1:14" x14ac:dyDescent="0.25">
      <c r="A782" s="1">
        <v>45410</v>
      </c>
      <c r="B782" t="s">
        <v>14</v>
      </c>
      <c r="C782" t="s">
        <v>24</v>
      </c>
      <c r="D782" t="s">
        <v>19</v>
      </c>
      <c r="E782" t="s">
        <v>31</v>
      </c>
      <c r="F782">
        <v>81830</v>
      </c>
      <c r="G782">
        <v>4091</v>
      </c>
      <c r="H782">
        <v>0.05</v>
      </c>
      <c r="I782">
        <v>1.45</v>
      </c>
      <c r="J782">
        <v>5931.95</v>
      </c>
      <c r="K782">
        <v>49</v>
      </c>
      <c r="L782">
        <v>121.06</v>
      </c>
      <c r="M782">
        <v>7206.83</v>
      </c>
      <c r="N782">
        <v>1.21</v>
      </c>
    </row>
    <row r="783" spans="1:14" x14ac:dyDescent="0.25">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row>
    <row r="784" spans="1:14" x14ac:dyDescent="0.25">
      <c r="A784" s="1">
        <v>45550</v>
      </c>
      <c r="B784" t="s">
        <v>28</v>
      </c>
      <c r="C784" t="s">
        <v>15</v>
      </c>
      <c r="D784" t="s">
        <v>25</v>
      </c>
      <c r="E784" t="s">
        <v>27</v>
      </c>
      <c r="F784">
        <v>9521</v>
      </c>
      <c r="G784">
        <v>237</v>
      </c>
      <c r="H784">
        <v>2.4899999999999999E-2</v>
      </c>
      <c r="I784">
        <v>1.77</v>
      </c>
      <c r="J784">
        <v>419.49</v>
      </c>
      <c r="K784">
        <v>17</v>
      </c>
      <c r="L784">
        <v>24.68</v>
      </c>
      <c r="M784">
        <v>1502.31</v>
      </c>
      <c r="N784">
        <v>3.58</v>
      </c>
    </row>
    <row r="785" spans="1:14" x14ac:dyDescent="0.25">
      <c r="A785" s="1">
        <v>45396</v>
      </c>
      <c r="B785" t="s">
        <v>18</v>
      </c>
      <c r="C785" t="s">
        <v>15</v>
      </c>
      <c r="D785" t="s">
        <v>30</v>
      </c>
      <c r="E785" t="s">
        <v>20</v>
      </c>
      <c r="F785">
        <v>88115</v>
      </c>
      <c r="G785">
        <v>5383</v>
      </c>
      <c r="H785">
        <v>6.1100000000000002E-2</v>
      </c>
      <c r="I785">
        <v>0.68</v>
      </c>
      <c r="J785">
        <v>3660.44</v>
      </c>
      <c r="K785">
        <v>121</v>
      </c>
      <c r="L785">
        <v>30.25</v>
      </c>
      <c r="M785">
        <v>28357.39</v>
      </c>
      <c r="N785">
        <v>7.75</v>
      </c>
    </row>
    <row r="786" spans="1:14" x14ac:dyDescent="0.25">
      <c r="A786" s="1">
        <v>45467</v>
      </c>
      <c r="B786" t="s">
        <v>14</v>
      </c>
      <c r="C786" t="s">
        <v>24</v>
      </c>
      <c r="D786" t="s">
        <v>30</v>
      </c>
      <c r="E786" t="s">
        <v>26</v>
      </c>
      <c r="F786">
        <v>184030</v>
      </c>
      <c r="G786">
        <v>5649</v>
      </c>
      <c r="H786">
        <v>3.0700000000000002E-2</v>
      </c>
      <c r="I786">
        <v>2.23</v>
      </c>
      <c r="J786">
        <v>12597.27</v>
      </c>
      <c r="K786">
        <v>90</v>
      </c>
      <c r="L786">
        <v>139.97</v>
      </c>
      <c r="M786">
        <v>23192.98</v>
      </c>
      <c r="N786">
        <v>1.84</v>
      </c>
    </row>
    <row r="787" spans="1:14" x14ac:dyDescent="0.25">
      <c r="A787" s="1">
        <v>45525</v>
      </c>
      <c r="B787" t="s">
        <v>28</v>
      </c>
      <c r="C787" t="s">
        <v>21</v>
      </c>
      <c r="D787" t="s">
        <v>19</v>
      </c>
      <c r="E787" t="s">
        <v>20</v>
      </c>
      <c r="F787">
        <v>151729</v>
      </c>
      <c r="G787">
        <v>4491</v>
      </c>
      <c r="H787">
        <v>2.9600000000000001E-2</v>
      </c>
      <c r="I787">
        <v>1.85</v>
      </c>
      <c r="J787">
        <v>8308.35</v>
      </c>
      <c r="K787">
        <v>228</v>
      </c>
      <c r="L787">
        <v>36.44</v>
      </c>
      <c r="M787">
        <v>48165.440000000002</v>
      </c>
      <c r="N787">
        <v>5.8</v>
      </c>
    </row>
    <row r="788" spans="1:14" x14ac:dyDescent="0.25">
      <c r="A788" s="1">
        <v>45346</v>
      </c>
      <c r="B788" t="s">
        <v>18</v>
      </c>
      <c r="C788" t="s">
        <v>21</v>
      </c>
      <c r="D788" t="s">
        <v>25</v>
      </c>
      <c r="E788" t="s">
        <v>31</v>
      </c>
      <c r="F788">
        <v>68176</v>
      </c>
      <c r="G788">
        <v>2679</v>
      </c>
      <c r="H788">
        <v>3.9300000000000002E-2</v>
      </c>
      <c r="I788">
        <v>1.24</v>
      </c>
      <c r="J788">
        <v>3321.96</v>
      </c>
      <c r="K788">
        <v>173</v>
      </c>
      <c r="L788">
        <v>19.2</v>
      </c>
      <c r="M788">
        <v>19288.91</v>
      </c>
      <c r="N788">
        <v>5.81</v>
      </c>
    </row>
    <row r="789" spans="1:14" x14ac:dyDescent="0.25">
      <c r="A789" s="1">
        <v>45577</v>
      </c>
      <c r="B789" t="s">
        <v>28</v>
      </c>
      <c r="C789" t="s">
        <v>24</v>
      </c>
      <c r="D789" t="s">
        <v>22</v>
      </c>
      <c r="E789" t="s">
        <v>17</v>
      </c>
      <c r="F789">
        <v>160136</v>
      </c>
      <c r="G789">
        <v>6581</v>
      </c>
      <c r="H789">
        <v>4.1099999999999998E-2</v>
      </c>
      <c r="I789">
        <v>0.4</v>
      </c>
      <c r="J789">
        <v>2632.4</v>
      </c>
      <c r="K789">
        <v>393</v>
      </c>
      <c r="L789">
        <v>6.7</v>
      </c>
      <c r="M789">
        <v>81942.570000000007</v>
      </c>
      <c r="N789">
        <v>31.13</v>
      </c>
    </row>
    <row r="790" spans="1:14" x14ac:dyDescent="0.25">
      <c r="A790" s="1">
        <v>45404</v>
      </c>
      <c r="B790" t="s">
        <v>14</v>
      </c>
      <c r="C790" t="s">
        <v>21</v>
      </c>
      <c r="D790" t="s">
        <v>22</v>
      </c>
      <c r="E790" t="s">
        <v>27</v>
      </c>
      <c r="F790">
        <v>164504</v>
      </c>
      <c r="G790">
        <v>3322</v>
      </c>
      <c r="H790">
        <v>2.0199999999999999E-2</v>
      </c>
      <c r="I790">
        <v>2.0699999999999998</v>
      </c>
      <c r="J790">
        <v>6876.54</v>
      </c>
      <c r="K790">
        <v>96</v>
      </c>
      <c r="L790">
        <v>71.63</v>
      </c>
      <c r="M790">
        <v>10570.76</v>
      </c>
      <c r="N790">
        <v>1.54</v>
      </c>
    </row>
    <row r="791" spans="1:14" x14ac:dyDescent="0.25">
      <c r="A791" s="1">
        <v>45402</v>
      </c>
      <c r="B791" t="s">
        <v>18</v>
      </c>
      <c r="C791" t="s">
        <v>29</v>
      </c>
      <c r="D791" t="s">
        <v>22</v>
      </c>
      <c r="E791" t="s">
        <v>32</v>
      </c>
      <c r="F791">
        <v>111399</v>
      </c>
      <c r="G791">
        <v>4155</v>
      </c>
      <c r="H791">
        <v>3.73E-2</v>
      </c>
      <c r="I791">
        <v>1.22</v>
      </c>
      <c r="J791">
        <v>5069.1000000000004</v>
      </c>
      <c r="K791">
        <v>176</v>
      </c>
      <c r="L791">
        <v>28.8</v>
      </c>
      <c r="M791">
        <v>18559.099999999999</v>
      </c>
      <c r="N791">
        <v>3.66</v>
      </c>
    </row>
    <row r="792" spans="1:14" x14ac:dyDescent="0.25">
      <c r="A792" s="1">
        <v>45502</v>
      </c>
      <c r="B792" t="s">
        <v>14</v>
      </c>
      <c r="C792" t="s">
        <v>15</v>
      </c>
      <c r="D792" t="s">
        <v>30</v>
      </c>
      <c r="E792" t="s">
        <v>26</v>
      </c>
      <c r="F792">
        <v>135011</v>
      </c>
      <c r="G792">
        <v>3496</v>
      </c>
      <c r="H792">
        <v>2.5899999999999999E-2</v>
      </c>
      <c r="I792">
        <v>1.89</v>
      </c>
      <c r="J792">
        <v>6607.44</v>
      </c>
      <c r="K792">
        <v>254</v>
      </c>
      <c r="L792">
        <v>26.01</v>
      </c>
      <c r="M792">
        <v>69461.440000000002</v>
      </c>
      <c r="N792">
        <v>10.51</v>
      </c>
    </row>
    <row r="793" spans="1:14" x14ac:dyDescent="0.25">
      <c r="A793" s="1">
        <v>45508</v>
      </c>
      <c r="B793" t="s">
        <v>14</v>
      </c>
      <c r="C793" t="s">
        <v>29</v>
      </c>
      <c r="D793" t="s">
        <v>22</v>
      </c>
      <c r="E793" t="s">
        <v>23</v>
      </c>
      <c r="F793">
        <v>24359</v>
      </c>
      <c r="G793">
        <v>1461</v>
      </c>
      <c r="H793">
        <v>0.06</v>
      </c>
      <c r="I793">
        <v>2.34</v>
      </c>
      <c r="J793">
        <v>3418.74</v>
      </c>
      <c r="K793">
        <v>35</v>
      </c>
      <c r="L793">
        <v>97.68</v>
      </c>
      <c r="M793">
        <v>4110.3900000000003</v>
      </c>
      <c r="N793">
        <v>1.2</v>
      </c>
    </row>
    <row r="794" spans="1:14" x14ac:dyDescent="0.25">
      <c r="A794" s="1">
        <v>45435</v>
      </c>
      <c r="B794" t="s">
        <v>28</v>
      </c>
      <c r="C794" t="s">
        <v>24</v>
      </c>
      <c r="D794" t="s">
        <v>22</v>
      </c>
      <c r="E794" t="s">
        <v>20</v>
      </c>
      <c r="F794">
        <v>130611</v>
      </c>
      <c r="G794">
        <v>2207</v>
      </c>
      <c r="H794">
        <v>1.6899999999999998E-2</v>
      </c>
      <c r="I794">
        <v>0.73</v>
      </c>
      <c r="J794">
        <v>1611.11</v>
      </c>
      <c r="K794">
        <v>44</v>
      </c>
      <c r="L794">
        <v>36.619999999999997</v>
      </c>
      <c r="M794">
        <v>9567.41</v>
      </c>
      <c r="N794">
        <v>5.94</v>
      </c>
    </row>
    <row r="795" spans="1:14" x14ac:dyDescent="0.25">
      <c r="A795" s="1">
        <v>45629</v>
      </c>
      <c r="B795" t="s">
        <v>18</v>
      </c>
      <c r="C795" t="s">
        <v>15</v>
      </c>
      <c r="D795" t="s">
        <v>25</v>
      </c>
      <c r="E795" t="s">
        <v>20</v>
      </c>
      <c r="F795">
        <v>156601</v>
      </c>
      <c r="G795">
        <v>8628</v>
      </c>
      <c r="H795">
        <v>5.5100000000000003E-2</v>
      </c>
      <c r="I795">
        <v>0.31</v>
      </c>
      <c r="J795">
        <v>2674.68</v>
      </c>
      <c r="K795">
        <v>362</v>
      </c>
      <c r="L795">
        <v>7.39</v>
      </c>
      <c r="M795">
        <v>23745.71</v>
      </c>
      <c r="N795">
        <v>8.8800000000000008</v>
      </c>
    </row>
    <row r="796" spans="1:14" x14ac:dyDescent="0.25">
      <c r="A796" s="1">
        <v>45625</v>
      </c>
      <c r="B796" t="s">
        <v>28</v>
      </c>
      <c r="C796" t="s">
        <v>15</v>
      </c>
      <c r="D796" t="s">
        <v>25</v>
      </c>
      <c r="E796" t="s">
        <v>26</v>
      </c>
      <c r="F796">
        <v>172967</v>
      </c>
      <c r="G796">
        <v>5016</v>
      </c>
      <c r="H796">
        <v>2.9000000000000001E-2</v>
      </c>
      <c r="I796">
        <v>2.08</v>
      </c>
      <c r="J796">
        <v>10433.280000000001</v>
      </c>
      <c r="K796">
        <v>331</v>
      </c>
      <c r="L796">
        <v>31.52</v>
      </c>
      <c r="M796">
        <v>75767.62</v>
      </c>
      <c r="N796">
        <v>7.26</v>
      </c>
    </row>
    <row r="797" spans="1:14" x14ac:dyDescent="0.25">
      <c r="A797" s="1">
        <v>45395</v>
      </c>
      <c r="B797" t="s">
        <v>14</v>
      </c>
      <c r="C797" t="s">
        <v>24</v>
      </c>
      <c r="D797" t="s">
        <v>25</v>
      </c>
      <c r="E797" t="s">
        <v>27</v>
      </c>
      <c r="F797">
        <v>165104</v>
      </c>
      <c r="G797">
        <v>7958</v>
      </c>
      <c r="H797">
        <v>4.82E-2</v>
      </c>
      <c r="I797">
        <v>3.09</v>
      </c>
      <c r="J797">
        <v>24590.22</v>
      </c>
      <c r="K797">
        <v>105</v>
      </c>
      <c r="L797">
        <v>234.19</v>
      </c>
      <c r="M797">
        <v>29946.1</v>
      </c>
      <c r="N797">
        <v>1.22</v>
      </c>
    </row>
    <row r="798" spans="1:14" x14ac:dyDescent="0.25">
      <c r="A798" s="1">
        <v>45308</v>
      </c>
      <c r="B798" t="s">
        <v>14</v>
      </c>
      <c r="C798" t="s">
        <v>21</v>
      </c>
      <c r="D798" t="s">
        <v>16</v>
      </c>
      <c r="E798" t="s">
        <v>27</v>
      </c>
      <c r="F798">
        <v>49109</v>
      </c>
      <c r="G798">
        <v>1203</v>
      </c>
      <c r="H798">
        <v>2.4500000000000001E-2</v>
      </c>
      <c r="I798">
        <v>3.26</v>
      </c>
      <c r="J798">
        <v>3921.78</v>
      </c>
      <c r="K798">
        <v>25</v>
      </c>
      <c r="L798">
        <v>156.87</v>
      </c>
      <c r="M798">
        <v>4734.6099999999997</v>
      </c>
      <c r="N798">
        <v>1.21</v>
      </c>
    </row>
    <row r="799" spans="1:14" x14ac:dyDescent="0.25">
      <c r="A799" s="1">
        <v>45651</v>
      </c>
      <c r="B799" t="s">
        <v>28</v>
      </c>
      <c r="C799" t="s">
        <v>24</v>
      </c>
      <c r="D799" t="s">
        <v>25</v>
      </c>
      <c r="E799" t="s">
        <v>20</v>
      </c>
      <c r="F799">
        <v>46291</v>
      </c>
      <c r="G799">
        <v>1976</v>
      </c>
      <c r="H799">
        <v>4.2700000000000002E-2</v>
      </c>
      <c r="I799">
        <v>0.73</v>
      </c>
      <c r="J799">
        <v>1442.48</v>
      </c>
      <c r="K799">
        <v>74</v>
      </c>
      <c r="L799">
        <v>19.489999999999998</v>
      </c>
      <c r="M799">
        <v>2307.39</v>
      </c>
      <c r="N799">
        <v>1.6</v>
      </c>
    </row>
    <row r="800" spans="1:14" x14ac:dyDescent="0.25">
      <c r="A800" s="1">
        <v>45506</v>
      </c>
      <c r="B800" t="s">
        <v>14</v>
      </c>
      <c r="C800" t="s">
        <v>21</v>
      </c>
      <c r="D800" t="s">
        <v>16</v>
      </c>
      <c r="E800" t="s">
        <v>26</v>
      </c>
      <c r="F800">
        <v>33750</v>
      </c>
      <c r="G800">
        <v>1410</v>
      </c>
      <c r="H800">
        <v>4.1799999999999997E-2</v>
      </c>
      <c r="I800">
        <v>1.91</v>
      </c>
      <c r="J800">
        <v>2693.1</v>
      </c>
      <c r="K800">
        <v>106</v>
      </c>
      <c r="L800">
        <v>25.41</v>
      </c>
      <c r="M800">
        <v>5682.79</v>
      </c>
      <c r="N800">
        <v>2.11</v>
      </c>
    </row>
    <row r="801" spans="1:14" x14ac:dyDescent="0.25">
      <c r="A801" s="1">
        <v>45317</v>
      </c>
      <c r="B801" t="s">
        <v>28</v>
      </c>
      <c r="C801" t="s">
        <v>15</v>
      </c>
      <c r="D801" t="s">
        <v>22</v>
      </c>
      <c r="E801" t="s">
        <v>23</v>
      </c>
      <c r="F801">
        <v>177593</v>
      </c>
      <c r="G801">
        <v>1811</v>
      </c>
      <c r="H801">
        <v>1.0200000000000001E-2</v>
      </c>
      <c r="I801">
        <v>0.79</v>
      </c>
      <c r="J801">
        <v>1430.69</v>
      </c>
      <c r="K801">
        <v>128</v>
      </c>
      <c r="L801">
        <v>11.18</v>
      </c>
      <c r="M801">
        <v>17092.48</v>
      </c>
      <c r="N801">
        <v>11.95</v>
      </c>
    </row>
    <row r="802" spans="1:14" x14ac:dyDescent="0.25">
      <c r="A802" s="1">
        <v>45374</v>
      </c>
      <c r="B802" t="s">
        <v>14</v>
      </c>
      <c r="C802" t="s">
        <v>29</v>
      </c>
      <c r="D802" t="s">
        <v>25</v>
      </c>
      <c r="E802" t="s">
        <v>31</v>
      </c>
      <c r="F802">
        <v>150465</v>
      </c>
      <c r="G802">
        <v>5311</v>
      </c>
      <c r="H802">
        <v>3.5299999999999998E-2</v>
      </c>
      <c r="I802">
        <v>3.13</v>
      </c>
      <c r="J802">
        <v>16623.43</v>
      </c>
      <c r="K802">
        <v>295</v>
      </c>
      <c r="L802">
        <v>56.35</v>
      </c>
      <c r="M802">
        <v>57602.12</v>
      </c>
      <c r="N802">
        <v>3.47</v>
      </c>
    </row>
    <row r="803" spans="1:14" x14ac:dyDescent="0.25">
      <c r="A803" s="1">
        <v>45634</v>
      </c>
      <c r="B803" t="s">
        <v>18</v>
      </c>
      <c r="C803" t="s">
        <v>24</v>
      </c>
      <c r="D803" t="s">
        <v>25</v>
      </c>
      <c r="E803" t="s">
        <v>27</v>
      </c>
      <c r="F803">
        <v>25860</v>
      </c>
      <c r="G803">
        <v>1569</v>
      </c>
      <c r="H803">
        <v>6.0699999999999997E-2</v>
      </c>
      <c r="I803">
        <v>1.08</v>
      </c>
      <c r="J803">
        <v>1694.52</v>
      </c>
      <c r="K803">
        <v>79</v>
      </c>
      <c r="L803">
        <v>21.45</v>
      </c>
      <c r="M803">
        <v>13162.62</v>
      </c>
      <c r="N803">
        <v>7.77</v>
      </c>
    </row>
    <row r="804" spans="1:14" x14ac:dyDescent="0.25">
      <c r="A804" s="1">
        <v>45521</v>
      </c>
      <c r="B804" t="s">
        <v>14</v>
      </c>
      <c r="C804" t="s">
        <v>29</v>
      </c>
      <c r="D804" t="s">
        <v>25</v>
      </c>
      <c r="E804" t="s">
        <v>26</v>
      </c>
      <c r="F804">
        <v>41375</v>
      </c>
      <c r="G804">
        <v>2350</v>
      </c>
      <c r="H804">
        <v>5.6800000000000003E-2</v>
      </c>
      <c r="I804">
        <v>2.2000000000000002</v>
      </c>
      <c r="J804">
        <v>5170</v>
      </c>
      <c r="K804">
        <v>148</v>
      </c>
      <c r="L804">
        <v>34.93</v>
      </c>
      <c r="M804">
        <v>14702.27</v>
      </c>
      <c r="N804">
        <v>2.84</v>
      </c>
    </row>
    <row r="805" spans="1:14" x14ac:dyDescent="0.25">
      <c r="A805" s="1">
        <v>45410</v>
      </c>
      <c r="B805" t="s">
        <v>28</v>
      </c>
      <c r="C805" t="s">
        <v>29</v>
      </c>
      <c r="D805" t="s">
        <v>25</v>
      </c>
      <c r="E805" t="s">
        <v>17</v>
      </c>
      <c r="F805">
        <v>26159</v>
      </c>
      <c r="G805">
        <v>782</v>
      </c>
      <c r="H805">
        <v>2.9899999999999999E-2</v>
      </c>
      <c r="I805">
        <v>1.51</v>
      </c>
      <c r="J805">
        <v>1180.82</v>
      </c>
      <c r="K805">
        <v>52</v>
      </c>
      <c r="L805">
        <v>22.71</v>
      </c>
      <c r="M805">
        <v>8689.2900000000009</v>
      </c>
      <c r="N805">
        <v>7.36</v>
      </c>
    </row>
    <row r="806" spans="1:14" x14ac:dyDescent="0.25">
      <c r="A806" s="1">
        <v>45328</v>
      </c>
      <c r="B806" t="s">
        <v>28</v>
      </c>
      <c r="C806" t="s">
        <v>29</v>
      </c>
      <c r="D806" t="s">
        <v>19</v>
      </c>
      <c r="E806" t="s">
        <v>31</v>
      </c>
      <c r="F806">
        <v>184541</v>
      </c>
      <c r="G806">
        <v>3063</v>
      </c>
      <c r="H806">
        <v>1.66E-2</v>
      </c>
      <c r="I806">
        <v>1.72</v>
      </c>
      <c r="J806">
        <v>5268.36</v>
      </c>
      <c r="K806">
        <v>215</v>
      </c>
      <c r="L806">
        <v>24.5</v>
      </c>
      <c r="M806">
        <v>16566.88</v>
      </c>
      <c r="N806">
        <v>3.14</v>
      </c>
    </row>
    <row r="807" spans="1:14" x14ac:dyDescent="0.25">
      <c r="A807" s="1">
        <v>45535</v>
      </c>
      <c r="B807" t="s">
        <v>28</v>
      </c>
      <c r="C807" t="s">
        <v>21</v>
      </c>
      <c r="D807" t="s">
        <v>30</v>
      </c>
      <c r="E807" t="s">
        <v>17</v>
      </c>
      <c r="F807">
        <v>196373</v>
      </c>
      <c r="G807">
        <v>5184</v>
      </c>
      <c r="H807">
        <v>2.64E-2</v>
      </c>
      <c r="I807">
        <v>0.86</v>
      </c>
      <c r="J807">
        <v>4458.24</v>
      </c>
      <c r="K807">
        <v>173</v>
      </c>
      <c r="L807">
        <v>25.77</v>
      </c>
      <c r="M807">
        <v>36583.06</v>
      </c>
      <c r="N807">
        <v>8.2100000000000009</v>
      </c>
    </row>
    <row r="808" spans="1:14" x14ac:dyDescent="0.25">
      <c r="A808" s="1">
        <v>45301</v>
      </c>
      <c r="B808" t="s">
        <v>14</v>
      </c>
      <c r="C808" t="s">
        <v>21</v>
      </c>
      <c r="D808" t="s">
        <v>22</v>
      </c>
      <c r="E808" t="s">
        <v>32</v>
      </c>
      <c r="F808">
        <v>131031</v>
      </c>
      <c r="G808">
        <v>6092</v>
      </c>
      <c r="H808">
        <v>4.65E-2</v>
      </c>
      <c r="I808">
        <v>2.94</v>
      </c>
      <c r="J808">
        <v>17910.48</v>
      </c>
      <c r="K808">
        <v>482</v>
      </c>
      <c r="L808">
        <v>37.159999999999997</v>
      </c>
      <c r="M808">
        <v>116431.98</v>
      </c>
      <c r="N808">
        <v>6.5</v>
      </c>
    </row>
    <row r="809" spans="1:14" x14ac:dyDescent="0.25">
      <c r="A809" s="1">
        <v>45306</v>
      </c>
      <c r="B809" t="s">
        <v>28</v>
      </c>
      <c r="C809" t="s">
        <v>15</v>
      </c>
      <c r="D809" t="s">
        <v>19</v>
      </c>
      <c r="E809" t="s">
        <v>26</v>
      </c>
      <c r="F809">
        <v>113269</v>
      </c>
      <c r="G809">
        <v>3182</v>
      </c>
      <c r="H809">
        <v>2.81E-2</v>
      </c>
      <c r="I809">
        <v>1.53</v>
      </c>
      <c r="J809">
        <v>4868.46</v>
      </c>
      <c r="K809">
        <v>185</v>
      </c>
      <c r="L809">
        <v>26.32</v>
      </c>
      <c r="M809">
        <v>53909.5</v>
      </c>
      <c r="N809">
        <v>11.07</v>
      </c>
    </row>
    <row r="810" spans="1:14" x14ac:dyDescent="0.25">
      <c r="A810" s="1">
        <v>45623</v>
      </c>
      <c r="B810" t="s">
        <v>18</v>
      </c>
      <c r="C810" t="s">
        <v>21</v>
      </c>
      <c r="D810" t="s">
        <v>25</v>
      </c>
      <c r="E810" t="s">
        <v>23</v>
      </c>
      <c r="F810">
        <v>92346</v>
      </c>
      <c r="G810">
        <v>6815</v>
      </c>
      <c r="H810">
        <v>7.3800000000000004E-2</v>
      </c>
      <c r="I810">
        <v>0.82</v>
      </c>
      <c r="J810">
        <v>5588.3</v>
      </c>
      <c r="K810">
        <v>469</v>
      </c>
      <c r="L810">
        <v>11.92</v>
      </c>
      <c r="M810">
        <v>125930.93</v>
      </c>
      <c r="N810">
        <v>22.53</v>
      </c>
    </row>
    <row r="811" spans="1:14" x14ac:dyDescent="0.25">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row>
    <row r="812" spans="1:14" x14ac:dyDescent="0.25">
      <c r="A812" s="1">
        <v>45484</v>
      </c>
      <c r="B812" t="s">
        <v>28</v>
      </c>
      <c r="C812" t="s">
        <v>21</v>
      </c>
      <c r="D812" t="s">
        <v>25</v>
      </c>
      <c r="E812" t="s">
        <v>20</v>
      </c>
      <c r="F812">
        <v>194137</v>
      </c>
      <c r="G812">
        <v>2640</v>
      </c>
      <c r="H812">
        <v>1.3599999999999999E-2</v>
      </c>
      <c r="I812">
        <v>2.41</v>
      </c>
      <c r="J812">
        <v>6362.4</v>
      </c>
      <c r="K812">
        <v>49</v>
      </c>
      <c r="L812">
        <v>129.84</v>
      </c>
      <c r="M812">
        <v>6668.85</v>
      </c>
      <c r="N812">
        <v>1.05</v>
      </c>
    </row>
    <row r="813" spans="1:14" x14ac:dyDescent="0.25">
      <c r="A813" s="1">
        <v>45315</v>
      </c>
      <c r="B813" t="s">
        <v>18</v>
      </c>
      <c r="C813" t="s">
        <v>24</v>
      </c>
      <c r="D813" t="s">
        <v>19</v>
      </c>
      <c r="E813" t="s">
        <v>20</v>
      </c>
      <c r="F813">
        <v>79967</v>
      </c>
      <c r="G813">
        <v>2327</v>
      </c>
      <c r="H813">
        <v>2.9100000000000001E-2</v>
      </c>
      <c r="I813">
        <v>1.05</v>
      </c>
      <c r="J813">
        <v>2443.35</v>
      </c>
      <c r="K813">
        <v>43</v>
      </c>
      <c r="L813">
        <v>56.82</v>
      </c>
      <c r="M813">
        <v>11334.87</v>
      </c>
      <c r="N813">
        <v>4.6399999999999997</v>
      </c>
    </row>
    <row r="814" spans="1:14" x14ac:dyDescent="0.25">
      <c r="A814" s="1">
        <v>45535</v>
      </c>
      <c r="B814" t="s">
        <v>28</v>
      </c>
      <c r="C814" t="s">
        <v>21</v>
      </c>
      <c r="D814" t="s">
        <v>30</v>
      </c>
      <c r="E814" t="s">
        <v>17</v>
      </c>
      <c r="F814">
        <v>60919</v>
      </c>
      <c r="G814">
        <v>1851</v>
      </c>
      <c r="H814">
        <v>3.04E-2</v>
      </c>
      <c r="I814">
        <v>1.79</v>
      </c>
      <c r="J814">
        <v>3313.29</v>
      </c>
      <c r="K814">
        <v>131</v>
      </c>
      <c r="L814">
        <v>25.29</v>
      </c>
      <c r="M814">
        <v>19210.72</v>
      </c>
      <c r="N814">
        <v>5.8</v>
      </c>
    </row>
    <row r="815" spans="1:14" x14ac:dyDescent="0.25">
      <c r="A815" s="1">
        <v>45562</v>
      </c>
      <c r="B815" t="s">
        <v>18</v>
      </c>
      <c r="C815" t="s">
        <v>15</v>
      </c>
      <c r="D815" t="s">
        <v>25</v>
      </c>
      <c r="E815" t="s">
        <v>27</v>
      </c>
      <c r="F815">
        <v>40886</v>
      </c>
      <c r="G815">
        <v>1782</v>
      </c>
      <c r="H815">
        <v>4.36E-2</v>
      </c>
      <c r="I815">
        <v>0.55000000000000004</v>
      </c>
      <c r="J815">
        <v>980.1</v>
      </c>
      <c r="K815">
        <v>132</v>
      </c>
      <c r="L815">
        <v>7.42</v>
      </c>
      <c r="M815">
        <v>28189.38</v>
      </c>
      <c r="N815">
        <v>28.76</v>
      </c>
    </row>
    <row r="816" spans="1:14" x14ac:dyDescent="0.25">
      <c r="A816" s="1">
        <v>45381</v>
      </c>
      <c r="B816" t="s">
        <v>18</v>
      </c>
      <c r="C816" t="s">
        <v>24</v>
      </c>
      <c r="D816" t="s">
        <v>25</v>
      </c>
      <c r="E816" t="s">
        <v>31</v>
      </c>
      <c r="F816">
        <v>37646</v>
      </c>
      <c r="G816">
        <v>1874</v>
      </c>
      <c r="H816">
        <v>4.9799999999999997E-2</v>
      </c>
      <c r="I816">
        <v>1.1000000000000001</v>
      </c>
      <c r="J816">
        <v>2061.4</v>
      </c>
      <c r="K816">
        <v>144</v>
      </c>
      <c r="L816">
        <v>14.32</v>
      </c>
      <c r="M816">
        <v>16795.87</v>
      </c>
      <c r="N816">
        <v>8.15</v>
      </c>
    </row>
    <row r="817" spans="1:14" x14ac:dyDescent="0.25">
      <c r="A817" s="1">
        <v>45366</v>
      </c>
      <c r="B817" t="s">
        <v>28</v>
      </c>
      <c r="C817" t="s">
        <v>15</v>
      </c>
      <c r="D817" t="s">
        <v>19</v>
      </c>
      <c r="E817" t="s">
        <v>26</v>
      </c>
      <c r="F817">
        <v>117529</v>
      </c>
      <c r="G817">
        <v>4266</v>
      </c>
      <c r="H817">
        <v>3.6299999999999999E-2</v>
      </c>
      <c r="I817">
        <v>1.03</v>
      </c>
      <c r="J817">
        <v>4393.9799999999996</v>
      </c>
      <c r="K817">
        <v>308</v>
      </c>
      <c r="L817">
        <v>14.27</v>
      </c>
      <c r="M817">
        <v>62119.33</v>
      </c>
      <c r="N817">
        <v>14.14</v>
      </c>
    </row>
    <row r="818" spans="1:14" x14ac:dyDescent="0.25">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row>
    <row r="819" spans="1:14" x14ac:dyDescent="0.25">
      <c r="A819" s="1">
        <v>45443</v>
      </c>
      <c r="B819" t="s">
        <v>28</v>
      </c>
      <c r="C819" t="s">
        <v>21</v>
      </c>
      <c r="D819" t="s">
        <v>30</v>
      </c>
      <c r="E819" t="s">
        <v>26</v>
      </c>
      <c r="F819">
        <v>196929</v>
      </c>
      <c r="G819">
        <v>2382</v>
      </c>
      <c r="H819">
        <v>1.21E-2</v>
      </c>
      <c r="I819">
        <v>1.3</v>
      </c>
      <c r="J819">
        <v>3096.6</v>
      </c>
      <c r="K819">
        <v>143</v>
      </c>
      <c r="L819">
        <v>21.65</v>
      </c>
      <c r="M819">
        <v>38447.589999999997</v>
      </c>
      <c r="N819">
        <v>12.42</v>
      </c>
    </row>
    <row r="820" spans="1:14" x14ac:dyDescent="0.25">
      <c r="A820" s="1">
        <v>45585</v>
      </c>
      <c r="B820" t="s">
        <v>14</v>
      </c>
      <c r="C820" t="s">
        <v>15</v>
      </c>
      <c r="D820" t="s">
        <v>22</v>
      </c>
      <c r="E820" t="s">
        <v>26</v>
      </c>
      <c r="F820">
        <v>91491</v>
      </c>
      <c r="G820">
        <v>4053</v>
      </c>
      <c r="H820">
        <v>4.4299999999999999E-2</v>
      </c>
      <c r="I820">
        <v>1.74</v>
      </c>
      <c r="J820">
        <v>7052.22</v>
      </c>
      <c r="K820">
        <v>140</v>
      </c>
      <c r="L820">
        <v>50.37</v>
      </c>
      <c r="M820">
        <v>19432.37</v>
      </c>
      <c r="N820">
        <v>2.76</v>
      </c>
    </row>
    <row r="821" spans="1:14" x14ac:dyDescent="0.25">
      <c r="A821" s="1">
        <v>45630</v>
      </c>
      <c r="B821" t="s">
        <v>14</v>
      </c>
      <c r="C821" t="s">
        <v>21</v>
      </c>
      <c r="D821" t="s">
        <v>30</v>
      </c>
      <c r="E821" t="s">
        <v>20</v>
      </c>
      <c r="F821">
        <v>154741</v>
      </c>
      <c r="G821">
        <v>6019</v>
      </c>
      <c r="H821">
        <v>3.8899999999999997E-2</v>
      </c>
      <c r="I821">
        <v>1.04</v>
      </c>
      <c r="J821">
        <v>6259.76</v>
      </c>
      <c r="K821">
        <v>220</v>
      </c>
      <c r="L821">
        <v>28.45</v>
      </c>
      <c r="M821">
        <v>38586.699999999997</v>
      </c>
      <c r="N821">
        <v>6.16</v>
      </c>
    </row>
    <row r="822" spans="1:14" x14ac:dyDescent="0.25">
      <c r="A822" s="1">
        <v>45592</v>
      </c>
      <c r="B822" t="s">
        <v>18</v>
      </c>
      <c r="C822" t="s">
        <v>29</v>
      </c>
      <c r="D822" t="s">
        <v>30</v>
      </c>
      <c r="E822" t="s">
        <v>31</v>
      </c>
      <c r="F822">
        <v>72963</v>
      </c>
      <c r="G822">
        <v>5618</v>
      </c>
      <c r="H822">
        <v>7.6999999999999999E-2</v>
      </c>
      <c r="I822">
        <v>0.48</v>
      </c>
      <c r="J822">
        <v>2696.64</v>
      </c>
      <c r="K822">
        <v>412</v>
      </c>
      <c r="L822">
        <v>6.55</v>
      </c>
      <c r="M822">
        <v>16464.009999999998</v>
      </c>
      <c r="N822">
        <v>6.11</v>
      </c>
    </row>
    <row r="823" spans="1:14" x14ac:dyDescent="0.25">
      <c r="A823" s="1">
        <v>45550</v>
      </c>
      <c r="B823" t="s">
        <v>14</v>
      </c>
      <c r="C823" t="s">
        <v>21</v>
      </c>
      <c r="D823" t="s">
        <v>16</v>
      </c>
      <c r="E823" t="s">
        <v>23</v>
      </c>
      <c r="F823">
        <v>194281</v>
      </c>
      <c r="G823">
        <v>5906</v>
      </c>
      <c r="H823">
        <v>3.04E-2</v>
      </c>
      <c r="I823">
        <v>2.5</v>
      </c>
      <c r="J823">
        <v>14765</v>
      </c>
      <c r="K823">
        <v>371</v>
      </c>
      <c r="L823">
        <v>39.799999999999997</v>
      </c>
      <c r="M823">
        <v>20958.57</v>
      </c>
      <c r="N823">
        <v>1.42</v>
      </c>
    </row>
    <row r="824" spans="1:14" x14ac:dyDescent="0.25">
      <c r="A824" s="1">
        <v>45563</v>
      </c>
      <c r="B824" t="s">
        <v>28</v>
      </c>
      <c r="C824" t="s">
        <v>29</v>
      </c>
      <c r="D824" t="s">
        <v>30</v>
      </c>
      <c r="E824" t="s">
        <v>17</v>
      </c>
      <c r="F824">
        <v>92844</v>
      </c>
      <c r="G824">
        <v>3277</v>
      </c>
      <c r="H824">
        <v>3.5299999999999998E-2</v>
      </c>
      <c r="I824">
        <v>1.81</v>
      </c>
      <c r="J824">
        <v>5931.37</v>
      </c>
      <c r="K824">
        <v>63</v>
      </c>
      <c r="L824">
        <v>94.15</v>
      </c>
      <c r="M824">
        <v>10318.61</v>
      </c>
      <c r="N824">
        <v>1.74</v>
      </c>
    </row>
    <row r="825" spans="1:14" x14ac:dyDescent="0.25">
      <c r="A825" s="1">
        <v>45423</v>
      </c>
      <c r="B825" t="s">
        <v>14</v>
      </c>
      <c r="C825" t="s">
        <v>21</v>
      </c>
      <c r="D825" t="s">
        <v>25</v>
      </c>
      <c r="E825" t="s">
        <v>17</v>
      </c>
      <c r="F825">
        <v>132441</v>
      </c>
      <c r="G825">
        <v>2436</v>
      </c>
      <c r="H825">
        <v>1.84E-2</v>
      </c>
      <c r="I825">
        <v>2.09</v>
      </c>
      <c r="J825">
        <v>5091.24</v>
      </c>
      <c r="K825">
        <v>135</v>
      </c>
      <c r="L825">
        <v>37.71</v>
      </c>
      <c r="M825">
        <v>8958.33</v>
      </c>
      <c r="N825">
        <v>1.76</v>
      </c>
    </row>
    <row r="826" spans="1:14" x14ac:dyDescent="0.25">
      <c r="A826" s="1">
        <v>45573</v>
      </c>
      <c r="B826" t="s">
        <v>28</v>
      </c>
      <c r="C826" t="s">
        <v>15</v>
      </c>
      <c r="D826" t="s">
        <v>19</v>
      </c>
      <c r="E826" t="s">
        <v>26</v>
      </c>
      <c r="F826">
        <v>110977</v>
      </c>
      <c r="G826">
        <v>2829</v>
      </c>
      <c r="H826">
        <v>2.5499999999999998E-2</v>
      </c>
      <c r="I826">
        <v>0.66</v>
      </c>
      <c r="J826">
        <v>1867.14</v>
      </c>
      <c r="K826">
        <v>48</v>
      </c>
      <c r="L826">
        <v>38.9</v>
      </c>
      <c r="M826">
        <v>10643.48</v>
      </c>
      <c r="N826">
        <v>5.7</v>
      </c>
    </row>
    <row r="827" spans="1:14" x14ac:dyDescent="0.25">
      <c r="A827" s="1">
        <v>45565</v>
      </c>
      <c r="B827" t="s">
        <v>14</v>
      </c>
      <c r="C827" t="s">
        <v>15</v>
      </c>
      <c r="D827" t="s">
        <v>22</v>
      </c>
      <c r="E827" t="s">
        <v>17</v>
      </c>
      <c r="F827">
        <v>50076</v>
      </c>
      <c r="G827">
        <v>2964</v>
      </c>
      <c r="H827">
        <v>5.9200000000000003E-2</v>
      </c>
      <c r="I827">
        <v>3.4</v>
      </c>
      <c r="J827">
        <v>10077.6</v>
      </c>
      <c r="K827">
        <v>94</v>
      </c>
      <c r="L827">
        <v>107.21</v>
      </c>
      <c r="M827">
        <v>28058.66</v>
      </c>
      <c r="N827">
        <v>2.78</v>
      </c>
    </row>
    <row r="828" spans="1:14" x14ac:dyDescent="0.25">
      <c r="A828" s="1">
        <v>45595</v>
      </c>
      <c r="B828" t="s">
        <v>14</v>
      </c>
      <c r="C828" t="s">
        <v>15</v>
      </c>
      <c r="D828" t="s">
        <v>25</v>
      </c>
      <c r="E828" t="s">
        <v>32</v>
      </c>
      <c r="F828">
        <v>180590</v>
      </c>
      <c r="G828">
        <v>4857</v>
      </c>
      <c r="H828">
        <v>2.69E-2</v>
      </c>
      <c r="I828">
        <v>1.51</v>
      </c>
      <c r="J828">
        <v>7334.07</v>
      </c>
      <c r="K828">
        <v>333</v>
      </c>
      <c r="L828">
        <v>22.02</v>
      </c>
      <c r="M828">
        <v>91782.77</v>
      </c>
      <c r="N828">
        <v>12.51</v>
      </c>
    </row>
    <row r="829" spans="1:14" x14ac:dyDescent="0.25">
      <c r="A829" s="1">
        <v>45462</v>
      </c>
      <c r="B829" t="s">
        <v>28</v>
      </c>
      <c r="C829" t="s">
        <v>15</v>
      </c>
      <c r="D829" t="s">
        <v>16</v>
      </c>
      <c r="E829" t="s">
        <v>17</v>
      </c>
      <c r="F829">
        <v>153530</v>
      </c>
      <c r="G829">
        <v>3899</v>
      </c>
      <c r="H829">
        <v>2.5399999999999999E-2</v>
      </c>
      <c r="I829">
        <v>2.31</v>
      </c>
      <c r="J829">
        <v>9006.69</v>
      </c>
      <c r="K829">
        <v>302</v>
      </c>
      <c r="L829">
        <v>29.82</v>
      </c>
      <c r="M829">
        <v>21392.38</v>
      </c>
      <c r="N829">
        <v>2.38</v>
      </c>
    </row>
    <row r="830" spans="1:14" x14ac:dyDescent="0.25">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row>
    <row r="831" spans="1:14" x14ac:dyDescent="0.25">
      <c r="A831" s="1">
        <v>45656</v>
      </c>
      <c r="B831" t="s">
        <v>28</v>
      </c>
      <c r="C831" t="s">
        <v>29</v>
      </c>
      <c r="D831" t="s">
        <v>19</v>
      </c>
      <c r="E831" t="s">
        <v>23</v>
      </c>
      <c r="F831">
        <v>108152</v>
      </c>
      <c r="G831">
        <v>4250</v>
      </c>
      <c r="H831">
        <v>3.9300000000000002E-2</v>
      </c>
      <c r="I831">
        <v>0.72</v>
      </c>
      <c r="J831">
        <v>3060</v>
      </c>
      <c r="K831">
        <v>160</v>
      </c>
      <c r="L831">
        <v>19.12</v>
      </c>
      <c r="M831">
        <v>12452.25</v>
      </c>
      <c r="N831">
        <v>4.07</v>
      </c>
    </row>
    <row r="832" spans="1:14" x14ac:dyDescent="0.25">
      <c r="A832" s="1">
        <v>45354</v>
      </c>
      <c r="B832" t="s">
        <v>14</v>
      </c>
      <c r="C832" t="s">
        <v>21</v>
      </c>
      <c r="D832" t="s">
        <v>22</v>
      </c>
      <c r="E832" t="s">
        <v>26</v>
      </c>
      <c r="F832">
        <v>76442</v>
      </c>
      <c r="G832">
        <v>2392</v>
      </c>
      <c r="H832">
        <v>3.1300000000000001E-2</v>
      </c>
      <c r="I832">
        <v>1.64</v>
      </c>
      <c r="J832">
        <v>3922.88</v>
      </c>
      <c r="K832">
        <v>160</v>
      </c>
      <c r="L832">
        <v>24.52</v>
      </c>
      <c r="M832">
        <v>14390.19</v>
      </c>
      <c r="N832">
        <v>3.67</v>
      </c>
    </row>
    <row r="833" spans="1:14" x14ac:dyDescent="0.25">
      <c r="A833" s="1">
        <v>45608</v>
      </c>
      <c r="B833" t="s">
        <v>14</v>
      </c>
      <c r="C833" t="s">
        <v>21</v>
      </c>
      <c r="D833" t="s">
        <v>19</v>
      </c>
      <c r="E833" t="s">
        <v>26</v>
      </c>
      <c r="F833">
        <v>57335</v>
      </c>
      <c r="G833">
        <v>1869</v>
      </c>
      <c r="H833">
        <v>3.2599999999999997E-2</v>
      </c>
      <c r="I833">
        <v>2.75</v>
      </c>
      <c r="J833">
        <v>5139.75</v>
      </c>
      <c r="K833">
        <v>133</v>
      </c>
      <c r="L833">
        <v>38.64</v>
      </c>
      <c r="M833">
        <v>11136.73</v>
      </c>
      <c r="N833">
        <v>2.17</v>
      </c>
    </row>
    <row r="834" spans="1:14" x14ac:dyDescent="0.25">
      <c r="A834" s="1">
        <v>45621</v>
      </c>
      <c r="B834" t="s">
        <v>18</v>
      </c>
      <c r="C834" t="s">
        <v>29</v>
      </c>
      <c r="D834" t="s">
        <v>25</v>
      </c>
      <c r="E834" t="s">
        <v>20</v>
      </c>
      <c r="F834">
        <v>82661</v>
      </c>
      <c r="G834">
        <v>4769</v>
      </c>
      <c r="H834">
        <v>5.7700000000000001E-2</v>
      </c>
      <c r="I834">
        <v>1.33</v>
      </c>
      <c r="J834">
        <v>6342.77</v>
      </c>
      <c r="K834">
        <v>271</v>
      </c>
      <c r="L834">
        <v>23.41</v>
      </c>
      <c r="M834">
        <v>79985.87</v>
      </c>
      <c r="N834">
        <v>12.61</v>
      </c>
    </row>
    <row r="835" spans="1:14" x14ac:dyDescent="0.25">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row>
    <row r="836" spans="1:14" x14ac:dyDescent="0.25">
      <c r="A836" s="1">
        <v>45323</v>
      </c>
      <c r="B836" t="s">
        <v>28</v>
      </c>
      <c r="C836" t="s">
        <v>15</v>
      </c>
      <c r="D836" t="s">
        <v>30</v>
      </c>
      <c r="E836" t="s">
        <v>20</v>
      </c>
      <c r="F836">
        <v>63528</v>
      </c>
      <c r="G836">
        <v>711</v>
      </c>
      <c r="H836">
        <v>1.12E-2</v>
      </c>
      <c r="I836">
        <v>1.49</v>
      </c>
      <c r="J836">
        <v>1059.3900000000001</v>
      </c>
      <c r="K836">
        <v>23</v>
      </c>
      <c r="L836">
        <v>46.06</v>
      </c>
      <c r="M836">
        <v>4567.68</v>
      </c>
      <c r="N836">
        <v>4.3099999999999996</v>
      </c>
    </row>
    <row r="837" spans="1:14" x14ac:dyDescent="0.25">
      <c r="A837" s="1">
        <v>45644</v>
      </c>
      <c r="B837" t="s">
        <v>18</v>
      </c>
      <c r="C837" t="s">
        <v>24</v>
      </c>
      <c r="D837" t="s">
        <v>16</v>
      </c>
      <c r="E837" t="s">
        <v>23</v>
      </c>
      <c r="F837">
        <v>169238</v>
      </c>
      <c r="G837">
        <v>6583</v>
      </c>
      <c r="H837">
        <v>3.8899999999999997E-2</v>
      </c>
      <c r="I837">
        <v>0.53</v>
      </c>
      <c r="J837">
        <v>3488.99</v>
      </c>
      <c r="K837">
        <v>507</v>
      </c>
      <c r="L837">
        <v>6.88</v>
      </c>
      <c r="M837">
        <v>146453.92000000001</v>
      </c>
      <c r="N837">
        <v>41.98</v>
      </c>
    </row>
    <row r="838" spans="1:14" x14ac:dyDescent="0.25">
      <c r="A838" s="1">
        <v>45632</v>
      </c>
      <c r="B838" t="s">
        <v>28</v>
      </c>
      <c r="C838" t="s">
        <v>29</v>
      </c>
      <c r="D838" t="s">
        <v>25</v>
      </c>
      <c r="E838" t="s">
        <v>27</v>
      </c>
      <c r="F838">
        <v>14815</v>
      </c>
      <c r="G838">
        <v>189</v>
      </c>
      <c r="H838">
        <v>1.2800000000000001E-2</v>
      </c>
      <c r="I838">
        <v>0.55000000000000004</v>
      </c>
      <c r="J838">
        <v>103.95</v>
      </c>
      <c r="K838">
        <v>3</v>
      </c>
      <c r="L838">
        <v>34.65</v>
      </c>
      <c r="M838">
        <v>142.69</v>
      </c>
      <c r="N838">
        <v>1.37</v>
      </c>
    </row>
    <row r="839" spans="1:14" x14ac:dyDescent="0.25">
      <c r="A839" s="1">
        <v>45525</v>
      </c>
      <c r="B839" t="s">
        <v>18</v>
      </c>
      <c r="C839" t="s">
        <v>15</v>
      </c>
      <c r="D839" t="s">
        <v>22</v>
      </c>
      <c r="E839" t="s">
        <v>26</v>
      </c>
      <c r="F839">
        <v>47278</v>
      </c>
      <c r="G839">
        <v>2803</v>
      </c>
      <c r="H839">
        <v>5.9299999999999999E-2</v>
      </c>
      <c r="I839">
        <v>1.69</v>
      </c>
      <c r="J839">
        <v>4737.07</v>
      </c>
      <c r="K839">
        <v>201</v>
      </c>
      <c r="L839">
        <v>23.57</v>
      </c>
      <c r="M839">
        <v>39448.18</v>
      </c>
      <c r="N839">
        <v>8.33</v>
      </c>
    </row>
    <row r="840" spans="1:14" x14ac:dyDescent="0.25">
      <c r="A840" s="1">
        <v>45339</v>
      </c>
      <c r="B840" t="s">
        <v>14</v>
      </c>
      <c r="C840" t="s">
        <v>21</v>
      </c>
      <c r="D840" t="s">
        <v>16</v>
      </c>
      <c r="E840" t="s">
        <v>17</v>
      </c>
      <c r="F840">
        <v>15046</v>
      </c>
      <c r="G840">
        <v>400</v>
      </c>
      <c r="H840">
        <v>2.6599999999999999E-2</v>
      </c>
      <c r="I840">
        <v>1.18</v>
      </c>
      <c r="J840">
        <v>472</v>
      </c>
      <c r="K840">
        <v>4</v>
      </c>
      <c r="L840">
        <v>118</v>
      </c>
      <c r="M840">
        <v>142.71</v>
      </c>
      <c r="N840">
        <v>0.3</v>
      </c>
    </row>
    <row r="841" spans="1:14" x14ac:dyDescent="0.25">
      <c r="A841" s="1">
        <v>45508</v>
      </c>
      <c r="B841" t="s">
        <v>28</v>
      </c>
      <c r="C841" t="s">
        <v>24</v>
      </c>
      <c r="D841" t="s">
        <v>25</v>
      </c>
      <c r="E841" t="s">
        <v>27</v>
      </c>
      <c r="F841">
        <v>58968</v>
      </c>
      <c r="G841">
        <v>1715</v>
      </c>
      <c r="H841">
        <v>2.9100000000000001E-2</v>
      </c>
      <c r="I841">
        <v>1.49</v>
      </c>
      <c r="J841">
        <v>2555.35</v>
      </c>
      <c r="K841">
        <v>127</v>
      </c>
      <c r="L841">
        <v>20.12</v>
      </c>
      <c r="M841">
        <v>13332.87</v>
      </c>
      <c r="N841">
        <v>5.22</v>
      </c>
    </row>
    <row r="842" spans="1:14" x14ac:dyDescent="0.25">
      <c r="A842" s="1">
        <v>45343</v>
      </c>
      <c r="B842" t="s">
        <v>14</v>
      </c>
      <c r="C842" t="s">
        <v>15</v>
      </c>
      <c r="D842" t="s">
        <v>22</v>
      </c>
      <c r="E842" t="s">
        <v>31</v>
      </c>
      <c r="F842">
        <v>13083</v>
      </c>
      <c r="G842">
        <v>707</v>
      </c>
      <c r="H842">
        <v>5.4100000000000002E-2</v>
      </c>
      <c r="I842">
        <v>2.38</v>
      </c>
      <c r="J842">
        <v>1682.66</v>
      </c>
      <c r="K842">
        <v>41</v>
      </c>
      <c r="L842">
        <v>41.04</v>
      </c>
      <c r="M842">
        <v>10442.74</v>
      </c>
      <c r="N842">
        <v>6.21</v>
      </c>
    </row>
    <row r="843" spans="1:14" x14ac:dyDescent="0.25">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row>
    <row r="844" spans="1:14" x14ac:dyDescent="0.25">
      <c r="A844" s="1">
        <v>45386</v>
      </c>
      <c r="B844" t="s">
        <v>18</v>
      </c>
      <c r="C844" t="s">
        <v>15</v>
      </c>
      <c r="D844" t="s">
        <v>25</v>
      </c>
      <c r="E844" t="s">
        <v>20</v>
      </c>
      <c r="F844">
        <v>45382</v>
      </c>
      <c r="G844">
        <v>2246</v>
      </c>
      <c r="H844">
        <v>4.9500000000000002E-2</v>
      </c>
      <c r="I844">
        <v>1.59</v>
      </c>
      <c r="J844">
        <v>3571.14</v>
      </c>
      <c r="K844">
        <v>46</v>
      </c>
      <c r="L844">
        <v>77.63</v>
      </c>
      <c r="M844">
        <v>2662.9</v>
      </c>
      <c r="N844">
        <v>0.75</v>
      </c>
    </row>
    <row r="845" spans="1:14" x14ac:dyDescent="0.25">
      <c r="A845" s="1">
        <v>45550</v>
      </c>
      <c r="B845" t="s">
        <v>28</v>
      </c>
      <c r="C845" t="s">
        <v>29</v>
      </c>
      <c r="D845" t="s">
        <v>22</v>
      </c>
      <c r="E845" t="s">
        <v>17</v>
      </c>
      <c r="F845">
        <v>196432</v>
      </c>
      <c r="G845">
        <v>6501</v>
      </c>
      <c r="H845">
        <v>3.3099999999999997E-2</v>
      </c>
      <c r="I845">
        <v>0.4</v>
      </c>
      <c r="J845">
        <v>2600.4</v>
      </c>
      <c r="K845">
        <v>462</v>
      </c>
      <c r="L845">
        <v>5.63</v>
      </c>
      <c r="M845">
        <v>52195.74</v>
      </c>
      <c r="N845">
        <v>20.07</v>
      </c>
    </row>
    <row r="846" spans="1:14" x14ac:dyDescent="0.25">
      <c r="A846" s="1">
        <v>45631</v>
      </c>
      <c r="B846" t="s">
        <v>18</v>
      </c>
      <c r="C846" t="s">
        <v>15</v>
      </c>
      <c r="D846" t="s">
        <v>19</v>
      </c>
      <c r="E846" t="s">
        <v>31</v>
      </c>
      <c r="F846">
        <v>71470</v>
      </c>
      <c r="G846">
        <v>2065</v>
      </c>
      <c r="H846">
        <v>2.8899999999999999E-2</v>
      </c>
      <c r="I846">
        <v>1.18</v>
      </c>
      <c r="J846">
        <v>2436.6999999999998</v>
      </c>
      <c r="K846">
        <v>37</v>
      </c>
      <c r="L846">
        <v>65.86</v>
      </c>
      <c r="M846">
        <v>10377.15</v>
      </c>
      <c r="N846">
        <v>4.26</v>
      </c>
    </row>
    <row r="847" spans="1:14" x14ac:dyDescent="0.25">
      <c r="A847" s="1">
        <v>45292</v>
      </c>
      <c r="B847" t="s">
        <v>18</v>
      </c>
      <c r="C847" t="s">
        <v>29</v>
      </c>
      <c r="D847" t="s">
        <v>25</v>
      </c>
      <c r="E847" t="s">
        <v>23</v>
      </c>
      <c r="F847">
        <v>103026</v>
      </c>
      <c r="G847">
        <v>9066</v>
      </c>
      <c r="H847">
        <v>8.7999999999999995E-2</v>
      </c>
      <c r="I847">
        <v>1.43</v>
      </c>
      <c r="J847">
        <v>12964.38</v>
      </c>
      <c r="K847">
        <v>278</v>
      </c>
      <c r="L847">
        <v>46.63</v>
      </c>
      <c r="M847">
        <v>46631</v>
      </c>
      <c r="N847">
        <v>3.6</v>
      </c>
    </row>
    <row r="848" spans="1:14" x14ac:dyDescent="0.25">
      <c r="A848" s="1">
        <v>45486</v>
      </c>
      <c r="B848" t="s">
        <v>28</v>
      </c>
      <c r="C848" t="s">
        <v>29</v>
      </c>
      <c r="D848" t="s">
        <v>16</v>
      </c>
      <c r="E848" t="s">
        <v>31</v>
      </c>
      <c r="F848">
        <v>140793</v>
      </c>
      <c r="G848">
        <v>2886</v>
      </c>
      <c r="H848">
        <v>2.0500000000000001E-2</v>
      </c>
      <c r="I848">
        <v>1.52</v>
      </c>
      <c r="J848">
        <v>4386.72</v>
      </c>
      <c r="K848">
        <v>141</v>
      </c>
      <c r="L848">
        <v>31.11</v>
      </c>
      <c r="M848">
        <v>12104.44</v>
      </c>
      <c r="N848">
        <v>2.76</v>
      </c>
    </row>
    <row r="849" spans="1:14" x14ac:dyDescent="0.25">
      <c r="A849" s="1">
        <v>45497</v>
      </c>
      <c r="B849" t="s">
        <v>28</v>
      </c>
      <c r="C849" t="s">
        <v>15</v>
      </c>
      <c r="D849" t="s">
        <v>16</v>
      </c>
      <c r="E849" t="s">
        <v>27</v>
      </c>
      <c r="F849">
        <v>8970</v>
      </c>
      <c r="G849">
        <v>306</v>
      </c>
      <c r="H849">
        <v>3.4200000000000001E-2</v>
      </c>
      <c r="I849">
        <v>0.6</v>
      </c>
      <c r="J849">
        <v>183.6</v>
      </c>
      <c r="K849">
        <v>22</v>
      </c>
      <c r="L849">
        <v>8.35</v>
      </c>
      <c r="M849">
        <v>4976.05</v>
      </c>
      <c r="N849">
        <v>27.1</v>
      </c>
    </row>
    <row r="850" spans="1:14" x14ac:dyDescent="0.25">
      <c r="A850" s="1">
        <v>45644</v>
      </c>
      <c r="B850" t="s">
        <v>28</v>
      </c>
      <c r="C850" t="s">
        <v>29</v>
      </c>
      <c r="D850" t="s">
        <v>16</v>
      </c>
      <c r="E850" t="s">
        <v>26</v>
      </c>
      <c r="F850">
        <v>177825</v>
      </c>
      <c r="G850">
        <v>4285</v>
      </c>
      <c r="H850">
        <v>2.41E-2</v>
      </c>
      <c r="I850">
        <v>0.78</v>
      </c>
      <c r="J850">
        <v>3342.3</v>
      </c>
      <c r="K850">
        <v>163</v>
      </c>
      <c r="L850">
        <v>20.5</v>
      </c>
      <c r="M850">
        <v>29602.7</v>
      </c>
      <c r="N850">
        <v>8.86</v>
      </c>
    </row>
    <row r="851" spans="1:14" x14ac:dyDescent="0.25">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row>
    <row r="852" spans="1:14" x14ac:dyDescent="0.25">
      <c r="A852" s="1">
        <v>45452</v>
      </c>
      <c r="B852" t="s">
        <v>14</v>
      </c>
      <c r="C852" t="s">
        <v>15</v>
      </c>
      <c r="D852" t="s">
        <v>19</v>
      </c>
      <c r="E852" t="s">
        <v>27</v>
      </c>
      <c r="F852">
        <v>107548</v>
      </c>
      <c r="G852">
        <v>4258</v>
      </c>
      <c r="H852">
        <v>3.9600000000000003E-2</v>
      </c>
      <c r="I852">
        <v>3.2</v>
      </c>
      <c r="J852">
        <v>13625.6</v>
      </c>
      <c r="K852">
        <v>145</v>
      </c>
      <c r="L852">
        <v>93.97</v>
      </c>
      <c r="M852">
        <v>17656.919999999998</v>
      </c>
      <c r="N852">
        <v>1.3</v>
      </c>
    </row>
    <row r="853" spans="1:14" x14ac:dyDescent="0.25">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row>
    <row r="854" spans="1:14" x14ac:dyDescent="0.25">
      <c r="A854" s="1">
        <v>45592</v>
      </c>
      <c r="B854" t="s">
        <v>28</v>
      </c>
      <c r="C854" t="s">
        <v>29</v>
      </c>
      <c r="D854" t="s">
        <v>30</v>
      </c>
      <c r="E854" t="s">
        <v>20</v>
      </c>
      <c r="F854">
        <v>100561</v>
      </c>
      <c r="G854">
        <v>3781</v>
      </c>
      <c r="H854">
        <v>3.7600000000000001E-2</v>
      </c>
      <c r="I854">
        <v>1.39</v>
      </c>
      <c r="J854">
        <v>5255.59</v>
      </c>
      <c r="K854">
        <v>124</v>
      </c>
      <c r="L854">
        <v>42.38</v>
      </c>
      <c r="M854">
        <v>34626.86</v>
      </c>
      <c r="N854">
        <v>6.59</v>
      </c>
    </row>
    <row r="855" spans="1:14" x14ac:dyDescent="0.25">
      <c r="A855" s="1">
        <v>45443</v>
      </c>
      <c r="B855" t="s">
        <v>14</v>
      </c>
      <c r="C855" t="s">
        <v>15</v>
      </c>
      <c r="D855" t="s">
        <v>16</v>
      </c>
      <c r="E855" t="s">
        <v>17</v>
      </c>
      <c r="F855">
        <v>50111</v>
      </c>
      <c r="G855">
        <v>2320</v>
      </c>
      <c r="H855">
        <v>4.6300000000000001E-2</v>
      </c>
      <c r="I855">
        <v>2.73</v>
      </c>
      <c r="J855">
        <v>6333.6</v>
      </c>
      <c r="K855">
        <v>153</v>
      </c>
      <c r="L855">
        <v>41.4</v>
      </c>
      <c r="M855">
        <v>30016.66</v>
      </c>
      <c r="N855">
        <v>4.74</v>
      </c>
    </row>
    <row r="856" spans="1:14" x14ac:dyDescent="0.25">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row>
    <row r="857" spans="1:14" x14ac:dyDescent="0.25">
      <c r="A857" s="1">
        <v>45498</v>
      </c>
      <c r="B857" t="s">
        <v>28</v>
      </c>
      <c r="C857" t="s">
        <v>21</v>
      </c>
      <c r="D857" t="s">
        <v>30</v>
      </c>
      <c r="E857" t="s">
        <v>26</v>
      </c>
      <c r="F857">
        <v>93257</v>
      </c>
      <c r="G857">
        <v>1930</v>
      </c>
      <c r="H857">
        <v>2.07E-2</v>
      </c>
      <c r="I857">
        <v>1.32</v>
      </c>
      <c r="J857">
        <v>2547.6</v>
      </c>
      <c r="K857">
        <v>102</v>
      </c>
      <c r="L857">
        <v>24.98</v>
      </c>
      <c r="M857">
        <v>26767.95</v>
      </c>
      <c r="N857">
        <v>10.51</v>
      </c>
    </row>
    <row r="858" spans="1:14" x14ac:dyDescent="0.25">
      <c r="A858" s="1">
        <v>45650</v>
      </c>
      <c r="B858" t="s">
        <v>18</v>
      </c>
      <c r="C858" t="s">
        <v>15</v>
      </c>
      <c r="D858" t="s">
        <v>25</v>
      </c>
      <c r="E858" t="s">
        <v>31</v>
      </c>
      <c r="F858">
        <v>102847</v>
      </c>
      <c r="G858">
        <v>6458</v>
      </c>
      <c r="H858">
        <v>6.2799999999999995E-2</v>
      </c>
      <c r="I858">
        <v>1.17</v>
      </c>
      <c r="J858">
        <v>7555.86</v>
      </c>
      <c r="K858">
        <v>314</v>
      </c>
      <c r="L858">
        <v>24.06</v>
      </c>
      <c r="M858">
        <v>81199.399999999994</v>
      </c>
      <c r="N858">
        <v>10.75</v>
      </c>
    </row>
    <row r="859" spans="1:14" x14ac:dyDescent="0.25">
      <c r="A859" s="1">
        <v>45340</v>
      </c>
      <c r="B859" t="s">
        <v>28</v>
      </c>
      <c r="C859" t="s">
        <v>15</v>
      </c>
      <c r="D859" t="s">
        <v>25</v>
      </c>
      <c r="E859" t="s">
        <v>17</v>
      </c>
      <c r="F859">
        <v>161738</v>
      </c>
      <c r="G859">
        <v>5046</v>
      </c>
      <c r="H859">
        <v>3.1199999999999999E-2</v>
      </c>
      <c r="I859">
        <v>1.66</v>
      </c>
      <c r="J859">
        <v>8376.36</v>
      </c>
      <c r="K859">
        <v>258</v>
      </c>
      <c r="L859">
        <v>32.47</v>
      </c>
      <c r="M859">
        <v>29417.67</v>
      </c>
      <c r="N859">
        <v>3.51</v>
      </c>
    </row>
    <row r="860" spans="1:14" x14ac:dyDescent="0.25">
      <c r="A860" s="1">
        <v>45419</v>
      </c>
      <c r="B860" t="s">
        <v>28</v>
      </c>
      <c r="C860" t="s">
        <v>24</v>
      </c>
      <c r="D860" t="s">
        <v>22</v>
      </c>
      <c r="E860" t="s">
        <v>32</v>
      </c>
      <c r="F860">
        <v>46516</v>
      </c>
      <c r="G860">
        <v>772</v>
      </c>
      <c r="H860">
        <v>1.66E-2</v>
      </c>
      <c r="I860">
        <v>0.59</v>
      </c>
      <c r="J860">
        <v>455.48</v>
      </c>
      <c r="K860">
        <v>39</v>
      </c>
      <c r="L860">
        <v>11.68</v>
      </c>
      <c r="M860">
        <v>4874.74</v>
      </c>
      <c r="N860">
        <v>10.7</v>
      </c>
    </row>
    <row r="861" spans="1:14" x14ac:dyDescent="0.25">
      <c r="A861" s="1">
        <v>45598</v>
      </c>
      <c r="B861" t="s">
        <v>14</v>
      </c>
      <c r="C861" t="s">
        <v>21</v>
      </c>
      <c r="D861" t="s">
        <v>25</v>
      </c>
      <c r="E861" t="s">
        <v>27</v>
      </c>
      <c r="F861">
        <v>7802</v>
      </c>
      <c r="G861">
        <v>340</v>
      </c>
      <c r="H861">
        <v>4.3700000000000003E-2</v>
      </c>
      <c r="I861">
        <v>2.37</v>
      </c>
      <c r="J861">
        <v>805.8</v>
      </c>
      <c r="K861">
        <v>14</v>
      </c>
      <c r="L861">
        <v>57.56</v>
      </c>
      <c r="M861">
        <v>799.08</v>
      </c>
      <c r="N861">
        <v>0.99</v>
      </c>
    </row>
    <row r="862" spans="1:14" x14ac:dyDescent="0.25">
      <c r="A862" s="1">
        <v>45587</v>
      </c>
      <c r="B862" t="s">
        <v>14</v>
      </c>
      <c r="C862" t="s">
        <v>15</v>
      </c>
      <c r="D862" t="s">
        <v>19</v>
      </c>
      <c r="E862" t="s">
        <v>23</v>
      </c>
      <c r="F862">
        <v>15960</v>
      </c>
      <c r="G862">
        <v>750</v>
      </c>
      <c r="H862">
        <v>4.7E-2</v>
      </c>
      <c r="I862">
        <v>1.72</v>
      </c>
      <c r="J862">
        <v>1290</v>
      </c>
      <c r="K862">
        <v>40</v>
      </c>
      <c r="L862">
        <v>32.25</v>
      </c>
      <c r="M862">
        <v>6919.55</v>
      </c>
      <c r="N862">
        <v>5.36</v>
      </c>
    </row>
    <row r="863" spans="1:14" x14ac:dyDescent="0.25">
      <c r="A863" s="1">
        <v>45307</v>
      </c>
      <c r="B863" t="s">
        <v>18</v>
      </c>
      <c r="C863" t="s">
        <v>24</v>
      </c>
      <c r="D863" t="s">
        <v>25</v>
      </c>
      <c r="E863" t="s">
        <v>32</v>
      </c>
      <c r="F863">
        <v>55701</v>
      </c>
      <c r="G863">
        <v>4138</v>
      </c>
      <c r="H863">
        <v>7.4300000000000005E-2</v>
      </c>
      <c r="I863">
        <v>0.34</v>
      </c>
      <c r="J863">
        <v>1406.92</v>
      </c>
      <c r="K863">
        <v>229</v>
      </c>
      <c r="L863">
        <v>6.14</v>
      </c>
      <c r="M863">
        <v>20016.59</v>
      </c>
      <c r="N863">
        <v>14.23</v>
      </c>
    </row>
    <row r="864" spans="1:14" x14ac:dyDescent="0.25">
      <c r="A864" s="1">
        <v>45473</v>
      </c>
      <c r="B864" t="s">
        <v>14</v>
      </c>
      <c r="C864" t="s">
        <v>29</v>
      </c>
      <c r="D864" t="s">
        <v>30</v>
      </c>
      <c r="E864" t="s">
        <v>31</v>
      </c>
      <c r="F864">
        <v>64757</v>
      </c>
      <c r="G864">
        <v>3976</v>
      </c>
      <c r="H864">
        <v>6.1400000000000003E-2</v>
      </c>
      <c r="I864">
        <v>1.43</v>
      </c>
      <c r="J864">
        <v>5685.68</v>
      </c>
      <c r="K864">
        <v>58</v>
      </c>
      <c r="L864">
        <v>98.03</v>
      </c>
      <c r="M864">
        <v>4380.33</v>
      </c>
      <c r="N864">
        <v>0.77</v>
      </c>
    </row>
    <row r="865" spans="1:14" x14ac:dyDescent="0.25">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row>
    <row r="866" spans="1:14" x14ac:dyDescent="0.25">
      <c r="A866" s="1">
        <v>45553</v>
      </c>
      <c r="B866" t="s">
        <v>18</v>
      </c>
      <c r="C866" t="s">
        <v>24</v>
      </c>
      <c r="D866" t="s">
        <v>19</v>
      </c>
      <c r="E866" t="s">
        <v>20</v>
      </c>
      <c r="F866">
        <v>116800</v>
      </c>
      <c r="G866">
        <v>8351</v>
      </c>
      <c r="H866">
        <v>7.1499999999999994E-2</v>
      </c>
      <c r="I866">
        <v>0.7</v>
      </c>
      <c r="J866">
        <v>5845.7</v>
      </c>
      <c r="K866">
        <v>493</v>
      </c>
      <c r="L866">
        <v>11.86</v>
      </c>
      <c r="M866">
        <v>80828.759999999995</v>
      </c>
      <c r="N866">
        <v>13.83</v>
      </c>
    </row>
    <row r="867" spans="1:14" x14ac:dyDescent="0.25">
      <c r="A867" s="1">
        <v>45595</v>
      </c>
      <c r="B867" t="s">
        <v>28</v>
      </c>
      <c r="C867" t="s">
        <v>24</v>
      </c>
      <c r="D867" t="s">
        <v>22</v>
      </c>
      <c r="E867" t="s">
        <v>27</v>
      </c>
      <c r="F867">
        <v>88470</v>
      </c>
      <c r="G867">
        <v>2459</v>
      </c>
      <c r="H867">
        <v>2.7799999999999998E-2</v>
      </c>
      <c r="I867">
        <v>0.99</v>
      </c>
      <c r="J867">
        <v>2434.41</v>
      </c>
      <c r="K867">
        <v>165</v>
      </c>
      <c r="L867">
        <v>14.75</v>
      </c>
      <c r="M867">
        <v>44145</v>
      </c>
      <c r="N867">
        <v>18.13</v>
      </c>
    </row>
    <row r="868" spans="1:14" x14ac:dyDescent="0.25">
      <c r="A868" s="1">
        <v>45358</v>
      </c>
      <c r="B868" t="s">
        <v>18</v>
      </c>
      <c r="C868" t="s">
        <v>29</v>
      </c>
      <c r="D868" t="s">
        <v>22</v>
      </c>
      <c r="E868" t="s">
        <v>32</v>
      </c>
      <c r="F868">
        <v>186782</v>
      </c>
      <c r="G868">
        <v>14270</v>
      </c>
      <c r="H868">
        <v>7.6399999999999996E-2</v>
      </c>
      <c r="I868">
        <v>1.08</v>
      </c>
      <c r="J868">
        <v>15411.6</v>
      </c>
      <c r="K868">
        <v>931</v>
      </c>
      <c r="L868">
        <v>16.55</v>
      </c>
      <c r="M868">
        <v>224929.42</v>
      </c>
      <c r="N868">
        <v>14.59</v>
      </c>
    </row>
    <row r="869" spans="1:14" x14ac:dyDescent="0.25">
      <c r="A869" s="1">
        <v>45634</v>
      </c>
      <c r="B869" t="s">
        <v>14</v>
      </c>
      <c r="C869" t="s">
        <v>29</v>
      </c>
      <c r="D869" t="s">
        <v>22</v>
      </c>
      <c r="E869" t="s">
        <v>17</v>
      </c>
      <c r="F869">
        <v>121832</v>
      </c>
      <c r="G869">
        <v>6786</v>
      </c>
      <c r="H869">
        <v>5.57E-2</v>
      </c>
      <c r="I869">
        <v>1.18</v>
      </c>
      <c r="J869">
        <v>8007.48</v>
      </c>
      <c r="K869">
        <v>139</v>
      </c>
      <c r="L869">
        <v>57.61</v>
      </c>
      <c r="M869">
        <v>28929.72</v>
      </c>
      <c r="N869">
        <v>3.61</v>
      </c>
    </row>
    <row r="870" spans="1:14" x14ac:dyDescent="0.25">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row>
    <row r="871" spans="1:14" x14ac:dyDescent="0.25">
      <c r="A871" s="1">
        <v>45579</v>
      </c>
      <c r="B871" t="s">
        <v>28</v>
      </c>
      <c r="C871" t="s">
        <v>29</v>
      </c>
      <c r="D871" t="s">
        <v>16</v>
      </c>
      <c r="E871" t="s">
        <v>31</v>
      </c>
      <c r="F871">
        <v>125424</v>
      </c>
      <c r="G871">
        <v>3787</v>
      </c>
      <c r="H871">
        <v>3.0200000000000001E-2</v>
      </c>
      <c r="I871">
        <v>0.48</v>
      </c>
      <c r="J871">
        <v>1817.76</v>
      </c>
      <c r="K871">
        <v>253</v>
      </c>
      <c r="L871">
        <v>7.18</v>
      </c>
      <c r="M871">
        <v>36320.54</v>
      </c>
      <c r="N871">
        <v>19.98</v>
      </c>
    </row>
    <row r="872" spans="1:14" x14ac:dyDescent="0.25">
      <c r="A872" s="1">
        <v>45632</v>
      </c>
      <c r="B872" t="s">
        <v>18</v>
      </c>
      <c r="C872" t="s">
        <v>21</v>
      </c>
      <c r="D872" t="s">
        <v>22</v>
      </c>
      <c r="E872" t="s">
        <v>17</v>
      </c>
      <c r="F872">
        <v>23883</v>
      </c>
      <c r="G872">
        <v>1332</v>
      </c>
      <c r="H872">
        <v>5.5800000000000002E-2</v>
      </c>
      <c r="I872">
        <v>1.56</v>
      </c>
      <c r="J872">
        <v>2077.92</v>
      </c>
      <c r="K872">
        <v>66</v>
      </c>
      <c r="L872">
        <v>31.48</v>
      </c>
      <c r="M872">
        <v>10903.46</v>
      </c>
      <c r="N872">
        <v>5.25</v>
      </c>
    </row>
    <row r="873" spans="1:14" x14ac:dyDescent="0.25">
      <c r="A873" s="1">
        <v>45420</v>
      </c>
      <c r="B873" t="s">
        <v>28</v>
      </c>
      <c r="C873" t="s">
        <v>24</v>
      </c>
      <c r="D873" t="s">
        <v>30</v>
      </c>
      <c r="E873" t="s">
        <v>26</v>
      </c>
      <c r="F873">
        <v>49864</v>
      </c>
      <c r="G873">
        <v>2074</v>
      </c>
      <c r="H873">
        <v>4.1599999999999998E-2</v>
      </c>
      <c r="I873">
        <v>1.75</v>
      </c>
      <c r="J873">
        <v>3629.5</v>
      </c>
      <c r="K873">
        <v>73</v>
      </c>
      <c r="L873">
        <v>49.72</v>
      </c>
      <c r="M873">
        <v>14018.44</v>
      </c>
      <c r="N873">
        <v>3.86</v>
      </c>
    </row>
    <row r="874" spans="1:14" x14ac:dyDescent="0.25">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row>
    <row r="875" spans="1:14" x14ac:dyDescent="0.25">
      <c r="A875" s="1">
        <v>45598</v>
      </c>
      <c r="B875" t="s">
        <v>14</v>
      </c>
      <c r="C875" t="s">
        <v>29</v>
      </c>
      <c r="D875" t="s">
        <v>19</v>
      </c>
      <c r="E875" t="s">
        <v>20</v>
      </c>
      <c r="F875">
        <v>146295</v>
      </c>
      <c r="G875">
        <v>3394</v>
      </c>
      <c r="H875">
        <v>2.3199999999999998E-2</v>
      </c>
      <c r="I875">
        <v>3.41</v>
      </c>
      <c r="J875">
        <v>11573.54</v>
      </c>
      <c r="K875">
        <v>195</v>
      </c>
      <c r="L875">
        <v>59.35</v>
      </c>
      <c r="M875">
        <v>49666.69</v>
      </c>
      <c r="N875">
        <v>4.29</v>
      </c>
    </row>
    <row r="876" spans="1:14" x14ac:dyDescent="0.25">
      <c r="A876" s="1">
        <v>45558</v>
      </c>
      <c r="B876" t="s">
        <v>28</v>
      </c>
      <c r="C876" t="s">
        <v>15</v>
      </c>
      <c r="D876" t="s">
        <v>25</v>
      </c>
      <c r="E876" t="s">
        <v>31</v>
      </c>
      <c r="F876">
        <v>29343</v>
      </c>
      <c r="G876">
        <v>346</v>
      </c>
      <c r="H876">
        <v>1.18E-2</v>
      </c>
      <c r="I876">
        <v>2.0099999999999998</v>
      </c>
      <c r="J876">
        <v>695.46</v>
      </c>
      <c r="K876">
        <v>7</v>
      </c>
      <c r="L876">
        <v>99.35</v>
      </c>
      <c r="M876">
        <v>672.01</v>
      </c>
      <c r="N876">
        <v>0.97</v>
      </c>
    </row>
    <row r="877" spans="1:14" x14ac:dyDescent="0.25">
      <c r="A877" s="1">
        <v>45560</v>
      </c>
      <c r="B877" t="s">
        <v>18</v>
      </c>
      <c r="C877" t="s">
        <v>29</v>
      </c>
      <c r="D877" t="s">
        <v>19</v>
      </c>
      <c r="E877" t="s">
        <v>32</v>
      </c>
      <c r="F877">
        <v>154712</v>
      </c>
      <c r="G877">
        <v>10288</v>
      </c>
      <c r="H877">
        <v>6.6500000000000004E-2</v>
      </c>
      <c r="I877">
        <v>1.08</v>
      </c>
      <c r="J877">
        <v>11111.04</v>
      </c>
      <c r="K877">
        <v>439</v>
      </c>
      <c r="L877">
        <v>25.31</v>
      </c>
      <c r="M877">
        <v>80440.02</v>
      </c>
      <c r="N877">
        <v>7.24</v>
      </c>
    </row>
    <row r="878" spans="1:14" x14ac:dyDescent="0.25">
      <c r="A878" s="1">
        <v>45388</v>
      </c>
      <c r="B878" t="s">
        <v>18</v>
      </c>
      <c r="C878" t="s">
        <v>21</v>
      </c>
      <c r="D878" t="s">
        <v>19</v>
      </c>
      <c r="E878" t="s">
        <v>26</v>
      </c>
      <c r="F878">
        <v>60438</v>
      </c>
      <c r="G878">
        <v>5554</v>
      </c>
      <c r="H878">
        <v>9.1899999999999996E-2</v>
      </c>
      <c r="I878">
        <v>1.44</v>
      </c>
      <c r="J878">
        <v>7997.76</v>
      </c>
      <c r="K878">
        <v>286</v>
      </c>
      <c r="L878">
        <v>27.96</v>
      </c>
      <c r="M878">
        <v>35506.6</v>
      </c>
      <c r="N878">
        <v>4.4400000000000004</v>
      </c>
    </row>
    <row r="879" spans="1:14" x14ac:dyDescent="0.25">
      <c r="A879" s="1">
        <v>45444</v>
      </c>
      <c r="B879" t="s">
        <v>14</v>
      </c>
      <c r="C879" t="s">
        <v>24</v>
      </c>
      <c r="D879" t="s">
        <v>19</v>
      </c>
      <c r="E879" t="s">
        <v>32</v>
      </c>
      <c r="F879">
        <v>18149</v>
      </c>
      <c r="G879">
        <v>918</v>
      </c>
      <c r="H879">
        <v>5.0599999999999999E-2</v>
      </c>
      <c r="I879">
        <v>1.62</v>
      </c>
      <c r="J879">
        <v>1487.16</v>
      </c>
      <c r="K879">
        <v>14</v>
      </c>
      <c r="L879">
        <v>106.23</v>
      </c>
      <c r="M879">
        <v>3557.93</v>
      </c>
      <c r="N879">
        <v>2.39</v>
      </c>
    </row>
    <row r="880" spans="1:14" x14ac:dyDescent="0.25">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row>
    <row r="881" spans="1:14" x14ac:dyDescent="0.25">
      <c r="A881" s="1">
        <v>45402</v>
      </c>
      <c r="B881" t="s">
        <v>18</v>
      </c>
      <c r="C881" t="s">
        <v>24</v>
      </c>
      <c r="D881" t="s">
        <v>30</v>
      </c>
      <c r="E881" t="s">
        <v>17</v>
      </c>
      <c r="F881">
        <v>103730</v>
      </c>
      <c r="G881">
        <v>4335</v>
      </c>
      <c r="H881">
        <v>4.1799999999999997E-2</v>
      </c>
      <c r="I881">
        <v>1.48</v>
      </c>
      <c r="J881">
        <v>6415.8</v>
      </c>
      <c r="K881">
        <v>104</v>
      </c>
      <c r="L881">
        <v>61.69</v>
      </c>
      <c r="M881">
        <v>27379.91</v>
      </c>
      <c r="N881">
        <v>4.2699999999999996</v>
      </c>
    </row>
    <row r="882" spans="1:14" x14ac:dyDescent="0.25">
      <c r="A882" s="1">
        <v>45472</v>
      </c>
      <c r="B882" t="s">
        <v>14</v>
      </c>
      <c r="C882" t="s">
        <v>29</v>
      </c>
      <c r="D882" t="s">
        <v>22</v>
      </c>
      <c r="E882" t="s">
        <v>23</v>
      </c>
      <c r="F882">
        <v>35346</v>
      </c>
      <c r="G882">
        <v>1279</v>
      </c>
      <c r="H882">
        <v>3.6200000000000003E-2</v>
      </c>
      <c r="I882">
        <v>2.54</v>
      </c>
      <c r="J882">
        <v>3248.66</v>
      </c>
      <c r="K882">
        <v>48</v>
      </c>
      <c r="L882">
        <v>67.680000000000007</v>
      </c>
      <c r="M882">
        <v>1649.56</v>
      </c>
      <c r="N882">
        <v>0.51</v>
      </c>
    </row>
    <row r="883" spans="1:14" x14ac:dyDescent="0.25">
      <c r="A883" s="1">
        <v>45321</v>
      </c>
      <c r="B883" t="s">
        <v>28</v>
      </c>
      <c r="C883" t="s">
        <v>21</v>
      </c>
      <c r="D883" t="s">
        <v>22</v>
      </c>
      <c r="E883" t="s">
        <v>32</v>
      </c>
      <c r="F883">
        <v>57776</v>
      </c>
      <c r="G883">
        <v>1490</v>
      </c>
      <c r="H883">
        <v>2.58E-2</v>
      </c>
      <c r="I883">
        <v>1.18</v>
      </c>
      <c r="J883">
        <v>1758.2</v>
      </c>
      <c r="K883">
        <v>107</v>
      </c>
      <c r="L883">
        <v>16.43</v>
      </c>
      <c r="M883">
        <v>22435.51</v>
      </c>
      <c r="N883">
        <v>12.76</v>
      </c>
    </row>
    <row r="884" spans="1:14" x14ac:dyDescent="0.25">
      <c r="A884" s="1">
        <v>45560</v>
      </c>
      <c r="B884" t="s">
        <v>28</v>
      </c>
      <c r="C884" t="s">
        <v>24</v>
      </c>
      <c r="D884" t="s">
        <v>25</v>
      </c>
      <c r="E884" t="s">
        <v>17</v>
      </c>
      <c r="F884">
        <v>178916</v>
      </c>
      <c r="G884">
        <v>4723</v>
      </c>
      <c r="H884">
        <v>2.64E-2</v>
      </c>
      <c r="I884">
        <v>1.54</v>
      </c>
      <c r="J884">
        <v>7273.42</v>
      </c>
      <c r="K884">
        <v>147</v>
      </c>
      <c r="L884">
        <v>49.48</v>
      </c>
      <c r="M884">
        <v>29612.74</v>
      </c>
      <c r="N884">
        <v>4.07</v>
      </c>
    </row>
    <row r="885" spans="1:14" x14ac:dyDescent="0.25">
      <c r="A885" s="1">
        <v>45641</v>
      </c>
      <c r="B885" t="s">
        <v>28</v>
      </c>
      <c r="C885" t="s">
        <v>15</v>
      </c>
      <c r="D885" t="s">
        <v>16</v>
      </c>
      <c r="E885" t="s">
        <v>27</v>
      </c>
      <c r="F885">
        <v>34778</v>
      </c>
      <c r="G885">
        <v>705</v>
      </c>
      <c r="H885">
        <v>2.0299999999999999E-2</v>
      </c>
      <c r="I885">
        <v>1.56</v>
      </c>
      <c r="J885">
        <v>1099.8</v>
      </c>
      <c r="K885">
        <v>35</v>
      </c>
      <c r="L885">
        <v>31.42</v>
      </c>
      <c r="M885">
        <v>2280.29</v>
      </c>
      <c r="N885">
        <v>2.0699999999999998</v>
      </c>
    </row>
    <row r="886" spans="1:14" x14ac:dyDescent="0.25">
      <c r="A886" s="1">
        <v>45448</v>
      </c>
      <c r="B886" t="s">
        <v>18</v>
      </c>
      <c r="C886" t="s">
        <v>15</v>
      </c>
      <c r="D886" t="s">
        <v>16</v>
      </c>
      <c r="E886" t="s">
        <v>32</v>
      </c>
      <c r="F886">
        <v>179120</v>
      </c>
      <c r="G886">
        <v>8794</v>
      </c>
      <c r="H886">
        <v>4.9099999999999998E-2</v>
      </c>
      <c r="I886">
        <v>0.96</v>
      </c>
      <c r="J886">
        <v>8442.24</v>
      </c>
      <c r="K886">
        <v>646</v>
      </c>
      <c r="L886">
        <v>13.07</v>
      </c>
      <c r="M886">
        <v>31918.959999999999</v>
      </c>
      <c r="N886">
        <v>3.78</v>
      </c>
    </row>
    <row r="887" spans="1:14" x14ac:dyDescent="0.25">
      <c r="A887" s="1">
        <v>45462</v>
      </c>
      <c r="B887" t="s">
        <v>28</v>
      </c>
      <c r="C887" t="s">
        <v>29</v>
      </c>
      <c r="D887" t="s">
        <v>16</v>
      </c>
      <c r="E887" t="s">
        <v>17</v>
      </c>
      <c r="F887">
        <v>91706</v>
      </c>
      <c r="G887">
        <v>1650</v>
      </c>
      <c r="H887">
        <v>1.7999999999999999E-2</v>
      </c>
      <c r="I887">
        <v>1.68</v>
      </c>
      <c r="J887">
        <v>2772</v>
      </c>
      <c r="K887">
        <v>80</v>
      </c>
      <c r="L887">
        <v>34.65</v>
      </c>
      <c r="M887">
        <v>8391.32</v>
      </c>
      <c r="N887">
        <v>3.03</v>
      </c>
    </row>
    <row r="888" spans="1:14" x14ac:dyDescent="0.25">
      <c r="A888" s="1">
        <v>45551</v>
      </c>
      <c r="B888" t="s">
        <v>28</v>
      </c>
      <c r="C888" t="s">
        <v>29</v>
      </c>
      <c r="D888" t="s">
        <v>19</v>
      </c>
      <c r="E888" t="s">
        <v>26</v>
      </c>
      <c r="F888">
        <v>7056</v>
      </c>
      <c r="G888">
        <v>227</v>
      </c>
      <c r="H888">
        <v>3.2199999999999999E-2</v>
      </c>
      <c r="I888">
        <v>0.82</v>
      </c>
      <c r="J888">
        <v>186.14</v>
      </c>
      <c r="K888">
        <v>6</v>
      </c>
      <c r="L888">
        <v>31.02</v>
      </c>
      <c r="M888">
        <v>1653.16</v>
      </c>
      <c r="N888">
        <v>8.8800000000000008</v>
      </c>
    </row>
    <row r="889" spans="1:14" x14ac:dyDescent="0.25">
      <c r="A889" s="1">
        <v>45312</v>
      </c>
      <c r="B889" t="s">
        <v>28</v>
      </c>
      <c r="C889" t="s">
        <v>29</v>
      </c>
      <c r="D889" t="s">
        <v>30</v>
      </c>
      <c r="E889" t="s">
        <v>26</v>
      </c>
      <c r="F889">
        <v>161646</v>
      </c>
      <c r="G889">
        <v>5253</v>
      </c>
      <c r="H889">
        <v>3.2500000000000001E-2</v>
      </c>
      <c r="I889">
        <v>1</v>
      </c>
      <c r="J889">
        <v>5253</v>
      </c>
      <c r="K889">
        <v>228</v>
      </c>
      <c r="L889">
        <v>23.04</v>
      </c>
      <c r="M889">
        <v>43732.39</v>
      </c>
      <c r="N889">
        <v>8.33</v>
      </c>
    </row>
    <row r="890" spans="1:14" x14ac:dyDescent="0.25">
      <c r="A890" s="1">
        <v>45387</v>
      </c>
      <c r="B890" t="s">
        <v>14</v>
      </c>
      <c r="C890" t="s">
        <v>21</v>
      </c>
      <c r="D890" t="s">
        <v>25</v>
      </c>
      <c r="E890" t="s">
        <v>27</v>
      </c>
      <c r="F890">
        <v>177115</v>
      </c>
      <c r="G890">
        <v>8005</v>
      </c>
      <c r="H890">
        <v>4.5199999999999997E-2</v>
      </c>
      <c r="I890">
        <v>2.9</v>
      </c>
      <c r="J890">
        <v>23214.5</v>
      </c>
      <c r="K890">
        <v>460</v>
      </c>
      <c r="L890">
        <v>50.47</v>
      </c>
      <c r="M890">
        <v>108688.43</v>
      </c>
      <c r="N890">
        <v>4.68</v>
      </c>
    </row>
    <row r="891" spans="1:14" x14ac:dyDescent="0.25">
      <c r="A891" s="1">
        <v>45568</v>
      </c>
      <c r="B891" t="s">
        <v>18</v>
      </c>
      <c r="C891" t="s">
        <v>15</v>
      </c>
      <c r="D891" t="s">
        <v>22</v>
      </c>
      <c r="E891" t="s">
        <v>32</v>
      </c>
      <c r="F891">
        <v>141087</v>
      </c>
      <c r="G891">
        <v>10609</v>
      </c>
      <c r="H891">
        <v>7.5200000000000003E-2</v>
      </c>
      <c r="I891">
        <v>0.44</v>
      </c>
      <c r="J891">
        <v>4667.96</v>
      </c>
      <c r="K891">
        <v>737</v>
      </c>
      <c r="L891">
        <v>6.33</v>
      </c>
      <c r="M891">
        <v>190244.62</v>
      </c>
      <c r="N891">
        <v>40.76</v>
      </c>
    </row>
    <row r="892" spans="1:14" x14ac:dyDescent="0.25">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row>
    <row r="893" spans="1:14" x14ac:dyDescent="0.25">
      <c r="A893" s="1">
        <v>45545</v>
      </c>
      <c r="B893" t="s">
        <v>14</v>
      </c>
      <c r="C893" t="s">
        <v>24</v>
      </c>
      <c r="D893" t="s">
        <v>30</v>
      </c>
      <c r="E893" t="s">
        <v>17</v>
      </c>
      <c r="F893">
        <v>104969</v>
      </c>
      <c r="G893">
        <v>5773</v>
      </c>
      <c r="H893">
        <v>5.5E-2</v>
      </c>
      <c r="I893">
        <v>1.42</v>
      </c>
      <c r="J893">
        <v>8197.66</v>
      </c>
      <c r="K893">
        <v>142</v>
      </c>
      <c r="L893">
        <v>57.73</v>
      </c>
      <c r="M893">
        <v>24245.52</v>
      </c>
      <c r="N893">
        <v>2.96</v>
      </c>
    </row>
    <row r="894" spans="1:14" x14ac:dyDescent="0.25">
      <c r="A894" s="1">
        <v>45446</v>
      </c>
      <c r="B894" t="s">
        <v>18</v>
      </c>
      <c r="C894" t="s">
        <v>24</v>
      </c>
      <c r="D894" t="s">
        <v>16</v>
      </c>
      <c r="E894" t="s">
        <v>31</v>
      </c>
      <c r="F894">
        <v>80885</v>
      </c>
      <c r="G894">
        <v>3995</v>
      </c>
      <c r="H894">
        <v>4.9399999999999999E-2</v>
      </c>
      <c r="I894">
        <v>0.44</v>
      </c>
      <c r="J894">
        <v>1757.8</v>
      </c>
      <c r="K894">
        <v>79</v>
      </c>
      <c r="L894">
        <v>22.25</v>
      </c>
      <c r="M894">
        <v>10692.34</v>
      </c>
      <c r="N894">
        <v>6.08</v>
      </c>
    </row>
    <row r="895" spans="1:14" x14ac:dyDescent="0.25">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row>
    <row r="896" spans="1:14" x14ac:dyDescent="0.25">
      <c r="A896" s="1">
        <v>45372</v>
      </c>
      <c r="B896" t="s">
        <v>28</v>
      </c>
      <c r="C896" t="s">
        <v>15</v>
      </c>
      <c r="D896" t="s">
        <v>25</v>
      </c>
      <c r="E896" t="s">
        <v>31</v>
      </c>
      <c r="F896">
        <v>198074</v>
      </c>
      <c r="G896">
        <v>5783</v>
      </c>
      <c r="H896">
        <v>2.92E-2</v>
      </c>
      <c r="I896">
        <v>0.61</v>
      </c>
      <c r="J896">
        <v>3527.63</v>
      </c>
      <c r="K896">
        <v>263</v>
      </c>
      <c r="L896">
        <v>13.41</v>
      </c>
      <c r="M896">
        <v>60037.86</v>
      </c>
      <c r="N896">
        <v>17.02</v>
      </c>
    </row>
    <row r="897" spans="1:14" x14ac:dyDescent="0.25">
      <c r="A897" s="1">
        <v>45613</v>
      </c>
      <c r="B897" t="s">
        <v>14</v>
      </c>
      <c r="C897" t="s">
        <v>15</v>
      </c>
      <c r="D897" t="s">
        <v>19</v>
      </c>
      <c r="E897" t="s">
        <v>20</v>
      </c>
      <c r="F897">
        <v>115282</v>
      </c>
      <c r="G897">
        <v>4876</v>
      </c>
      <c r="H897">
        <v>4.2299999999999997E-2</v>
      </c>
      <c r="I897">
        <v>3.76</v>
      </c>
      <c r="J897">
        <v>18333.759999999998</v>
      </c>
      <c r="K897">
        <v>77</v>
      </c>
      <c r="L897">
        <v>238.1</v>
      </c>
      <c r="M897">
        <v>2427.15</v>
      </c>
      <c r="N897">
        <v>0.13</v>
      </c>
    </row>
    <row r="898" spans="1:14" x14ac:dyDescent="0.25">
      <c r="A898" s="1">
        <v>45349</v>
      </c>
      <c r="B898" t="s">
        <v>14</v>
      </c>
      <c r="C898" t="s">
        <v>29</v>
      </c>
      <c r="D898" t="s">
        <v>22</v>
      </c>
      <c r="E898" t="s">
        <v>23</v>
      </c>
      <c r="F898">
        <v>45880</v>
      </c>
      <c r="G898">
        <v>2817</v>
      </c>
      <c r="H898">
        <v>6.1400000000000003E-2</v>
      </c>
      <c r="I898">
        <v>1.1399999999999999</v>
      </c>
      <c r="J898">
        <v>3211.38</v>
      </c>
      <c r="K898">
        <v>62</v>
      </c>
      <c r="L898">
        <v>51.8</v>
      </c>
      <c r="M898">
        <v>2770.83</v>
      </c>
      <c r="N898">
        <v>0.86</v>
      </c>
    </row>
    <row r="899" spans="1:14" x14ac:dyDescent="0.25">
      <c r="A899" s="1">
        <v>45433</v>
      </c>
      <c r="B899" t="s">
        <v>28</v>
      </c>
      <c r="C899" t="s">
        <v>15</v>
      </c>
      <c r="D899" t="s">
        <v>22</v>
      </c>
      <c r="E899" t="s">
        <v>26</v>
      </c>
      <c r="F899">
        <v>20993</v>
      </c>
      <c r="G899">
        <v>583</v>
      </c>
      <c r="H899">
        <v>2.7799999999999998E-2</v>
      </c>
      <c r="I899">
        <v>1.28</v>
      </c>
      <c r="J899">
        <v>746.24</v>
      </c>
      <c r="K899">
        <v>45</v>
      </c>
      <c r="L899">
        <v>16.579999999999998</v>
      </c>
      <c r="M899">
        <v>4493.83</v>
      </c>
      <c r="N899">
        <v>6.02</v>
      </c>
    </row>
    <row r="900" spans="1:14" x14ac:dyDescent="0.25">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row>
    <row r="901" spans="1:14" x14ac:dyDescent="0.25">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row>
    <row r="902" spans="1:14" x14ac:dyDescent="0.25">
      <c r="A902" s="1">
        <v>45318</v>
      </c>
      <c r="B902" t="s">
        <v>18</v>
      </c>
      <c r="C902" t="s">
        <v>15</v>
      </c>
      <c r="D902" t="s">
        <v>22</v>
      </c>
      <c r="E902" t="s">
        <v>27</v>
      </c>
      <c r="F902">
        <v>69198</v>
      </c>
      <c r="G902">
        <v>3529</v>
      </c>
      <c r="H902">
        <v>5.0999999999999997E-2</v>
      </c>
      <c r="I902">
        <v>0.55000000000000004</v>
      </c>
      <c r="J902">
        <v>1940.95</v>
      </c>
      <c r="K902">
        <v>256</v>
      </c>
      <c r="L902">
        <v>7.58</v>
      </c>
      <c r="M902">
        <v>15199.33</v>
      </c>
      <c r="N902">
        <v>7.83</v>
      </c>
    </row>
    <row r="903" spans="1:14" x14ac:dyDescent="0.25">
      <c r="A903" s="1">
        <v>45634</v>
      </c>
      <c r="B903" t="s">
        <v>28</v>
      </c>
      <c r="C903" t="s">
        <v>15</v>
      </c>
      <c r="D903" t="s">
        <v>22</v>
      </c>
      <c r="E903" t="s">
        <v>20</v>
      </c>
      <c r="F903">
        <v>46936</v>
      </c>
      <c r="G903">
        <v>2234</v>
      </c>
      <c r="H903">
        <v>4.7600000000000003E-2</v>
      </c>
      <c r="I903">
        <v>0.79</v>
      </c>
      <c r="J903">
        <v>1764.86</v>
      </c>
      <c r="K903">
        <v>55</v>
      </c>
      <c r="L903">
        <v>32.090000000000003</v>
      </c>
      <c r="M903">
        <v>5977.87</v>
      </c>
      <c r="N903">
        <v>3.39</v>
      </c>
    </row>
    <row r="904" spans="1:14" x14ac:dyDescent="0.25">
      <c r="A904" s="1">
        <v>45477</v>
      </c>
      <c r="B904" t="s">
        <v>18</v>
      </c>
      <c r="C904" t="s">
        <v>21</v>
      </c>
      <c r="D904" t="s">
        <v>19</v>
      </c>
      <c r="E904" t="s">
        <v>31</v>
      </c>
      <c r="F904">
        <v>21689</v>
      </c>
      <c r="G904">
        <v>895</v>
      </c>
      <c r="H904">
        <v>4.1300000000000003E-2</v>
      </c>
      <c r="I904">
        <v>0.95</v>
      </c>
      <c r="J904">
        <v>850.25</v>
      </c>
      <c r="K904">
        <v>22</v>
      </c>
      <c r="L904">
        <v>38.65</v>
      </c>
      <c r="M904">
        <v>4747.38</v>
      </c>
      <c r="N904">
        <v>5.58</v>
      </c>
    </row>
    <row r="905" spans="1:14" x14ac:dyDescent="0.25">
      <c r="A905" s="1">
        <v>45365</v>
      </c>
      <c r="B905" t="s">
        <v>18</v>
      </c>
      <c r="C905" t="s">
        <v>15</v>
      </c>
      <c r="D905" t="s">
        <v>19</v>
      </c>
      <c r="E905" t="s">
        <v>31</v>
      </c>
      <c r="F905">
        <v>24504</v>
      </c>
      <c r="G905">
        <v>899</v>
      </c>
      <c r="H905">
        <v>3.6700000000000003E-2</v>
      </c>
      <c r="I905">
        <v>1.42</v>
      </c>
      <c r="J905">
        <v>1276.58</v>
      </c>
      <c r="K905">
        <v>41</v>
      </c>
      <c r="L905">
        <v>31.14</v>
      </c>
      <c r="M905">
        <v>3721.4</v>
      </c>
      <c r="N905">
        <v>2.92</v>
      </c>
    </row>
    <row r="906" spans="1:14" x14ac:dyDescent="0.25">
      <c r="A906" s="1">
        <v>45398</v>
      </c>
      <c r="B906" t="s">
        <v>28</v>
      </c>
      <c r="C906" t="s">
        <v>24</v>
      </c>
      <c r="D906" t="s">
        <v>30</v>
      </c>
      <c r="E906" t="s">
        <v>27</v>
      </c>
      <c r="F906">
        <v>119053</v>
      </c>
      <c r="G906">
        <v>4000</v>
      </c>
      <c r="H906">
        <v>3.3599999999999998E-2</v>
      </c>
      <c r="I906">
        <v>1.01</v>
      </c>
      <c r="J906">
        <v>4040</v>
      </c>
      <c r="K906">
        <v>152</v>
      </c>
      <c r="L906">
        <v>26.58</v>
      </c>
      <c r="M906">
        <v>25959.16</v>
      </c>
      <c r="N906">
        <v>6.43</v>
      </c>
    </row>
    <row r="907" spans="1:14" x14ac:dyDescent="0.25">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row>
    <row r="908" spans="1:14" x14ac:dyDescent="0.25">
      <c r="A908" s="1">
        <v>45508</v>
      </c>
      <c r="B908" t="s">
        <v>14</v>
      </c>
      <c r="C908" t="s">
        <v>24</v>
      </c>
      <c r="D908" t="s">
        <v>19</v>
      </c>
      <c r="E908" t="s">
        <v>20</v>
      </c>
      <c r="F908">
        <v>158627</v>
      </c>
      <c r="G908">
        <v>7725</v>
      </c>
      <c r="H908">
        <v>4.87E-2</v>
      </c>
      <c r="I908">
        <v>2.88</v>
      </c>
      <c r="J908">
        <v>22248</v>
      </c>
      <c r="K908">
        <v>299</v>
      </c>
      <c r="L908">
        <v>74.41</v>
      </c>
      <c r="M908">
        <v>66700.13</v>
      </c>
      <c r="N908">
        <v>3</v>
      </c>
    </row>
    <row r="909" spans="1:14" x14ac:dyDescent="0.25">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row>
    <row r="910" spans="1:14" x14ac:dyDescent="0.25">
      <c r="A910" s="1">
        <v>45367</v>
      </c>
      <c r="B910" t="s">
        <v>28</v>
      </c>
      <c r="C910" t="s">
        <v>24</v>
      </c>
      <c r="D910" t="s">
        <v>19</v>
      </c>
      <c r="E910" t="s">
        <v>23</v>
      </c>
      <c r="F910">
        <v>196112</v>
      </c>
      <c r="G910">
        <v>2647</v>
      </c>
      <c r="H910">
        <v>1.35E-2</v>
      </c>
      <c r="I910">
        <v>1.51</v>
      </c>
      <c r="J910">
        <v>3996.97</v>
      </c>
      <c r="K910">
        <v>187</v>
      </c>
      <c r="L910">
        <v>21.37</v>
      </c>
      <c r="M910">
        <v>16387.669999999998</v>
      </c>
      <c r="N910">
        <v>4.0999999999999996</v>
      </c>
    </row>
    <row r="911" spans="1:14" x14ac:dyDescent="0.25">
      <c r="A911" s="1">
        <v>45337</v>
      </c>
      <c r="B911" t="s">
        <v>28</v>
      </c>
      <c r="C911" t="s">
        <v>29</v>
      </c>
      <c r="D911" t="s">
        <v>19</v>
      </c>
      <c r="E911" t="s">
        <v>26</v>
      </c>
      <c r="F911">
        <v>67167</v>
      </c>
      <c r="G911">
        <v>1907</v>
      </c>
      <c r="H911">
        <v>2.8400000000000002E-2</v>
      </c>
      <c r="I911">
        <v>1.43</v>
      </c>
      <c r="J911">
        <v>2727.01</v>
      </c>
      <c r="K911">
        <v>114</v>
      </c>
      <c r="L911">
        <v>23.92</v>
      </c>
      <c r="M911">
        <v>20596.75</v>
      </c>
      <c r="N911">
        <v>7.55</v>
      </c>
    </row>
    <row r="912" spans="1:14" x14ac:dyDescent="0.25">
      <c r="A912" s="1">
        <v>45511</v>
      </c>
      <c r="B912" t="s">
        <v>14</v>
      </c>
      <c r="C912" t="s">
        <v>29</v>
      </c>
      <c r="D912" t="s">
        <v>22</v>
      </c>
      <c r="E912" t="s">
        <v>31</v>
      </c>
      <c r="F912">
        <v>90550</v>
      </c>
      <c r="G912">
        <v>3966</v>
      </c>
      <c r="H912">
        <v>4.3799999999999999E-2</v>
      </c>
      <c r="I912">
        <v>2.76</v>
      </c>
      <c r="J912">
        <v>10946.16</v>
      </c>
      <c r="K912">
        <v>207</v>
      </c>
      <c r="L912">
        <v>52.88</v>
      </c>
      <c r="M912">
        <v>7960.57</v>
      </c>
      <c r="N912">
        <v>0.73</v>
      </c>
    </row>
    <row r="913" spans="1:14" x14ac:dyDescent="0.25">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row>
    <row r="914" spans="1:14" x14ac:dyDescent="0.25">
      <c r="A914" s="1">
        <v>45402</v>
      </c>
      <c r="B914" t="s">
        <v>14</v>
      </c>
      <c r="C914" t="s">
        <v>29</v>
      </c>
      <c r="D914" t="s">
        <v>16</v>
      </c>
      <c r="E914" t="s">
        <v>31</v>
      </c>
      <c r="F914">
        <v>157832</v>
      </c>
      <c r="G914">
        <v>4072</v>
      </c>
      <c r="H914">
        <v>2.58E-2</v>
      </c>
      <c r="I914">
        <v>2.38</v>
      </c>
      <c r="J914">
        <v>9691.36</v>
      </c>
      <c r="K914">
        <v>124</v>
      </c>
      <c r="L914">
        <v>78.16</v>
      </c>
      <c r="M914">
        <v>34560.39</v>
      </c>
      <c r="N914">
        <v>3.57</v>
      </c>
    </row>
    <row r="915" spans="1:14" x14ac:dyDescent="0.25">
      <c r="A915" s="1">
        <v>45562</v>
      </c>
      <c r="B915" t="s">
        <v>14</v>
      </c>
      <c r="C915" t="s">
        <v>21</v>
      </c>
      <c r="D915" t="s">
        <v>16</v>
      </c>
      <c r="E915" t="s">
        <v>31</v>
      </c>
      <c r="F915">
        <v>28958</v>
      </c>
      <c r="G915">
        <v>1355</v>
      </c>
      <c r="H915">
        <v>4.6800000000000001E-2</v>
      </c>
      <c r="I915">
        <v>2.87</v>
      </c>
      <c r="J915">
        <v>3888.85</v>
      </c>
      <c r="K915">
        <v>49</v>
      </c>
      <c r="L915">
        <v>79.36</v>
      </c>
      <c r="M915">
        <v>13909.3</v>
      </c>
      <c r="N915">
        <v>3.58</v>
      </c>
    </row>
    <row r="916" spans="1:14" x14ac:dyDescent="0.25">
      <c r="A916" s="1">
        <v>45605</v>
      </c>
      <c r="B916" t="s">
        <v>28</v>
      </c>
      <c r="C916" t="s">
        <v>24</v>
      </c>
      <c r="D916" t="s">
        <v>19</v>
      </c>
      <c r="E916" t="s">
        <v>17</v>
      </c>
      <c r="F916">
        <v>8487</v>
      </c>
      <c r="G916">
        <v>271</v>
      </c>
      <c r="H916">
        <v>3.2000000000000001E-2</v>
      </c>
      <c r="I916">
        <v>0.91</v>
      </c>
      <c r="J916">
        <v>246.61</v>
      </c>
      <c r="K916">
        <v>14</v>
      </c>
      <c r="L916">
        <v>17.62</v>
      </c>
      <c r="M916">
        <v>4179.96</v>
      </c>
      <c r="N916">
        <v>16.95</v>
      </c>
    </row>
    <row r="917" spans="1:14" x14ac:dyDescent="0.25">
      <c r="A917" s="1">
        <v>45295</v>
      </c>
      <c r="B917" t="s">
        <v>28</v>
      </c>
      <c r="C917" t="s">
        <v>24</v>
      </c>
      <c r="D917" t="s">
        <v>22</v>
      </c>
      <c r="E917" t="s">
        <v>27</v>
      </c>
      <c r="F917">
        <v>91284</v>
      </c>
      <c r="G917">
        <v>2126</v>
      </c>
      <c r="H917">
        <v>2.3300000000000001E-2</v>
      </c>
      <c r="I917">
        <v>0.92</v>
      </c>
      <c r="J917">
        <v>1955.92</v>
      </c>
      <c r="K917">
        <v>132</v>
      </c>
      <c r="L917">
        <v>14.82</v>
      </c>
      <c r="M917">
        <v>23916.94</v>
      </c>
      <c r="N917">
        <v>12.23</v>
      </c>
    </row>
    <row r="918" spans="1:14" x14ac:dyDescent="0.25">
      <c r="A918" s="1">
        <v>45373</v>
      </c>
      <c r="B918" t="s">
        <v>28</v>
      </c>
      <c r="C918" t="s">
        <v>21</v>
      </c>
      <c r="D918" t="s">
        <v>16</v>
      </c>
      <c r="E918" t="s">
        <v>26</v>
      </c>
      <c r="F918">
        <v>84737</v>
      </c>
      <c r="G918">
        <v>1415</v>
      </c>
      <c r="H918">
        <v>1.67E-2</v>
      </c>
      <c r="I918">
        <v>0.61</v>
      </c>
      <c r="J918">
        <v>863.15</v>
      </c>
      <c r="K918">
        <v>67</v>
      </c>
      <c r="L918">
        <v>12.88</v>
      </c>
      <c r="M918">
        <v>10044.57</v>
      </c>
      <c r="N918">
        <v>11.64</v>
      </c>
    </row>
    <row r="919" spans="1:14" x14ac:dyDescent="0.25">
      <c r="A919" s="1">
        <v>45622</v>
      </c>
      <c r="B919" t="s">
        <v>28</v>
      </c>
      <c r="C919" t="s">
        <v>15</v>
      </c>
      <c r="D919" t="s">
        <v>19</v>
      </c>
      <c r="E919" t="s">
        <v>32</v>
      </c>
      <c r="F919">
        <v>31547</v>
      </c>
      <c r="G919">
        <v>772</v>
      </c>
      <c r="H919">
        <v>2.4500000000000001E-2</v>
      </c>
      <c r="I919">
        <v>1.99</v>
      </c>
      <c r="J919">
        <v>1536.28</v>
      </c>
      <c r="K919">
        <v>15</v>
      </c>
      <c r="L919">
        <v>102.42</v>
      </c>
      <c r="M919">
        <v>4188.5</v>
      </c>
      <c r="N919">
        <v>2.73</v>
      </c>
    </row>
    <row r="920" spans="1:14" x14ac:dyDescent="0.25">
      <c r="A920" s="1">
        <v>45655</v>
      </c>
      <c r="B920" t="s">
        <v>28</v>
      </c>
      <c r="C920" t="s">
        <v>21</v>
      </c>
      <c r="D920" t="s">
        <v>25</v>
      </c>
      <c r="E920" t="s">
        <v>27</v>
      </c>
      <c r="F920">
        <v>162038</v>
      </c>
      <c r="G920">
        <v>2722</v>
      </c>
      <c r="H920">
        <v>1.6799999999999999E-2</v>
      </c>
      <c r="I920">
        <v>0.77</v>
      </c>
      <c r="J920">
        <v>2095.94</v>
      </c>
      <c r="K920">
        <v>71</v>
      </c>
      <c r="L920">
        <v>29.52</v>
      </c>
      <c r="M920">
        <v>16951.259999999998</v>
      </c>
      <c r="N920">
        <v>8.09</v>
      </c>
    </row>
    <row r="921" spans="1:14" x14ac:dyDescent="0.25">
      <c r="A921" s="1">
        <v>45532</v>
      </c>
      <c r="B921" t="s">
        <v>14</v>
      </c>
      <c r="C921" t="s">
        <v>21</v>
      </c>
      <c r="D921" t="s">
        <v>19</v>
      </c>
      <c r="E921" t="s">
        <v>17</v>
      </c>
      <c r="F921">
        <v>145119</v>
      </c>
      <c r="G921">
        <v>9998</v>
      </c>
      <c r="H921">
        <v>6.8900000000000003E-2</v>
      </c>
      <c r="I921">
        <v>1.46</v>
      </c>
      <c r="J921">
        <v>14597.08</v>
      </c>
      <c r="K921">
        <v>233</v>
      </c>
      <c r="L921">
        <v>62.65</v>
      </c>
      <c r="M921">
        <v>60859.85</v>
      </c>
      <c r="N921">
        <v>4.17</v>
      </c>
    </row>
    <row r="922" spans="1:14" x14ac:dyDescent="0.25">
      <c r="A922" s="1">
        <v>45422</v>
      </c>
      <c r="B922" t="s">
        <v>18</v>
      </c>
      <c r="C922" t="s">
        <v>29</v>
      </c>
      <c r="D922" t="s">
        <v>22</v>
      </c>
      <c r="E922" t="s">
        <v>27</v>
      </c>
      <c r="F922">
        <v>92601</v>
      </c>
      <c r="G922">
        <v>4065</v>
      </c>
      <c r="H922">
        <v>4.3900000000000002E-2</v>
      </c>
      <c r="I922">
        <v>0.52</v>
      </c>
      <c r="J922">
        <v>2113.8000000000002</v>
      </c>
      <c r="K922">
        <v>324</v>
      </c>
      <c r="L922">
        <v>6.52</v>
      </c>
      <c r="M922">
        <v>24076.73</v>
      </c>
      <c r="N922">
        <v>11.39</v>
      </c>
    </row>
    <row r="923" spans="1:14" x14ac:dyDescent="0.25">
      <c r="A923" s="1">
        <v>45656</v>
      </c>
      <c r="B923" t="s">
        <v>14</v>
      </c>
      <c r="C923" t="s">
        <v>24</v>
      </c>
      <c r="D923" t="s">
        <v>22</v>
      </c>
      <c r="E923" t="s">
        <v>27</v>
      </c>
      <c r="F923">
        <v>148041</v>
      </c>
      <c r="G923">
        <v>8053</v>
      </c>
      <c r="H923">
        <v>5.4399999999999997E-2</v>
      </c>
      <c r="I923">
        <v>3.47</v>
      </c>
      <c r="J923">
        <v>27943.91</v>
      </c>
      <c r="K923">
        <v>98</v>
      </c>
      <c r="L923">
        <v>285.14</v>
      </c>
      <c r="M923">
        <v>4146.07</v>
      </c>
      <c r="N923">
        <v>0.15</v>
      </c>
    </row>
    <row r="924" spans="1:14" x14ac:dyDescent="0.25">
      <c r="A924" s="1">
        <v>45560</v>
      </c>
      <c r="B924" t="s">
        <v>14</v>
      </c>
      <c r="C924" t="s">
        <v>29</v>
      </c>
      <c r="D924" t="s">
        <v>30</v>
      </c>
      <c r="E924" t="s">
        <v>20</v>
      </c>
      <c r="F924">
        <v>25195</v>
      </c>
      <c r="G924">
        <v>738</v>
      </c>
      <c r="H924">
        <v>2.93E-2</v>
      </c>
      <c r="I924">
        <v>2.61</v>
      </c>
      <c r="J924">
        <v>1926.18</v>
      </c>
      <c r="K924">
        <v>12</v>
      </c>
      <c r="L924">
        <v>160.52000000000001</v>
      </c>
      <c r="M924">
        <v>432.4</v>
      </c>
      <c r="N924">
        <v>0.22</v>
      </c>
    </row>
    <row r="925" spans="1:14" x14ac:dyDescent="0.25">
      <c r="A925" s="1">
        <v>45312</v>
      </c>
      <c r="B925" t="s">
        <v>14</v>
      </c>
      <c r="C925" t="s">
        <v>29</v>
      </c>
      <c r="D925" t="s">
        <v>19</v>
      </c>
      <c r="E925" t="s">
        <v>32</v>
      </c>
      <c r="F925">
        <v>186465</v>
      </c>
      <c r="G925">
        <v>8689</v>
      </c>
      <c r="H925">
        <v>4.6600000000000003E-2</v>
      </c>
      <c r="I925">
        <v>2.42</v>
      </c>
      <c r="J925">
        <v>21027.38</v>
      </c>
      <c r="K925">
        <v>367</v>
      </c>
      <c r="L925">
        <v>57.3</v>
      </c>
      <c r="M925">
        <v>57833.06</v>
      </c>
      <c r="N925">
        <v>2.75</v>
      </c>
    </row>
    <row r="926" spans="1:14" x14ac:dyDescent="0.25">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row>
    <row r="927" spans="1:14" x14ac:dyDescent="0.25">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row>
    <row r="928" spans="1:14" x14ac:dyDescent="0.25">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row>
    <row r="929" spans="1:14" x14ac:dyDescent="0.25">
      <c r="A929" s="1">
        <v>45329</v>
      </c>
      <c r="B929" t="s">
        <v>14</v>
      </c>
      <c r="C929" t="s">
        <v>15</v>
      </c>
      <c r="D929" t="s">
        <v>16</v>
      </c>
      <c r="E929" t="s">
        <v>26</v>
      </c>
      <c r="F929">
        <v>163349</v>
      </c>
      <c r="G929">
        <v>7906</v>
      </c>
      <c r="H929">
        <v>4.8399999999999999E-2</v>
      </c>
      <c r="I929">
        <v>2.68</v>
      </c>
      <c r="J929">
        <v>21188.080000000002</v>
      </c>
      <c r="K929">
        <v>360</v>
      </c>
      <c r="L929">
        <v>58.86</v>
      </c>
      <c r="M929">
        <v>44353.83</v>
      </c>
      <c r="N929">
        <v>2.09</v>
      </c>
    </row>
    <row r="930" spans="1:14" x14ac:dyDescent="0.25">
      <c r="A930" s="1">
        <v>45535</v>
      </c>
      <c r="B930" t="s">
        <v>14</v>
      </c>
      <c r="C930" t="s">
        <v>21</v>
      </c>
      <c r="D930" t="s">
        <v>22</v>
      </c>
      <c r="E930" t="s">
        <v>23</v>
      </c>
      <c r="F930">
        <v>166957</v>
      </c>
      <c r="G930">
        <v>5476</v>
      </c>
      <c r="H930">
        <v>3.2800000000000003E-2</v>
      </c>
      <c r="I930">
        <v>1.22</v>
      </c>
      <c r="J930">
        <v>6680.72</v>
      </c>
      <c r="K930">
        <v>137</v>
      </c>
      <c r="L930">
        <v>48.76</v>
      </c>
      <c r="M930">
        <v>35345.21</v>
      </c>
      <c r="N930">
        <v>5.29</v>
      </c>
    </row>
    <row r="931" spans="1:14" x14ac:dyDescent="0.25">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row>
    <row r="932" spans="1:14" x14ac:dyDescent="0.25">
      <c r="A932" s="1">
        <v>45600</v>
      </c>
      <c r="B932" t="s">
        <v>14</v>
      </c>
      <c r="C932" t="s">
        <v>29</v>
      </c>
      <c r="D932" t="s">
        <v>19</v>
      </c>
      <c r="E932" t="s">
        <v>31</v>
      </c>
      <c r="F932">
        <v>158441</v>
      </c>
      <c r="G932">
        <v>3976</v>
      </c>
      <c r="H932">
        <v>2.5100000000000001E-2</v>
      </c>
      <c r="I932">
        <v>2.72</v>
      </c>
      <c r="J932">
        <v>10814.72</v>
      </c>
      <c r="K932">
        <v>300</v>
      </c>
      <c r="L932">
        <v>36.049999999999997</v>
      </c>
      <c r="M932">
        <v>51868.85</v>
      </c>
      <c r="N932">
        <v>4.8</v>
      </c>
    </row>
    <row r="933" spans="1:14" x14ac:dyDescent="0.25">
      <c r="A933" s="1">
        <v>45651</v>
      </c>
      <c r="B933" t="s">
        <v>14</v>
      </c>
      <c r="C933" t="s">
        <v>29</v>
      </c>
      <c r="D933" t="s">
        <v>30</v>
      </c>
      <c r="E933" t="s">
        <v>20</v>
      </c>
      <c r="F933">
        <v>10380</v>
      </c>
      <c r="G933">
        <v>503</v>
      </c>
      <c r="H933">
        <v>4.8500000000000001E-2</v>
      </c>
      <c r="I933">
        <v>2</v>
      </c>
      <c r="J933">
        <v>1006</v>
      </c>
      <c r="K933">
        <v>15</v>
      </c>
      <c r="L933">
        <v>67.069999999999993</v>
      </c>
      <c r="M933">
        <v>1306.45</v>
      </c>
      <c r="N933">
        <v>1.3</v>
      </c>
    </row>
    <row r="934" spans="1:14" x14ac:dyDescent="0.25">
      <c r="A934" s="1">
        <v>45556</v>
      </c>
      <c r="B934" t="s">
        <v>14</v>
      </c>
      <c r="C934" t="s">
        <v>24</v>
      </c>
      <c r="D934" t="s">
        <v>25</v>
      </c>
      <c r="E934" t="s">
        <v>32</v>
      </c>
      <c r="F934">
        <v>27791</v>
      </c>
      <c r="G934">
        <v>930</v>
      </c>
      <c r="H934">
        <v>3.3500000000000002E-2</v>
      </c>
      <c r="I934">
        <v>1.49</v>
      </c>
      <c r="J934">
        <v>1385.7</v>
      </c>
      <c r="K934">
        <v>73</v>
      </c>
      <c r="L934">
        <v>18.98</v>
      </c>
      <c r="M934">
        <v>10712.26</v>
      </c>
      <c r="N934">
        <v>7.73</v>
      </c>
    </row>
    <row r="935" spans="1:14" x14ac:dyDescent="0.25">
      <c r="A935" s="1">
        <v>45379</v>
      </c>
      <c r="B935" t="s">
        <v>28</v>
      </c>
      <c r="C935" t="s">
        <v>24</v>
      </c>
      <c r="D935" t="s">
        <v>30</v>
      </c>
      <c r="E935" t="s">
        <v>32</v>
      </c>
      <c r="F935">
        <v>124870</v>
      </c>
      <c r="G935">
        <v>2622</v>
      </c>
      <c r="H935">
        <v>2.1000000000000001E-2</v>
      </c>
      <c r="I935">
        <v>1.68</v>
      </c>
      <c r="J935">
        <v>4404.96</v>
      </c>
      <c r="K935">
        <v>140</v>
      </c>
      <c r="L935">
        <v>31.46</v>
      </c>
      <c r="M935">
        <v>13095.31</v>
      </c>
      <c r="N935">
        <v>2.97</v>
      </c>
    </row>
    <row r="936" spans="1:14" x14ac:dyDescent="0.25">
      <c r="A936" s="1">
        <v>45534</v>
      </c>
      <c r="B936" t="s">
        <v>28</v>
      </c>
      <c r="C936" t="s">
        <v>29</v>
      </c>
      <c r="D936" t="s">
        <v>22</v>
      </c>
      <c r="E936" t="s">
        <v>32</v>
      </c>
      <c r="F936">
        <v>137053</v>
      </c>
      <c r="G936">
        <v>5550</v>
      </c>
      <c r="H936">
        <v>4.0500000000000001E-2</v>
      </c>
      <c r="I936">
        <v>1.52</v>
      </c>
      <c r="J936">
        <v>8436</v>
      </c>
      <c r="K936">
        <v>381</v>
      </c>
      <c r="L936">
        <v>22.14</v>
      </c>
      <c r="M936">
        <v>43644.89</v>
      </c>
      <c r="N936">
        <v>5.17</v>
      </c>
    </row>
    <row r="937" spans="1:14" x14ac:dyDescent="0.25">
      <c r="A937" s="1">
        <v>45403</v>
      </c>
      <c r="B937" t="s">
        <v>28</v>
      </c>
      <c r="C937" t="s">
        <v>15</v>
      </c>
      <c r="D937" t="s">
        <v>30</v>
      </c>
      <c r="E937" t="s">
        <v>17</v>
      </c>
      <c r="F937">
        <v>43062</v>
      </c>
      <c r="G937">
        <v>1322</v>
      </c>
      <c r="H937">
        <v>3.0700000000000002E-2</v>
      </c>
      <c r="I937">
        <v>0.7</v>
      </c>
      <c r="J937">
        <v>925.4</v>
      </c>
      <c r="K937">
        <v>23</v>
      </c>
      <c r="L937">
        <v>40.229999999999997</v>
      </c>
      <c r="M937">
        <v>2104.08</v>
      </c>
      <c r="N937">
        <v>2.27</v>
      </c>
    </row>
    <row r="938" spans="1:14" x14ac:dyDescent="0.25">
      <c r="A938" s="1">
        <v>45538</v>
      </c>
      <c r="B938" t="s">
        <v>14</v>
      </c>
      <c r="C938" t="s">
        <v>21</v>
      </c>
      <c r="D938" t="s">
        <v>25</v>
      </c>
      <c r="E938" t="s">
        <v>23</v>
      </c>
      <c r="F938">
        <v>177472</v>
      </c>
      <c r="G938">
        <v>9210</v>
      </c>
      <c r="H938">
        <v>5.1900000000000002E-2</v>
      </c>
      <c r="I938">
        <v>2.0299999999999998</v>
      </c>
      <c r="J938">
        <v>18696.3</v>
      </c>
      <c r="K938">
        <v>410</v>
      </c>
      <c r="L938">
        <v>45.6</v>
      </c>
      <c r="M938">
        <v>45066.38</v>
      </c>
      <c r="N938">
        <v>2.41</v>
      </c>
    </row>
    <row r="939" spans="1:14" x14ac:dyDescent="0.25">
      <c r="A939" s="1">
        <v>45438</v>
      </c>
      <c r="B939" t="s">
        <v>14</v>
      </c>
      <c r="C939" t="s">
        <v>29</v>
      </c>
      <c r="D939" t="s">
        <v>22</v>
      </c>
      <c r="E939" t="s">
        <v>32</v>
      </c>
      <c r="F939">
        <v>25967</v>
      </c>
      <c r="G939">
        <v>656</v>
      </c>
      <c r="H939">
        <v>2.53E-2</v>
      </c>
      <c r="I939">
        <v>2.69</v>
      </c>
      <c r="J939">
        <v>1764.64</v>
      </c>
      <c r="K939">
        <v>24</v>
      </c>
      <c r="L939">
        <v>73.53</v>
      </c>
      <c r="M939">
        <v>1078.6199999999999</v>
      </c>
      <c r="N939">
        <v>0.61</v>
      </c>
    </row>
    <row r="940" spans="1:14" x14ac:dyDescent="0.25">
      <c r="A940" s="1">
        <v>45560</v>
      </c>
      <c r="B940" t="s">
        <v>18</v>
      </c>
      <c r="C940" t="s">
        <v>24</v>
      </c>
      <c r="D940" t="s">
        <v>25</v>
      </c>
      <c r="E940" t="s">
        <v>27</v>
      </c>
      <c r="F940">
        <v>139162</v>
      </c>
      <c r="G940">
        <v>7152</v>
      </c>
      <c r="H940">
        <v>5.1400000000000001E-2</v>
      </c>
      <c r="I940">
        <v>1.39</v>
      </c>
      <c r="J940">
        <v>9941.2800000000007</v>
      </c>
      <c r="K940">
        <v>137</v>
      </c>
      <c r="L940">
        <v>72.56</v>
      </c>
      <c r="M940">
        <v>29124.09</v>
      </c>
      <c r="N940">
        <v>2.93</v>
      </c>
    </row>
    <row r="941" spans="1:14" x14ac:dyDescent="0.25">
      <c r="A941" s="1">
        <v>45648</v>
      </c>
      <c r="B941" t="s">
        <v>14</v>
      </c>
      <c r="C941" t="s">
        <v>29</v>
      </c>
      <c r="D941" t="s">
        <v>16</v>
      </c>
      <c r="E941" t="s">
        <v>20</v>
      </c>
      <c r="F941">
        <v>45364</v>
      </c>
      <c r="G941">
        <v>1628</v>
      </c>
      <c r="H941">
        <v>3.5900000000000001E-2</v>
      </c>
      <c r="I941">
        <v>1.23</v>
      </c>
      <c r="J941">
        <v>2002.44</v>
      </c>
      <c r="K941">
        <v>113</v>
      </c>
      <c r="L941">
        <v>17.72</v>
      </c>
      <c r="M941">
        <v>10930.4</v>
      </c>
      <c r="N941">
        <v>5.46</v>
      </c>
    </row>
    <row r="942" spans="1:14" x14ac:dyDescent="0.25">
      <c r="A942" s="1">
        <v>45306</v>
      </c>
      <c r="B942" t="s">
        <v>14</v>
      </c>
      <c r="C942" t="s">
        <v>29</v>
      </c>
      <c r="D942" t="s">
        <v>30</v>
      </c>
      <c r="E942" t="s">
        <v>20</v>
      </c>
      <c r="F942">
        <v>62320</v>
      </c>
      <c r="G942">
        <v>3857</v>
      </c>
      <c r="H942">
        <v>6.1899999999999997E-2</v>
      </c>
      <c r="I942">
        <v>1.01</v>
      </c>
      <c r="J942">
        <v>3895.57</v>
      </c>
      <c r="K942">
        <v>158</v>
      </c>
      <c r="L942">
        <v>24.66</v>
      </c>
      <c r="M942">
        <v>17905.2</v>
      </c>
      <c r="N942">
        <v>4.5999999999999996</v>
      </c>
    </row>
    <row r="943" spans="1:14" x14ac:dyDescent="0.25">
      <c r="A943" s="1">
        <v>45611</v>
      </c>
      <c r="B943" t="s">
        <v>28</v>
      </c>
      <c r="C943" t="s">
        <v>24</v>
      </c>
      <c r="D943" t="s">
        <v>25</v>
      </c>
      <c r="E943" t="s">
        <v>27</v>
      </c>
      <c r="F943">
        <v>141436</v>
      </c>
      <c r="G943">
        <v>3026</v>
      </c>
      <c r="H943">
        <v>2.1399999999999999E-2</v>
      </c>
      <c r="I943">
        <v>1.84</v>
      </c>
      <c r="J943">
        <v>5567.84</v>
      </c>
      <c r="K943">
        <v>108</v>
      </c>
      <c r="L943">
        <v>51.55</v>
      </c>
      <c r="M943">
        <v>24540.41</v>
      </c>
      <c r="N943">
        <v>4.41</v>
      </c>
    </row>
    <row r="944" spans="1:14" x14ac:dyDescent="0.25">
      <c r="A944" s="1">
        <v>45583</v>
      </c>
      <c r="B944" t="s">
        <v>28</v>
      </c>
      <c r="C944" t="s">
        <v>21</v>
      </c>
      <c r="D944" t="s">
        <v>19</v>
      </c>
      <c r="E944" t="s">
        <v>26</v>
      </c>
      <c r="F944">
        <v>152318</v>
      </c>
      <c r="G944">
        <v>4554</v>
      </c>
      <c r="H944">
        <v>2.9899999999999999E-2</v>
      </c>
      <c r="I944">
        <v>1.08</v>
      </c>
      <c r="J944">
        <v>4918.32</v>
      </c>
      <c r="K944">
        <v>296</v>
      </c>
      <c r="L944">
        <v>16.62</v>
      </c>
      <c r="M944">
        <v>64805.54</v>
      </c>
      <c r="N944">
        <v>13.18</v>
      </c>
    </row>
    <row r="945" spans="1:14" x14ac:dyDescent="0.25">
      <c r="A945" s="1">
        <v>45536</v>
      </c>
      <c r="B945" t="s">
        <v>14</v>
      </c>
      <c r="C945" t="s">
        <v>15</v>
      </c>
      <c r="D945" t="s">
        <v>25</v>
      </c>
      <c r="E945" t="s">
        <v>23</v>
      </c>
      <c r="F945">
        <v>27778</v>
      </c>
      <c r="G945">
        <v>1902</v>
      </c>
      <c r="H945">
        <v>6.8500000000000005E-2</v>
      </c>
      <c r="I945">
        <v>1.55</v>
      </c>
      <c r="J945">
        <v>2948.1</v>
      </c>
      <c r="K945">
        <v>125</v>
      </c>
      <c r="L945">
        <v>23.58</v>
      </c>
      <c r="M945">
        <v>15444.21</v>
      </c>
      <c r="N945">
        <v>5.24</v>
      </c>
    </row>
    <row r="946" spans="1:14" x14ac:dyDescent="0.25">
      <c r="A946" s="1">
        <v>45523</v>
      </c>
      <c r="B946" t="s">
        <v>18</v>
      </c>
      <c r="C946" t="s">
        <v>21</v>
      </c>
      <c r="D946" t="s">
        <v>30</v>
      </c>
      <c r="E946" t="s">
        <v>20</v>
      </c>
      <c r="F946">
        <v>82400</v>
      </c>
      <c r="G946">
        <v>3708</v>
      </c>
      <c r="H946">
        <v>4.4999999999999998E-2</v>
      </c>
      <c r="I946">
        <v>0.8</v>
      </c>
      <c r="J946">
        <v>2966.4</v>
      </c>
      <c r="K946">
        <v>139</v>
      </c>
      <c r="L946">
        <v>21.34</v>
      </c>
      <c r="M946">
        <v>31548.51</v>
      </c>
      <c r="N946">
        <v>10.64</v>
      </c>
    </row>
    <row r="947" spans="1:14" x14ac:dyDescent="0.25">
      <c r="A947" s="1">
        <v>45625</v>
      </c>
      <c r="B947" t="s">
        <v>14</v>
      </c>
      <c r="C947" t="s">
        <v>15</v>
      </c>
      <c r="D947" t="s">
        <v>22</v>
      </c>
      <c r="E947" t="s">
        <v>20</v>
      </c>
      <c r="F947">
        <v>195606</v>
      </c>
      <c r="G947">
        <v>10817</v>
      </c>
      <c r="H947">
        <v>5.5300000000000002E-2</v>
      </c>
      <c r="I947">
        <v>3.53</v>
      </c>
      <c r="J947">
        <v>38184.01</v>
      </c>
      <c r="K947">
        <v>122</v>
      </c>
      <c r="L947">
        <v>312.98</v>
      </c>
      <c r="M947">
        <v>7355.91</v>
      </c>
      <c r="N947">
        <v>0.19</v>
      </c>
    </row>
    <row r="948" spans="1:14" x14ac:dyDescent="0.25">
      <c r="A948" s="1">
        <v>45616</v>
      </c>
      <c r="B948" t="s">
        <v>18</v>
      </c>
      <c r="C948" t="s">
        <v>24</v>
      </c>
      <c r="D948" t="s">
        <v>16</v>
      </c>
      <c r="E948" t="s">
        <v>27</v>
      </c>
      <c r="F948">
        <v>18181</v>
      </c>
      <c r="G948">
        <v>1179</v>
      </c>
      <c r="H948">
        <v>6.4899999999999999E-2</v>
      </c>
      <c r="I948">
        <v>0.64</v>
      </c>
      <c r="J948">
        <v>754.56</v>
      </c>
      <c r="K948">
        <v>24</v>
      </c>
      <c r="L948">
        <v>31.44</v>
      </c>
      <c r="M948">
        <v>4581.7</v>
      </c>
      <c r="N948">
        <v>6.07</v>
      </c>
    </row>
    <row r="949" spans="1:14" x14ac:dyDescent="0.25">
      <c r="A949" s="1">
        <v>45408</v>
      </c>
      <c r="B949" t="s">
        <v>14</v>
      </c>
      <c r="C949" t="s">
        <v>21</v>
      </c>
      <c r="D949" t="s">
        <v>25</v>
      </c>
      <c r="E949" t="s">
        <v>23</v>
      </c>
      <c r="F949">
        <v>86560</v>
      </c>
      <c r="G949">
        <v>5323</v>
      </c>
      <c r="H949">
        <v>6.1499999999999999E-2</v>
      </c>
      <c r="I949">
        <v>0.91</v>
      </c>
      <c r="J949">
        <v>4843.93</v>
      </c>
      <c r="K949">
        <v>94</v>
      </c>
      <c r="L949">
        <v>51.53</v>
      </c>
      <c r="M949">
        <v>8283.6200000000008</v>
      </c>
      <c r="N949">
        <v>1.71</v>
      </c>
    </row>
    <row r="950" spans="1:14" x14ac:dyDescent="0.25">
      <c r="A950" s="1">
        <v>45362</v>
      </c>
      <c r="B950" t="s">
        <v>14</v>
      </c>
      <c r="C950" t="s">
        <v>21</v>
      </c>
      <c r="D950" t="s">
        <v>16</v>
      </c>
      <c r="E950" t="s">
        <v>23</v>
      </c>
      <c r="F950">
        <v>89845</v>
      </c>
      <c r="G950">
        <v>2605</v>
      </c>
      <c r="H950">
        <v>2.9000000000000001E-2</v>
      </c>
      <c r="I950">
        <v>1.74</v>
      </c>
      <c r="J950">
        <v>4532.7</v>
      </c>
      <c r="K950">
        <v>155</v>
      </c>
      <c r="L950">
        <v>29.24</v>
      </c>
      <c r="M950">
        <v>14107.55</v>
      </c>
      <c r="N950">
        <v>3.11</v>
      </c>
    </row>
    <row r="951" spans="1:14" x14ac:dyDescent="0.25">
      <c r="A951" s="1">
        <v>45451</v>
      </c>
      <c r="B951" t="s">
        <v>28</v>
      </c>
      <c r="C951" t="s">
        <v>24</v>
      </c>
      <c r="D951" t="s">
        <v>16</v>
      </c>
      <c r="E951" t="s">
        <v>26</v>
      </c>
      <c r="F951">
        <v>194121</v>
      </c>
      <c r="G951">
        <v>6270</v>
      </c>
      <c r="H951">
        <v>3.2300000000000002E-2</v>
      </c>
      <c r="I951">
        <v>0.69</v>
      </c>
      <c r="J951">
        <v>4326.3</v>
      </c>
      <c r="K951">
        <v>133</v>
      </c>
      <c r="L951">
        <v>32.53</v>
      </c>
      <c r="M951">
        <v>11409.44</v>
      </c>
      <c r="N951">
        <v>2.64</v>
      </c>
    </row>
    <row r="952" spans="1:14" x14ac:dyDescent="0.25">
      <c r="A952" s="1">
        <v>45588</v>
      </c>
      <c r="B952" t="s">
        <v>28</v>
      </c>
      <c r="C952" t="s">
        <v>21</v>
      </c>
      <c r="D952" t="s">
        <v>25</v>
      </c>
      <c r="E952" t="s">
        <v>27</v>
      </c>
      <c r="F952">
        <v>81313</v>
      </c>
      <c r="G952">
        <v>1089</v>
      </c>
      <c r="H952">
        <v>1.34E-2</v>
      </c>
      <c r="I952">
        <v>1.43</v>
      </c>
      <c r="J952">
        <v>1557.27</v>
      </c>
      <c r="K952">
        <v>77</v>
      </c>
      <c r="L952">
        <v>20.22</v>
      </c>
      <c r="M952">
        <v>3549.91</v>
      </c>
      <c r="N952">
        <v>2.2799999999999998</v>
      </c>
    </row>
    <row r="953" spans="1:14" x14ac:dyDescent="0.25">
      <c r="A953" s="1">
        <v>45519</v>
      </c>
      <c r="B953" t="s">
        <v>14</v>
      </c>
      <c r="C953" t="s">
        <v>29</v>
      </c>
      <c r="D953" t="s">
        <v>22</v>
      </c>
      <c r="E953" t="s">
        <v>23</v>
      </c>
      <c r="F953">
        <v>95153</v>
      </c>
      <c r="G953">
        <v>5404</v>
      </c>
      <c r="H953">
        <v>5.6800000000000003E-2</v>
      </c>
      <c r="I953">
        <v>1.7</v>
      </c>
      <c r="J953">
        <v>9186.7999999999993</v>
      </c>
      <c r="K953">
        <v>74</v>
      </c>
      <c r="L953">
        <v>124.15</v>
      </c>
      <c r="M953">
        <v>20688.95</v>
      </c>
      <c r="N953">
        <v>2.25</v>
      </c>
    </row>
    <row r="954" spans="1:14" x14ac:dyDescent="0.25">
      <c r="A954" s="1">
        <v>45339</v>
      </c>
      <c r="B954" t="s">
        <v>28</v>
      </c>
      <c r="C954" t="s">
        <v>29</v>
      </c>
      <c r="D954" t="s">
        <v>16</v>
      </c>
      <c r="E954" t="s">
        <v>26</v>
      </c>
      <c r="F954">
        <v>104926</v>
      </c>
      <c r="G954">
        <v>3273</v>
      </c>
      <c r="H954">
        <v>3.1199999999999999E-2</v>
      </c>
      <c r="I954">
        <v>1.48</v>
      </c>
      <c r="J954">
        <v>4844.04</v>
      </c>
      <c r="K954">
        <v>65</v>
      </c>
      <c r="L954">
        <v>74.52</v>
      </c>
      <c r="M954">
        <v>12449.27</v>
      </c>
      <c r="N954">
        <v>2.57</v>
      </c>
    </row>
    <row r="955" spans="1:14" x14ac:dyDescent="0.25">
      <c r="A955" s="1">
        <v>45632</v>
      </c>
      <c r="B955" t="s">
        <v>28</v>
      </c>
      <c r="C955" t="s">
        <v>24</v>
      </c>
      <c r="D955" t="s">
        <v>25</v>
      </c>
      <c r="E955" t="s">
        <v>26</v>
      </c>
      <c r="F955">
        <v>16093</v>
      </c>
      <c r="G955">
        <v>466</v>
      </c>
      <c r="H955">
        <v>2.9000000000000001E-2</v>
      </c>
      <c r="I955">
        <v>0.83</v>
      </c>
      <c r="J955">
        <v>386.78</v>
      </c>
      <c r="K955">
        <v>28</v>
      </c>
      <c r="L955">
        <v>13.81</v>
      </c>
      <c r="M955">
        <v>5468.73</v>
      </c>
      <c r="N955">
        <v>14.14</v>
      </c>
    </row>
    <row r="956" spans="1:14" x14ac:dyDescent="0.25">
      <c r="A956" s="1">
        <v>45623</v>
      </c>
      <c r="B956" t="s">
        <v>14</v>
      </c>
      <c r="C956" t="s">
        <v>24</v>
      </c>
      <c r="D956" t="s">
        <v>19</v>
      </c>
      <c r="E956" t="s">
        <v>27</v>
      </c>
      <c r="F956">
        <v>155338</v>
      </c>
      <c r="G956">
        <v>10718</v>
      </c>
      <c r="H956">
        <v>6.9000000000000006E-2</v>
      </c>
      <c r="I956">
        <v>1.86</v>
      </c>
      <c r="J956">
        <v>19935.48</v>
      </c>
      <c r="K956">
        <v>411</v>
      </c>
      <c r="L956">
        <v>48.5</v>
      </c>
      <c r="M956">
        <v>112821.78</v>
      </c>
      <c r="N956">
        <v>5.66</v>
      </c>
    </row>
    <row r="957" spans="1:14" x14ac:dyDescent="0.25">
      <c r="A957" s="1">
        <v>45609</v>
      </c>
      <c r="B957" t="s">
        <v>14</v>
      </c>
      <c r="C957" t="s">
        <v>21</v>
      </c>
      <c r="D957" t="s">
        <v>19</v>
      </c>
      <c r="E957" t="s">
        <v>27</v>
      </c>
      <c r="F957">
        <v>179877</v>
      </c>
      <c r="G957">
        <v>4317</v>
      </c>
      <c r="H957">
        <v>2.4E-2</v>
      </c>
      <c r="I957">
        <v>2.54</v>
      </c>
      <c r="J957">
        <v>10965.18</v>
      </c>
      <c r="K957">
        <v>215</v>
      </c>
      <c r="L957">
        <v>51</v>
      </c>
      <c r="M957">
        <v>13004.03</v>
      </c>
      <c r="N957">
        <v>1.19</v>
      </c>
    </row>
    <row r="958" spans="1:14" x14ac:dyDescent="0.25">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row>
    <row r="959" spans="1:14" x14ac:dyDescent="0.25">
      <c r="A959" s="1">
        <v>45524</v>
      </c>
      <c r="B959" t="s">
        <v>18</v>
      </c>
      <c r="C959" t="s">
        <v>15</v>
      </c>
      <c r="D959" t="s">
        <v>19</v>
      </c>
      <c r="E959" t="s">
        <v>26</v>
      </c>
      <c r="F959">
        <v>135992</v>
      </c>
      <c r="G959">
        <v>8023</v>
      </c>
      <c r="H959">
        <v>5.8999999999999997E-2</v>
      </c>
      <c r="I959">
        <v>0.4</v>
      </c>
      <c r="J959">
        <v>3209.2</v>
      </c>
      <c r="K959">
        <v>640</v>
      </c>
      <c r="L959">
        <v>5.01</v>
      </c>
      <c r="M959">
        <v>50560.98</v>
      </c>
      <c r="N959">
        <v>15.76</v>
      </c>
    </row>
    <row r="960" spans="1:14" x14ac:dyDescent="0.25">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row>
    <row r="961" spans="1:14" x14ac:dyDescent="0.25">
      <c r="A961" s="1">
        <v>45656</v>
      </c>
      <c r="B961" t="s">
        <v>28</v>
      </c>
      <c r="C961" t="s">
        <v>15</v>
      </c>
      <c r="D961" t="s">
        <v>19</v>
      </c>
      <c r="E961" t="s">
        <v>17</v>
      </c>
      <c r="F961">
        <v>18487</v>
      </c>
      <c r="G961">
        <v>693</v>
      </c>
      <c r="H961">
        <v>3.7499999999999999E-2</v>
      </c>
      <c r="I961">
        <v>0.49</v>
      </c>
      <c r="J961">
        <v>339.57</v>
      </c>
      <c r="K961">
        <v>36</v>
      </c>
      <c r="L961">
        <v>9.43</v>
      </c>
      <c r="M961">
        <v>7765.15</v>
      </c>
      <c r="N961">
        <v>22.87</v>
      </c>
    </row>
    <row r="962" spans="1:14" x14ac:dyDescent="0.25">
      <c r="A962" s="1">
        <v>45620</v>
      </c>
      <c r="B962" t="s">
        <v>28</v>
      </c>
      <c r="C962" t="s">
        <v>21</v>
      </c>
      <c r="D962" t="s">
        <v>19</v>
      </c>
      <c r="E962" t="s">
        <v>20</v>
      </c>
      <c r="F962">
        <v>88452</v>
      </c>
      <c r="G962">
        <v>3361</v>
      </c>
      <c r="H962">
        <v>3.7999999999999999E-2</v>
      </c>
      <c r="I962">
        <v>1.63</v>
      </c>
      <c r="J962">
        <v>5478.43</v>
      </c>
      <c r="K962">
        <v>180</v>
      </c>
      <c r="L962">
        <v>30.44</v>
      </c>
      <c r="M962">
        <v>8119.45</v>
      </c>
      <c r="N962">
        <v>1.48</v>
      </c>
    </row>
    <row r="963" spans="1:14" x14ac:dyDescent="0.25">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row>
    <row r="964" spans="1:14" x14ac:dyDescent="0.25">
      <c r="A964" s="1">
        <v>45478</v>
      </c>
      <c r="B964" t="s">
        <v>18</v>
      </c>
      <c r="C964" t="s">
        <v>29</v>
      </c>
      <c r="D964" t="s">
        <v>25</v>
      </c>
      <c r="E964" t="s">
        <v>20</v>
      </c>
      <c r="F964">
        <v>113190</v>
      </c>
      <c r="G964">
        <v>3984</v>
      </c>
      <c r="H964">
        <v>3.5200000000000002E-2</v>
      </c>
      <c r="I964">
        <v>1.41</v>
      </c>
      <c r="J964">
        <v>5617.44</v>
      </c>
      <c r="K964">
        <v>172</v>
      </c>
      <c r="L964">
        <v>32.659999999999997</v>
      </c>
      <c r="M964">
        <v>10269.39</v>
      </c>
      <c r="N964">
        <v>1.83</v>
      </c>
    </row>
    <row r="965" spans="1:14" x14ac:dyDescent="0.25">
      <c r="A965" s="1">
        <v>45395</v>
      </c>
      <c r="B965" t="s">
        <v>28</v>
      </c>
      <c r="C965" t="s">
        <v>21</v>
      </c>
      <c r="D965" t="s">
        <v>30</v>
      </c>
      <c r="E965" t="s">
        <v>32</v>
      </c>
      <c r="F965">
        <v>126103</v>
      </c>
      <c r="G965">
        <v>4300</v>
      </c>
      <c r="H965">
        <v>3.4099999999999998E-2</v>
      </c>
      <c r="I965">
        <v>1.0900000000000001</v>
      </c>
      <c r="J965">
        <v>4687</v>
      </c>
      <c r="K965">
        <v>313</v>
      </c>
      <c r="L965">
        <v>14.97</v>
      </c>
      <c r="M965">
        <v>18027.88</v>
      </c>
      <c r="N965">
        <v>3.85</v>
      </c>
    </row>
    <row r="966" spans="1:14" x14ac:dyDescent="0.25">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row>
    <row r="967" spans="1:14" x14ac:dyDescent="0.25">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row>
    <row r="968" spans="1:14" x14ac:dyDescent="0.25">
      <c r="A968" s="1">
        <v>45389</v>
      </c>
      <c r="B968" t="s">
        <v>28</v>
      </c>
      <c r="C968" t="s">
        <v>24</v>
      </c>
      <c r="D968" t="s">
        <v>16</v>
      </c>
      <c r="E968" t="s">
        <v>20</v>
      </c>
      <c r="F968">
        <v>49261</v>
      </c>
      <c r="G968">
        <v>724</v>
      </c>
      <c r="H968">
        <v>1.47E-2</v>
      </c>
      <c r="I968">
        <v>0.62</v>
      </c>
      <c r="J968">
        <v>448.88</v>
      </c>
      <c r="K968">
        <v>31</v>
      </c>
      <c r="L968">
        <v>14.48</v>
      </c>
      <c r="M968">
        <v>1397.37</v>
      </c>
      <c r="N968">
        <v>3.11</v>
      </c>
    </row>
    <row r="969" spans="1:14" x14ac:dyDescent="0.25">
      <c r="A969" s="1">
        <v>45322</v>
      </c>
      <c r="B969" t="s">
        <v>18</v>
      </c>
      <c r="C969" t="s">
        <v>24</v>
      </c>
      <c r="D969" t="s">
        <v>25</v>
      </c>
      <c r="E969" t="s">
        <v>31</v>
      </c>
      <c r="F969">
        <v>174668</v>
      </c>
      <c r="G969">
        <v>10916</v>
      </c>
      <c r="H969">
        <v>6.25E-2</v>
      </c>
      <c r="I969">
        <v>0.63</v>
      </c>
      <c r="J969">
        <v>6877.08</v>
      </c>
      <c r="K969">
        <v>310</v>
      </c>
      <c r="L969">
        <v>22.18</v>
      </c>
      <c r="M969">
        <v>37599.64</v>
      </c>
      <c r="N969">
        <v>5.47</v>
      </c>
    </row>
    <row r="970" spans="1:14" x14ac:dyDescent="0.25">
      <c r="A970" s="1">
        <v>45581</v>
      </c>
      <c r="B970" t="s">
        <v>14</v>
      </c>
      <c r="C970" t="s">
        <v>24</v>
      </c>
      <c r="D970" t="s">
        <v>16</v>
      </c>
      <c r="E970" t="s">
        <v>23</v>
      </c>
      <c r="F970">
        <v>163178</v>
      </c>
      <c r="G970">
        <v>5172</v>
      </c>
      <c r="H970">
        <v>3.1699999999999999E-2</v>
      </c>
      <c r="I970">
        <v>2.21</v>
      </c>
      <c r="J970">
        <v>11430.12</v>
      </c>
      <c r="K970">
        <v>325</v>
      </c>
      <c r="L970">
        <v>35.17</v>
      </c>
      <c r="M970">
        <v>14305.21</v>
      </c>
      <c r="N970">
        <v>1.25</v>
      </c>
    </row>
    <row r="971" spans="1:14" x14ac:dyDescent="0.25">
      <c r="A971" s="1">
        <v>45613</v>
      </c>
      <c r="B971" t="s">
        <v>18</v>
      </c>
      <c r="C971" t="s">
        <v>15</v>
      </c>
      <c r="D971" t="s">
        <v>19</v>
      </c>
      <c r="E971" t="s">
        <v>23</v>
      </c>
      <c r="F971">
        <v>105726</v>
      </c>
      <c r="G971">
        <v>8542</v>
      </c>
      <c r="H971">
        <v>8.0799999999999997E-2</v>
      </c>
      <c r="I971">
        <v>1.4</v>
      </c>
      <c r="J971">
        <v>11958.8</v>
      </c>
      <c r="K971">
        <v>662</v>
      </c>
      <c r="L971">
        <v>18.059999999999999</v>
      </c>
      <c r="M971">
        <v>104498.78</v>
      </c>
      <c r="N971">
        <v>8.74</v>
      </c>
    </row>
    <row r="972" spans="1:14" x14ac:dyDescent="0.25">
      <c r="A972" s="1">
        <v>45334</v>
      </c>
      <c r="B972" t="s">
        <v>18</v>
      </c>
      <c r="C972" t="s">
        <v>29</v>
      </c>
      <c r="D972" t="s">
        <v>22</v>
      </c>
      <c r="E972" t="s">
        <v>17</v>
      </c>
      <c r="F972">
        <v>74285</v>
      </c>
      <c r="G972">
        <v>2094</v>
      </c>
      <c r="H972">
        <v>2.8199999999999999E-2</v>
      </c>
      <c r="I972">
        <v>0.63</v>
      </c>
      <c r="J972">
        <v>1319.22</v>
      </c>
      <c r="K972">
        <v>92</v>
      </c>
      <c r="L972">
        <v>14.34</v>
      </c>
      <c r="M972">
        <v>18972.8</v>
      </c>
      <c r="N972">
        <v>14.38</v>
      </c>
    </row>
    <row r="973" spans="1:14" x14ac:dyDescent="0.25">
      <c r="A973" s="1">
        <v>45320</v>
      </c>
      <c r="B973" t="s">
        <v>14</v>
      </c>
      <c r="C973" t="s">
        <v>29</v>
      </c>
      <c r="D973" t="s">
        <v>19</v>
      </c>
      <c r="E973" t="s">
        <v>23</v>
      </c>
      <c r="F973">
        <v>168471</v>
      </c>
      <c r="G973">
        <v>6014</v>
      </c>
      <c r="H973">
        <v>3.5700000000000003E-2</v>
      </c>
      <c r="I973">
        <v>0.97</v>
      </c>
      <c r="J973">
        <v>5833.58</v>
      </c>
      <c r="K973">
        <v>117</v>
      </c>
      <c r="L973">
        <v>49.86</v>
      </c>
      <c r="M973">
        <v>25231.33</v>
      </c>
      <c r="N973">
        <v>4.33</v>
      </c>
    </row>
    <row r="974" spans="1:14" x14ac:dyDescent="0.25">
      <c r="A974" s="1">
        <v>45574</v>
      </c>
      <c r="B974" t="s">
        <v>18</v>
      </c>
      <c r="C974" t="s">
        <v>15</v>
      </c>
      <c r="D974" t="s">
        <v>30</v>
      </c>
      <c r="E974" t="s">
        <v>20</v>
      </c>
      <c r="F974">
        <v>128295</v>
      </c>
      <c r="G974">
        <v>4695</v>
      </c>
      <c r="H974">
        <v>3.6600000000000001E-2</v>
      </c>
      <c r="I974">
        <v>0.84</v>
      </c>
      <c r="J974">
        <v>3943.8</v>
      </c>
      <c r="K974">
        <v>276</v>
      </c>
      <c r="L974">
        <v>14.29</v>
      </c>
      <c r="M974">
        <v>42279.01</v>
      </c>
      <c r="N974">
        <v>10.72</v>
      </c>
    </row>
    <row r="975" spans="1:14" x14ac:dyDescent="0.25">
      <c r="A975" s="1">
        <v>45622</v>
      </c>
      <c r="B975" t="s">
        <v>28</v>
      </c>
      <c r="C975" t="s">
        <v>15</v>
      </c>
      <c r="D975" t="s">
        <v>22</v>
      </c>
      <c r="E975" t="s">
        <v>32</v>
      </c>
      <c r="F975">
        <v>109777</v>
      </c>
      <c r="G975">
        <v>2722</v>
      </c>
      <c r="H975">
        <v>2.4799999999999999E-2</v>
      </c>
      <c r="I975">
        <v>1.44</v>
      </c>
      <c r="J975">
        <v>3919.68</v>
      </c>
      <c r="K975">
        <v>170</v>
      </c>
      <c r="L975">
        <v>23.06</v>
      </c>
      <c r="M975">
        <v>47040.47</v>
      </c>
      <c r="N975">
        <v>12</v>
      </c>
    </row>
    <row r="976" spans="1:14" x14ac:dyDescent="0.25">
      <c r="A976" s="1">
        <v>45552</v>
      </c>
      <c r="B976" t="s">
        <v>18</v>
      </c>
      <c r="C976" t="s">
        <v>21</v>
      </c>
      <c r="D976" t="s">
        <v>22</v>
      </c>
      <c r="E976" t="s">
        <v>17</v>
      </c>
      <c r="F976">
        <v>153537</v>
      </c>
      <c r="G976">
        <v>7277</v>
      </c>
      <c r="H976">
        <v>4.7399999999999998E-2</v>
      </c>
      <c r="I976">
        <v>1</v>
      </c>
      <c r="J976">
        <v>7277</v>
      </c>
      <c r="K976">
        <v>175</v>
      </c>
      <c r="L976">
        <v>41.58</v>
      </c>
      <c r="M976">
        <v>48117.42</v>
      </c>
      <c r="N976">
        <v>6.61</v>
      </c>
    </row>
    <row r="977" spans="1:14" x14ac:dyDescent="0.25">
      <c r="A977" s="1">
        <v>45534</v>
      </c>
      <c r="B977" t="s">
        <v>14</v>
      </c>
      <c r="C977" t="s">
        <v>24</v>
      </c>
      <c r="D977" t="s">
        <v>16</v>
      </c>
      <c r="E977" t="s">
        <v>26</v>
      </c>
      <c r="F977">
        <v>20915</v>
      </c>
      <c r="G977">
        <v>913</v>
      </c>
      <c r="H977">
        <v>4.3700000000000003E-2</v>
      </c>
      <c r="I977">
        <v>1.03</v>
      </c>
      <c r="J977">
        <v>940.39</v>
      </c>
      <c r="K977">
        <v>37</v>
      </c>
      <c r="L977">
        <v>25.42</v>
      </c>
      <c r="M977">
        <v>3637.08</v>
      </c>
      <c r="N977">
        <v>3.87</v>
      </c>
    </row>
    <row r="978" spans="1:14" x14ac:dyDescent="0.25">
      <c r="A978" s="1">
        <v>45499</v>
      </c>
      <c r="B978" t="s">
        <v>28</v>
      </c>
      <c r="C978" t="s">
        <v>15</v>
      </c>
      <c r="D978" t="s">
        <v>19</v>
      </c>
      <c r="E978" t="s">
        <v>20</v>
      </c>
      <c r="F978">
        <v>29992</v>
      </c>
      <c r="G978">
        <v>605</v>
      </c>
      <c r="H978">
        <v>2.0199999999999999E-2</v>
      </c>
      <c r="I978">
        <v>0.61</v>
      </c>
      <c r="J978">
        <v>369.05</v>
      </c>
      <c r="K978">
        <v>35</v>
      </c>
      <c r="L978">
        <v>10.54</v>
      </c>
      <c r="M978">
        <v>5311.42</v>
      </c>
      <c r="N978">
        <v>14.39</v>
      </c>
    </row>
    <row r="979" spans="1:14" x14ac:dyDescent="0.25">
      <c r="A979" s="1">
        <v>45356</v>
      </c>
      <c r="B979" t="s">
        <v>28</v>
      </c>
      <c r="C979" t="s">
        <v>15</v>
      </c>
      <c r="D979" t="s">
        <v>16</v>
      </c>
      <c r="E979" t="s">
        <v>20</v>
      </c>
      <c r="F979">
        <v>187461</v>
      </c>
      <c r="G979">
        <v>2511</v>
      </c>
      <c r="H979">
        <v>1.34E-2</v>
      </c>
      <c r="I979">
        <v>1.7</v>
      </c>
      <c r="J979">
        <v>4268.7</v>
      </c>
      <c r="K979">
        <v>189</v>
      </c>
      <c r="L979">
        <v>22.59</v>
      </c>
      <c r="M979">
        <v>16540.060000000001</v>
      </c>
      <c r="N979">
        <v>3.87</v>
      </c>
    </row>
    <row r="980" spans="1:14" x14ac:dyDescent="0.25">
      <c r="A980" s="1">
        <v>45429</v>
      </c>
      <c r="B980" t="s">
        <v>14</v>
      </c>
      <c r="C980" t="s">
        <v>29</v>
      </c>
      <c r="D980" t="s">
        <v>30</v>
      </c>
      <c r="E980" t="s">
        <v>32</v>
      </c>
      <c r="F980">
        <v>107885</v>
      </c>
      <c r="G980">
        <v>3344</v>
      </c>
      <c r="H980">
        <v>3.1E-2</v>
      </c>
      <c r="I980">
        <v>2.09</v>
      </c>
      <c r="J980">
        <v>6988.96</v>
      </c>
      <c r="K980">
        <v>262</v>
      </c>
      <c r="L980">
        <v>26.68</v>
      </c>
      <c r="M980">
        <v>51456.480000000003</v>
      </c>
      <c r="N980">
        <v>7.36</v>
      </c>
    </row>
    <row r="981" spans="1:14" x14ac:dyDescent="0.25">
      <c r="A981" s="1">
        <v>45435</v>
      </c>
      <c r="B981" t="s">
        <v>14</v>
      </c>
      <c r="C981" t="s">
        <v>21</v>
      </c>
      <c r="D981" t="s">
        <v>30</v>
      </c>
      <c r="E981" t="s">
        <v>26</v>
      </c>
      <c r="F981">
        <v>162242</v>
      </c>
      <c r="G981">
        <v>5110</v>
      </c>
      <c r="H981">
        <v>3.15E-2</v>
      </c>
      <c r="I981">
        <v>2.67</v>
      </c>
      <c r="J981">
        <v>13643.7</v>
      </c>
      <c r="K981">
        <v>118</v>
      </c>
      <c r="L981">
        <v>115.62</v>
      </c>
      <c r="M981">
        <v>30643.55</v>
      </c>
      <c r="N981">
        <v>2.25</v>
      </c>
    </row>
    <row r="982" spans="1:14" x14ac:dyDescent="0.25">
      <c r="A982" s="1">
        <v>45418</v>
      </c>
      <c r="B982" t="s">
        <v>28</v>
      </c>
      <c r="C982" t="s">
        <v>21</v>
      </c>
      <c r="D982" t="s">
        <v>19</v>
      </c>
      <c r="E982" t="s">
        <v>23</v>
      </c>
      <c r="F982">
        <v>34404</v>
      </c>
      <c r="G982">
        <v>1204</v>
      </c>
      <c r="H982">
        <v>3.5000000000000003E-2</v>
      </c>
      <c r="I982">
        <v>1.42</v>
      </c>
      <c r="J982">
        <v>1709.68</v>
      </c>
      <c r="K982">
        <v>94</v>
      </c>
      <c r="L982">
        <v>18.190000000000001</v>
      </c>
      <c r="M982">
        <v>17655.16</v>
      </c>
      <c r="N982">
        <v>10.33</v>
      </c>
    </row>
    <row r="983" spans="1:14" x14ac:dyDescent="0.25">
      <c r="A983" s="1">
        <v>45598</v>
      </c>
      <c r="B983" t="s">
        <v>28</v>
      </c>
      <c r="C983" t="s">
        <v>29</v>
      </c>
      <c r="D983" t="s">
        <v>19</v>
      </c>
      <c r="E983" t="s">
        <v>32</v>
      </c>
      <c r="F983">
        <v>133773</v>
      </c>
      <c r="G983">
        <v>3491</v>
      </c>
      <c r="H983">
        <v>2.6100000000000002E-2</v>
      </c>
      <c r="I983">
        <v>1.83</v>
      </c>
      <c r="J983">
        <v>6388.53</v>
      </c>
      <c r="K983">
        <v>181</v>
      </c>
      <c r="L983">
        <v>35.299999999999997</v>
      </c>
      <c r="M983">
        <v>21663.32</v>
      </c>
      <c r="N983">
        <v>3.39</v>
      </c>
    </row>
    <row r="984" spans="1:14" x14ac:dyDescent="0.25">
      <c r="A984" s="1">
        <v>45507</v>
      </c>
      <c r="B984" t="s">
        <v>14</v>
      </c>
      <c r="C984" t="s">
        <v>21</v>
      </c>
      <c r="D984" t="s">
        <v>25</v>
      </c>
      <c r="E984" t="s">
        <v>27</v>
      </c>
      <c r="F984">
        <v>185948</v>
      </c>
      <c r="G984">
        <v>5373</v>
      </c>
      <c r="H984">
        <v>2.8899999999999999E-2</v>
      </c>
      <c r="I984">
        <v>0.73</v>
      </c>
      <c r="J984">
        <v>3922.29</v>
      </c>
      <c r="K984">
        <v>82</v>
      </c>
      <c r="L984">
        <v>47.83</v>
      </c>
      <c r="M984">
        <v>15594.76</v>
      </c>
      <c r="N984">
        <v>3.98</v>
      </c>
    </row>
    <row r="985" spans="1:14" x14ac:dyDescent="0.25">
      <c r="A985" s="1">
        <v>45486</v>
      </c>
      <c r="B985" t="s">
        <v>14</v>
      </c>
      <c r="C985" t="s">
        <v>24</v>
      </c>
      <c r="D985" t="s">
        <v>22</v>
      </c>
      <c r="E985" t="s">
        <v>32</v>
      </c>
      <c r="F985">
        <v>98375</v>
      </c>
      <c r="G985">
        <v>1898</v>
      </c>
      <c r="H985">
        <v>1.9300000000000001E-2</v>
      </c>
      <c r="I985">
        <v>3.35</v>
      </c>
      <c r="J985">
        <v>6358.3</v>
      </c>
      <c r="K985">
        <v>45</v>
      </c>
      <c r="L985">
        <v>141.30000000000001</v>
      </c>
      <c r="M985">
        <v>2253.91</v>
      </c>
      <c r="N985">
        <v>0.35</v>
      </c>
    </row>
    <row r="986" spans="1:14" x14ac:dyDescent="0.25">
      <c r="A986" s="1">
        <v>45495</v>
      </c>
      <c r="B986" t="s">
        <v>14</v>
      </c>
      <c r="C986" t="s">
        <v>21</v>
      </c>
      <c r="D986" t="s">
        <v>22</v>
      </c>
      <c r="E986" t="s">
        <v>23</v>
      </c>
      <c r="F986">
        <v>190826</v>
      </c>
      <c r="G986">
        <v>12174</v>
      </c>
      <c r="H986">
        <v>6.3799999999999996E-2</v>
      </c>
      <c r="I986">
        <v>1.75</v>
      </c>
      <c r="J986">
        <v>21304.5</v>
      </c>
      <c r="K986">
        <v>933</v>
      </c>
      <c r="L986">
        <v>22.83</v>
      </c>
      <c r="M986">
        <v>139478.01</v>
      </c>
      <c r="N986">
        <v>6.55</v>
      </c>
    </row>
    <row r="987" spans="1:14" x14ac:dyDescent="0.25">
      <c r="A987" s="1">
        <v>45480</v>
      </c>
      <c r="B987" t="s">
        <v>28</v>
      </c>
      <c r="C987" t="s">
        <v>29</v>
      </c>
      <c r="D987" t="s">
        <v>22</v>
      </c>
      <c r="E987" t="s">
        <v>17</v>
      </c>
      <c r="F987">
        <v>105050</v>
      </c>
      <c r="G987">
        <v>3077</v>
      </c>
      <c r="H987">
        <v>2.93E-2</v>
      </c>
      <c r="I987">
        <v>0.5</v>
      </c>
      <c r="J987">
        <v>1538.5</v>
      </c>
      <c r="K987">
        <v>206</v>
      </c>
      <c r="L987">
        <v>7.47</v>
      </c>
      <c r="M987">
        <v>55580.46</v>
      </c>
      <c r="N987">
        <v>36.130000000000003</v>
      </c>
    </row>
    <row r="988" spans="1:14" x14ac:dyDescent="0.25">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row>
    <row r="989" spans="1:14" x14ac:dyDescent="0.25">
      <c r="A989" s="1">
        <v>45427</v>
      </c>
      <c r="B989" t="s">
        <v>14</v>
      </c>
      <c r="C989" t="s">
        <v>15</v>
      </c>
      <c r="D989" t="s">
        <v>22</v>
      </c>
      <c r="E989" t="s">
        <v>31</v>
      </c>
      <c r="F989">
        <v>139648</v>
      </c>
      <c r="G989">
        <v>4398</v>
      </c>
      <c r="H989">
        <v>3.15E-2</v>
      </c>
      <c r="I989">
        <v>3</v>
      </c>
      <c r="J989">
        <v>13194</v>
      </c>
      <c r="K989">
        <v>347</v>
      </c>
      <c r="L989">
        <v>38.020000000000003</v>
      </c>
      <c r="M989">
        <v>82597.149999999994</v>
      </c>
      <c r="N989">
        <v>6.26</v>
      </c>
    </row>
    <row r="990" spans="1:14" x14ac:dyDescent="0.25">
      <c r="A990" s="1">
        <v>45464</v>
      </c>
      <c r="B990" t="s">
        <v>18</v>
      </c>
      <c r="C990" t="s">
        <v>15</v>
      </c>
      <c r="D990" t="s">
        <v>16</v>
      </c>
      <c r="E990" t="s">
        <v>26</v>
      </c>
      <c r="F990">
        <v>186434</v>
      </c>
      <c r="G990">
        <v>8743</v>
      </c>
      <c r="H990">
        <v>4.6899999999999997E-2</v>
      </c>
      <c r="I990">
        <v>1.65</v>
      </c>
      <c r="J990">
        <v>14425.95</v>
      </c>
      <c r="K990">
        <v>87</v>
      </c>
      <c r="L990">
        <v>165.82</v>
      </c>
      <c r="M990">
        <v>21530.58</v>
      </c>
      <c r="N990">
        <v>1.49</v>
      </c>
    </row>
    <row r="991" spans="1:14" x14ac:dyDescent="0.25">
      <c r="A991" s="1">
        <v>45502</v>
      </c>
      <c r="B991" t="s">
        <v>14</v>
      </c>
      <c r="C991" t="s">
        <v>15</v>
      </c>
      <c r="D991" t="s">
        <v>16</v>
      </c>
      <c r="E991" t="s">
        <v>26</v>
      </c>
      <c r="F991">
        <v>63001</v>
      </c>
      <c r="G991">
        <v>3181</v>
      </c>
      <c r="H991">
        <v>5.0500000000000003E-2</v>
      </c>
      <c r="I991">
        <v>1.48</v>
      </c>
      <c r="J991">
        <v>4707.88</v>
      </c>
      <c r="K991">
        <v>94</v>
      </c>
      <c r="L991">
        <v>50.08</v>
      </c>
      <c r="M991">
        <v>3324.55</v>
      </c>
      <c r="N991">
        <v>0.71</v>
      </c>
    </row>
    <row r="992" spans="1:14" x14ac:dyDescent="0.25">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row>
    <row r="993" spans="1:14" x14ac:dyDescent="0.25">
      <c r="A993" s="1">
        <v>45462</v>
      </c>
      <c r="B993" t="s">
        <v>14</v>
      </c>
      <c r="C993" t="s">
        <v>24</v>
      </c>
      <c r="D993" t="s">
        <v>22</v>
      </c>
      <c r="E993" t="s">
        <v>20</v>
      </c>
      <c r="F993">
        <v>172570</v>
      </c>
      <c r="G993">
        <v>3692</v>
      </c>
      <c r="H993">
        <v>2.1399999999999999E-2</v>
      </c>
      <c r="I993">
        <v>2.16</v>
      </c>
      <c r="J993">
        <v>7974.72</v>
      </c>
      <c r="K993">
        <v>53</v>
      </c>
      <c r="L993">
        <v>150.47</v>
      </c>
      <c r="M993">
        <v>15699.11</v>
      </c>
      <c r="N993">
        <v>1.97</v>
      </c>
    </row>
    <row r="994" spans="1:14" x14ac:dyDescent="0.25">
      <c r="A994" s="1">
        <v>45391</v>
      </c>
      <c r="B994" t="s">
        <v>14</v>
      </c>
      <c r="C994" t="s">
        <v>21</v>
      </c>
      <c r="D994" t="s">
        <v>16</v>
      </c>
      <c r="E994" t="s">
        <v>17</v>
      </c>
      <c r="F994">
        <v>196510</v>
      </c>
      <c r="G994">
        <v>10316</v>
      </c>
      <c r="H994">
        <v>5.2499999999999998E-2</v>
      </c>
      <c r="I994">
        <v>2</v>
      </c>
      <c r="J994">
        <v>20632</v>
      </c>
      <c r="K994">
        <v>282</v>
      </c>
      <c r="L994">
        <v>73.16</v>
      </c>
      <c r="M994">
        <v>66245.27</v>
      </c>
      <c r="N994">
        <v>3.21</v>
      </c>
    </row>
    <row r="995" spans="1:14" x14ac:dyDescent="0.25">
      <c r="A995" s="1">
        <v>45425</v>
      </c>
      <c r="B995" t="s">
        <v>14</v>
      </c>
      <c r="C995" t="s">
        <v>29</v>
      </c>
      <c r="D995" t="s">
        <v>19</v>
      </c>
      <c r="E995" t="s">
        <v>27</v>
      </c>
      <c r="F995">
        <v>140875</v>
      </c>
      <c r="G995">
        <v>6818</v>
      </c>
      <c r="H995">
        <v>4.8399999999999999E-2</v>
      </c>
      <c r="I995">
        <v>2.25</v>
      </c>
      <c r="J995">
        <v>15340.5</v>
      </c>
      <c r="K995">
        <v>142</v>
      </c>
      <c r="L995">
        <v>108.03</v>
      </c>
      <c r="M995">
        <v>28774.25</v>
      </c>
      <c r="N995">
        <v>1.88</v>
      </c>
    </row>
    <row r="996" spans="1:14" x14ac:dyDescent="0.25">
      <c r="A996" s="1">
        <v>45506</v>
      </c>
      <c r="B996" t="s">
        <v>18</v>
      </c>
      <c r="C996" t="s">
        <v>24</v>
      </c>
      <c r="D996" t="s">
        <v>25</v>
      </c>
      <c r="E996" t="s">
        <v>23</v>
      </c>
      <c r="F996">
        <v>50955</v>
      </c>
      <c r="G996">
        <v>3892</v>
      </c>
      <c r="H996">
        <v>7.6399999999999996E-2</v>
      </c>
      <c r="I996">
        <v>1.27</v>
      </c>
      <c r="J996">
        <v>4942.84</v>
      </c>
      <c r="K996">
        <v>224</v>
      </c>
      <c r="L996">
        <v>22.07</v>
      </c>
      <c r="M996">
        <v>60995.17</v>
      </c>
      <c r="N996">
        <v>12.34</v>
      </c>
    </row>
    <row r="997" spans="1:14" x14ac:dyDescent="0.25">
      <c r="A997" s="1">
        <v>45584</v>
      </c>
      <c r="B997" t="s">
        <v>14</v>
      </c>
      <c r="C997" t="s">
        <v>15</v>
      </c>
      <c r="D997" t="s">
        <v>16</v>
      </c>
      <c r="E997" t="s">
        <v>23</v>
      </c>
      <c r="F997">
        <v>103991</v>
      </c>
      <c r="G997">
        <v>3067</v>
      </c>
      <c r="H997">
        <v>2.9499999999999998E-2</v>
      </c>
      <c r="I997">
        <v>2.59</v>
      </c>
      <c r="J997">
        <v>7943.53</v>
      </c>
      <c r="K997">
        <v>142</v>
      </c>
      <c r="L997">
        <v>55.94</v>
      </c>
      <c r="M997">
        <v>36045.300000000003</v>
      </c>
      <c r="N997">
        <v>4.54</v>
      </c>
    </row>
    <row r="998" spans="1:14" x14ac:dyDescent="0.25">
      <c r="A998" s="1">
        <v>45590</v>
      </c>
      <c r="B998" t="s">
        <v>14</v>
      </c>
      <c r="C998" t="s">
        <v>21</v>
      </c>
      <c r="D998" t="s">
        <v>19</v>
      </c>
      <c r="E998" t="s">
        <v>26</v>
      </c>
      <c r="F998">
        <v>22637</v>
      </c>
      <c r="G998">
        <v>876</v>
      </c>
      <c r="H998">
        <v>3.8699999999999998E-2</v>
      </c>
      <c r="I998">
        <v>1.22</v>
      </c>
      <c r="J998">
        <v>1068.72</v>
      </c>
      <c r="K998">
        <v>16</v>
      </c>
      <c r="L998">
        <v>66.8</v>
      </c>
      <c r="M998">
        <v>2623.14</v>
      </c>
      <c r="N998">
        <v>2.4500000000000002</v>
      </c>
    </row>
    <row r="999" spans="1:14" x14ac:dyDescent="0.25">
      <c r="A999" s="1">
        <v>45646</v>
      </c>
      <c r="B999" t="s">
        <v>28</v>
      </c>
      <c r="C999" t="s">
        <v>29</v>
      </c>
      <c r="D999" t="s">
        <v>16</v>
      </c>
      <c r="E999" t="s">
        <v>27</v>
      </c>
      <c r="F999">
        <v>86099</v>
      </c>
      <c r="G999">
        <v>2910</v>
      </c>
      <c r="H999">
        <v>3.3799999999999997E-2</v>
      </c>
      <c r="I999">
        <v>2.19</v>
      </c>
      <c r="J999">
        <v>6372.9</v>
      </c>
      <c r="K999">
        <v>194</v>
      </c>
      <c r="L999">
        <v>32.85</v>
      </c>
      <c r="M999">
        <v>39485.519999999997</v>
      </c>
      <c r="N999">
        <v>6.2</v>
      </c>
    </row>
    <row r="1000" spans="1:14" x14ac:dyDescent="0.25">
      <c r="A1000" s="1">
        <v>45604</v>
      </c>
      <c r="B1000" t="s">
        <v>28</v>
      </c>
      <c r="C1000" t="s">
        <v>29</v>
      </c>
      <c r="D1000" t="s">
        <v>16</v>
      </c>
      <c r="E1000" t="s">
        <v>17</v>
      </c>
      <c r="F1000">
        <v>181950</v>
      </c>
      <c r="G1000">
        <v>2401</v>
      </c>
      <c r="H1000">
        <v>1.32E-2</v>
      </c>
      <c r="I1000">
        <v>0.67</v>
      </c>
      <c r="J1000">
        <v>1608.67</v>
      </c>
      <c r="K1000">
        <v>168</v>
      </c>
      <c r="L1000">
        <v>9.58</v>
      </c>
      <c r="M1000">
        <v>30028.61</v>
      </c>
      <c r="N1000">
        <v>18.670000000000002</v>
      </c>
    </row>
    <row r="1001" spans="1:14" x14ac:dyDescent="0.25">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row>
    <row r="1002" spans="1:14" x14ac:dyDescent="0.25">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row>
    <row r="1003" spans="1:14" x14ac:dyDescent="0.25">
      <c r="A1003" s="1">
        <v>45418</v>
      </c>
      <c r="B1003" t="s">
        <v>28</v>
      </c>
      <c r="C1003" t="s">
        <v>24</v>
      </c>
      <c r="D1003" t="s">
        <v>25</v>
      </c>
      <c r="E1003" t="s">
        <v>27</v>
      </c>
      <c r="F1003">
        <v>10177</v>
      </c>
      <c r="G1003">
        <v>413</v>
      </c>
      <c r="H1003">
        <v>4.0599999999999997E-2</v>
      </c>
      <c r="I1003">
        <v>1.85</v>
      </c>
      <c r="J1003">
        <v>764.05</v>
      </c>
      <c r="K1003">
        <v>16</v>
      </c>
      <c r="L1003">
        <v>47.75</v>
      </c>
      <c r="M1003">
        <v>4058.36</v>
      </c>
      <c r="N1003">
        <v>5.31</v>
      </c>
    </row>
    <row r="1004" spans="1:14" x14ac:dyDescent="0.25">
      <c r="A1004" s="1">
        <v>45634</v>
      </c>
      <c r="B1004" t="s">
        <v>28</v>
      </c>
      <c r="C1004" t="s">
        <v>24</v>
      </c>
      <c r="D1004" t="s">
        <v>30</v>
      </c>
      <c r="E1004" t="s">
        <v>27</v>
      </c>
      <c r="F1004">
        <v>67714</v>
      </c>
      <c r="G1004">
        <v>738</v>
      </c>
      <c r="H1004">
        <v>1.09E-2</v>
      </c>
      <c r="I1004">
        <v>1.1100000000000001</v>
      </c>
      <c r="J1004">
        <v>819.18</v>
      </c>
      <c r="K1004">
        <v>17</v>
      </c>
      <c r="L1004">
        <v>48.19</v>
      </c>
      <c r="M1004">
        <v>1445.84</v>
      </c>
      <c r="N1004">
        <v>1.76</v>
      </c>
    </row>
    <row r="1005" spans="1:14" x14ac:dyDescent="0.25">
      <c r="A1005" s="1">
        <v>45588</v>
      </c>
      <c r="B1005" t="s">
        <v>14</v>
      </c>
      <c r="C1005" t="s">
        <v>24</v>
      </c>
      <c r="D1005" t="s">
        <v>16</v>
      </c>
      <c r="E1005" t="s">
        <v>20</v>
      </c>
      <c r="F1005">
        <v>51032</v>
      </c>
      <c r="G1005">
        <v>3036</v>
      </c>
      <c r="H1005">
        <v>5.9499999999999997E-2</v>
      </c>
      <c r="I1005">
        <v>2.23</v>
      </c>
      <c r="J1005">
        <v>6770.28</v>
      </c>
      <c r="K1005">
        <v>195</v>
      </c>
      <c r="L1005">
        <v>34.72</v>
      </c>
      <c r="M1005">
        <v>18761.36</v>
      </c>
      <c r="N1005">
        <v>2.77</v>
      </c>
    </row>
    <row r="1006" spans="1:14" x14ac:dyDescent="0.25">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row>
    <row r="1007" spans="1:14" x14ac:dyDescent="0.25">
      <c r="A1007" s="1">
        <v>45516</v>
      </c>
      <c r="B1007" t="s">
        <v>18</v>
      </c>
      <c r="C1007" t="s">
        <v>21</v>
      </c>
      <c r="D1007" t="s">
        <v>25</v>
      </c>
      <c r="E1007" t="s">
        <v>32</v>
      </c>
      <c r="F1007">
        <v>12838</v>
      </c>
      <c r="G1007">
        <v>784</v>
      </c>
      <c r="H1007">
        <v>6.1100000000000002E-2</v>
      </c>
      <c r="I1007">
        <v>0.42</v>
      </c>
      <c r="J1007">
        <v>329.28</v>
      </c>
      <c r="K1007">
        <v>56</v>
      </c>
      <c r="L1007">
        <v>5.88</v>
      </c>
      <c r="M1007">
        <v>2887.05</v>
      </c>
      <c r="N1007">
        <v>8.77</v>
      </c>
    </row>
    <row r="1008" spans="1:14" x14ac:dyDescent="0.25">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row>
    <row r="1009" spans="1:14" x14ac:dyDescent="0.25">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row>
    <row r="1010" spans="1:14" x14ac:dyDescent="0.25">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row>
    <row r="1011" spans="1:14" x14ac:dyDescent="0.25">
      <c r="A1011" s="1">
        <v>45546</v>
      </c>
      <c r="B1011" t="s">
        <v>28</v>
      </c>
      <c r="C1011" t="s">
        <v>29</v>
      </c>
      <c r="D1011" t="s">
        <v>30</v>
      </c>
      <c r="E1011" t="s">
        <v>27</v>
      </c>
      <c r="F1011">
        <v>38762</v>
      </c>
      <c r="G1011">
        <v>1007</v>
      </c>
      <c r="H1011">
        <v>2.5999999999999999E-2</v>
      </c>
      <c r="I1011">
        <v>0.68</v>
      </c>
      <c r="J1011">
        <v>684.76</v>
      </c>
      <c r="K1011">
        <v>16</v>
      </c>
      <c r="L1011">
        <v>42.8</v>
      </c>
      <c r="M1011">
        <v>3871.2</v>
      </c>
      <c r="N1011">
        <v>5.65</v>
      </c>
    </row>
    <row r="1012" spans="1:14" x14ac:dyDescent="0.25">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row>
    <row r="1013" spans="1:14" x14ac:dyDescent="0.25">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row>
    <row r="1014" spans="1:14" x14ac:dyDescent="0.25">
      <c r="A1014" s="1">
        <v>45319</v>
      </c>
      <c r="B1014" t="s">
        <v>14</v>
      </c>
      <c r="C1014" t="s">
        <v>29</v>
      </c>
      <c r="D1014" t="s">
        <v>30</v>
      </c>
      <c r="E1014" t="s">
        <v>32</v>
      </c>
      <c r="F1014">
        <v>38005</v>
      </c>
      <c r="G1014">
        <v>1489</v>
      </c>
      <c r="H1014">
        <v>3.9199999999999999E-2</v>
      </c>
      <c r="I1014">
        <v>1.51</v>
      </c>
      <c r="J1014">
        <v>2248.39</v>
      </c>
      <c r="K1014">
        <v>79</v>
      </c>
      <c r="L1014">
        <v>28.46</v>
      </c>
      <c r="M1014">
        <v>23043.93</v>
      </c>
      <c r="N1014">
        <v>10.25</v>
      </c>
    </row>
    <row r="1015" spans="1:14" x14ac:dyDescent="0.25">
      <c r="A1015" s="1">
        <v>45306</v>
      </c>
      <c r="B1015" t="s">
        <v>14</v>
      </c>
      <c r="C1015" t="s">
        <v>15</v>
      </c>
      <c r="D1015" t="s">
        <v>30</v>
      </c>
      <c r="E1015" t="s">
        <v>31</v>
      </c>
      <c r="F1015">
        <v>91348</v>
      </c>
      <c r="G1015">
        <v>2914</v>
      </c>
      <c r="H1015">
        <v>3.1899999999999998E-2</v>
      </c>
      <c r="I1015">
        <v>1.73</v>
      </c>
      <c r="J1015">
        <v>5041.22</v>
      </c>
      <c r="K1015">
        <v>98</v>
      </c>
      <c r="L1015">
        <v>51.44</v>
      </c>
      <c r="M1015">
        <v>14981.67</v>
      </c>
      <c r="N1015">
        <v>2.97</v>
      </c>
    </row>
    <row r="1016" spans="1:14" x14ac:dyDescent="0.25">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row>
    <row r="1017" spans="1:14" x14ac:dyDescent="0.25">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row>
    <row r="1018" spans="1:14" x14ac:dyDescent="0.25">
      <c r="A1018" s="1">
        <v>45563</v>
      </c>
      <c r="B1018" t="s">
        <v>18</v>
      </c>
      <c r="C1018" t="s">
        <v>21</v>
      </c>
      <c r="D1018" t="s">
        <v>22</v>
      </c>
      <c r="E1018" t="s">
        <v>20</v>
      </c>
      <c r="F1018">
        <v>68620</v>
      </c>
      <c r="G1018">
        <v>3602</v>
      </c>
      <c r="H1018">
        <v>5.2499999999999998E-2</v>
      </c>
      <c r="I1018">
        <v>0.48</v>
      </c>
      <c r="J1018">
        <v>1728.96</v>
      </c>
      <c r="K1018">
        <v>134</v>
      </c>
      <c r="L1018">
        <v>12.9</v>
      </c>
      <c r="M1018">
        <v>22980.94</v>
      </c>
      <c r="N1018">
        <v>13.29</v>
      </c>
    </row>
    <row r="1019" spans="1:14" x14ac:dyDescent="0.25">
      <c r="A1019" s="1">
        <v>45479</v>
      </c>
      <c r="B1019" t="s">
        <v>18</v>
      </c>
      <c r="C1019" t="s">
        <v>21</v>
      </c>
      <c r="D1019" t="s">
        <v>22</v>
      </c>
      <c r="E1019" t="s">
        <v>32</v>
      </c>
      <c r="F1019">
        <v>95975</v>
      </c>
      <c r="G1019">
        <v>3848</v>
      </c>
      <c r="H1019">
        <v>4.0099999999999997E-2</v>
      </c>
      <c r="I1019">
        <v>1.78</v>
      </c>
      <c r="J1019">
        <v>6849.44</v>
      </c>
      <c r="K1019">
        <v>66</v>
      </c>
      <c r="L1019">
        <v>103.78</v>
      </c>
      <c r="M1019">
        <v>6246.82</v>
      </c>
      <c r="N1019">
        <v>0.91</v>
      </c>
    </row>
    <row r="1020" spans="1:14" x14ac:dyDescent="0.25">
      <c r="A1020" s="1">
        <v>45638</v>
      </c>
      <c r="B1020" t="s">
        <v>14</v>
      </c>
      <c r="C1020" t="s">
        <v>24</v>
      </c>
      <c r="D1020" t="s">
        <v>25</v>
      </c>
      <c r="E1020" t="s">
        <v>27</v>
      </c>
      <c r="F1020">
        <v>162064</v>
      </c>
      <c r="G1020">
        <v>5607</v>
      </c>
      <c r="H1020">
        <v>3.4599999999999999E-2</v>
      </c>
      <c r="I1020">
        <v>2.42</v>
      </c>
      <c r="J1020">
        <v>13568.94</v>
      </c>
      <c r="K1020">
        <v>77</v>
      </c>
      <c r="L1020">
        <v>176.22</v>
      </c>
      <c r="M1020">
        <v>8174.03</v>
      </c>
      <c r="N1020">
        <v>0.6</v>
      </c>
    </row>
    <row r="1021" spans="1:14" x14ac:dyDescent="0.25">
      <c r="A1021" s="1">
        <v>45430</v>
      </c>
      <c r="B1021" t="s">
        <v>28</v>
      </c>
      <c r="C1021" t="s">
        <v>15</v>
      </c>
      <c r="D1021" t="s">
        <v>16</v>
      </c>
      <c r="E1021" t="s">
        <v>23</v>
      </c>
      <c r="F1021">
        <v>57712</v>
      </c>
      <c r="G1021">
        <v>848</v>
      </c>
      <c r="H1021">
        <v>1.47E-2</v>
      </c>
      <c r="I1021">
        <v>0.9</v>
      </c>
      <c r="J1021">
        <v>763.2</v>
      </c>
      <c r="K1021">
        <v>64</v>
      </c>
      <c r="L1021">
        <v>11.93</v>
      </c>
      <c r="M1021">
        <v>2136.83</v>
      </c>
      <c r="N1021">
        <v>2.8</v>
      </c>
    </row>
    <row r="1022" spans="1:14" x14ac:dyDescent="0.25">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row>
    <row r="1023" spans="1:14" x14ac:dyDescent="0.25">
      <c r="A1023" s="1">
        <v>45328</v>
      </c>
      <c r="B1023" t="s">
        <v>14</v>
      </c>
      <c r="C1023" t="s">
        <v>29</v>
      </c>
      <c r="D1023" t="s">
        <v>30</v>
      </c>
      <c r="E1023" t="s">
        <v>17</v>
      </c>
      <c r="F1023">
        <v>79525</v>
      </c>
      <c r="G1023">
        <v>2298</v>
      </c>
      <c r="H1023">
        <v>2.8899999999999999E-2</v>
      </c>
      <c r="I1023">
        <v>1.58</v>
      </c>
      <c r="J1023">
        <v>3630.84</v>
      </c>
      <c r="K1023">
        <v>119</v>
      </c>
      <c r="L1023">
        <v>30.51</v>
      </c>
      <c r="M1023">
        <v>21777.03</v>
      </c>
      <c r="N1023">
        <v>6</v>
      </c>
    </row>
    <row r="1024" spans="1:14" x14ac:dyDescent="0.25">
      <c r="A1024" s="1">
        <v>45400</v>
      </c>
      <c r="B1024" t="s">
        <v>28</v>
      </c>
      <c r="C1024" t="s">
        <v>24</v>
      </c>
      <c r="D1024" t="s">
        <v>30</v>
      </c>
      <c r="E1024" t="s">
        <v>20</v>
      </c>
      <c r="F1024">
        <v>78480</v>
      </c>
      <c r="G1024">
        <v>1389</v>
      </c>
      <c r="H1024">
        <v>1.77E-2</v>
      </c>
      <c r="I1024">
        <v>1.69</v>
      </c>
      <c r="J1024">
        <v>2347.41</v>
      </c>
      <c r="K1024">
        <v>19</v>
      </c>
      <c r="L1024">
        <v>123.55</v>
      </c>
      <c r="M1024">
        <v>2972.32</v>
      </c>
      <c r="N1024">
        <v>1.27</v>
      </c>
    </row>
    <row r="1025" spans="1:14" x14ac:dyDescent="0.25">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row>
    <row r="1026" spans="1:14" x14ac:dyDescent="0.25">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row>
    <row r="1027" spans="1:14" x14ac:dyDescent="0.25">
      <c r="A1027" s="1">
        <v>45612</v>
      </c>
      <c r="B1027" t="s">
        <v>28</v>
      </c>
      <c r="C1027" t="s">
        <v>21</v>
      </c>
      <c r="D1027" t="s">
        <v>19</v>
      </c>
      <c r="E1027" t="s">
        <v>20</v>
      </c>
      <c r="F1027">
        <v>55333</v>
      </c>
      <c r="G1027">
        <v>852</v>
      </c>
      <c r="H1027">
        <v>1.54E-2</v>
      </c>
      <c r="I1027">
        <v>1.05</v>
      </c>
      <c r="J1027">
        <v>894.6</v>
      </c>
      <c r="K1027">
        <v>66</v>
      </c>
      <c r="L1027">
        <v>13.55</v>
      </c>
      <c r="M1027">
        <v>12295.52</v>
      </c>
      <c r="N1027">
        <v>13.74</v>
      </c>
    </row>
    <row r="1028" spans="1:14" x14ac:dyDescent="0.25">
      <c r="A1028" s="1">
        <v>45559</v>
      </c>
      <c r="B1028" t="s">
        <v>28</v>
      </c>
      <c r="C1028" t="s">
        <v>29</v>
      </c>
      <c r="D1028" t="s">
        <v>16</v>
      </c>
      <c r="E1028" t="s">
        <v>20</v>
      </c>
      <c r="F1028">
        <v>177027</v>
      </c>
      <c r="G1028">
        <v>6160</v>
      </c>
      <c r="H1028">
        <v>3.4799999999999998E-2</v>
      </c>
      <c r="I1028">
        <v>1.23</v>
      </c>
      <c r="J1028">
        <v>7576.8</v>
      </c>
      <c r="K1028">
        <v>220</v>
      </c>
      <c r="L1028">
        <v>34.44</v>
      </c>
      <c r="M1028">
        <v>59390.91</v>
      </c>
      <c r="N1028">
        <v>7.84</v>
      </c>
    </row>
    <row r="1029" spans="1:14" x14ac:dyDescent="0.25">
      <c r="A1029" s="1">
        <v>45606</v>
      </c>
      <c r="B1029" t="s">
        <v>28</v>
      </c>
      <c r="C1029" t="s">
        <v>15</v>
      </c>
      <c r="D1029" t="s">
        <v>30</v>
      </c>
      <c r="E1029" t="s">
        <v>23</v>
      </c>
      <c r="F1029">
        <v>21679</v>
      </c>
      <c r="G1029">
        <v>448</v>
      </c>
      <c r="H1029">
        <v>2.07E-2</v>
      </c>
      <c r="I1029">
        <v>0.89</v>
      </c>
      <c r="J1029">
        <v>398.72</v>
      </c>
      <c r="K1029">
        <v>31</v>
      </c>
      <c r="L1029">
        <v>12.86</v>
      </c>
      <c r="M1029">
        <v>3556.66</v>
      </c>
      <c r="N1029">
        <v>8.92</v>
      </c>
    </row>
    <row r="1030" spans="1:14" x14ac:dyDescent="0.25">
      <c r="A1030" s="1">
        <v>45482</v>
      </c>
      <c r="B1030" t="s">
        <v>14</v>
      </c>
      <c r="C1030" t="s">
        <v>15</v>
      </c>
      <c r="D1030" t="s">
        <v>22</v>
      </c>
      <c r="E1030" t="s">
        <v>20</v>
      </c>
      <c r="F1030">
        <v>18601</v>
      </c>
      <c r="G1030">
        <v>706</v>
      </c>
      <c r="H1030">
        <v>3.7999999999999999E-2</v>
      </c>
      <c r="I1030">
        <v>2</v>
      </c>
      <c r="J1030">
        <v>1412</v>
      </c>
      <c r="K1030">
        <v>54</v>
      </c>
      <c r="L1030">
        <v>26.15</v>
      </c>
      <c r="M1030">
        <v>3302.39</v>
      </c>
      <c r="N1030">
        <v>2.34</v>
      </c>
    </row>
    <row r="1031" spans="1:14" x14ac:dyDescent="0.25">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row>
    <row r="1032" spans="1:14" x14ac:dyDescent="0.25">
      <c r="A1032" s="1">
        <v>45613</v>
      </c>
      <c r="B1032" t="s">
        <v>14</v>
      </c>
      <c r="C1032" t="s">
        <v>24</v>
      </c>
      <c r="D1032" t="s">
        <v>16</v>
      </c>
      <c r="E1032" t="s">
        <v>32</v>
      </c>
      <c r="F1032">
        <v>46745</v>
      </c>
      <c r="G1032">
        <v>2140</v>
      </c>
      <c r="H1032">
        <v>4.58E-2</v>
      </c>
      <c r="I1032">
        <v>3.44</v>
      </c>
      <c r="J1032">
        <v>7361.6</v>
      </c>
      <c r="K1032">
        <v>38</v>
      </c>
      <c r="L1032">
        <v>193.73</v>
      </c>
      <c r="M1032">
        <v>5289.97</v>
      </c>
      <c r="N1032">
        <v>0.72</v>
      </c>
    </row>
    <row r="1033" spans="1:14" x14ac:dyDescent="0.25">
      <c r="A1033" s="1">
        <v>45635</v>
      </c>
      <c r="B1033" t="s">
        <v>14</v>
      </c>
      <c r="C1033" t="s">
        <v>29</v>
      </c>
      <c r="D1033" t="s">
        <v>30</v>
      </c>
      <c r="E1033" t="s">
        <v>27</v>
      </c>
      <c r="F1033">
        <v>39505</v>
      </c>
      <c r="G1033">
        <v>2251</v>
      </c>
      <c r="H1033">
        <v>5.7000000000000002E-2</v>
      </c>
      <c r="I1033">
        <v>3.06</v>
      </c>
      <c r="J1033">
        <v>6888.06</v>
      </c>
      <c r="K1033">
        <v>149</v>
      </c>
      <c r="L1033">
        <v>46.23</v>
      </c>
      <c r="M1033">
        <v>30920.99</v>
      </c>
      <c r="N1033">
        <v>4.49</v>
      </c>
    </row>
    <row r="1034" spans="1:14" x14ac:dyDescent="0.25">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row>
    <row r="1035" spans="1:14" x14ac:dyDescent="0.25">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row>
    <row r="1036" spans="1:14" x14ac:dyDescent="0.25">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row>
    <row r="1037" spans="1:14" x14ac:dyDescent="0.25">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row>
    <row r="1038" spans="1:14" x14ac:dyDescent="0.25">
      <c r="A1038" s="1">
        <v>45617</v>
      </c>
      <c r="B1038" t="s">
        <v>28</v>
      </c>
      <c r="C1038" t="s">
        <v>24</v>
      </c>
      <c r="D1038" t="s">
        <v>16</v>
      </c>
      <c r="E1038" t="s">
        <v>32</v>
      </c>
      <c r="F1038">
        <v>52743</v>
      </c>
      <c r="G1038">
        <v>1207</v>
      </c>
      <c r="H1038">
        <v>2.29E-2</v>
      </c>
      <c r="I1038">
        <v>1.93</v>
      </c>
      <c r="J1038">
        <v>2329.5100000000002</v>
      </c>
      <c r="K1038">
        <v>90</v>
      </c>
      <c r="L1038">
        <v>25.88</v>
      </c>
      <c r="M1038">
        <v>11281.65</v>
      </c>
      <c r="N1038">
        <v>4.84</v>
      </c>
    </row>
    <row r="1039" spans="1:14" x14ac:dyDescent="0.25">
      <c r="A1039" s="1">
        <v>45401</v>
      </c>
      <c r="B1039" t="s">
        <v>28</v>
      </c>
      <c r="C1039" t="s">
        <v>24</v>
      </c>
      <c r="D1039" t="s">
        <v>22</v>
      </c>
      <c r="E1039" t="s">
        <v>20</v>
      </c>
      <c r="F1039">
        <v>92091</v>
      </c>
      <c r="G1039">
        <v>3342</v>
      </c>
      <c r="H1039">
        <v>3.6299999999999999E-2</v>
      </c>
      <c r="I1039">
        <v>1.48</v>
      </c>
      <c r="J1039">
        <v>4946.16</v>
      </c>
      <c r="K1039">
        <v>145</v>
      </c>
      <c r="L1039">
        <v>34.11</v>
      </c>
      <c r="M1039">
        <v>37976.42</v>
      </c>
      <c r="N1039">
        <v>7.68</v>
      </c>
    </row>
    <row r="1040" spans="1:14" x14ac:dyDescent="0.25">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row>
    <row r="1041" spans="1:14" x14ac:dyDescent="0.25">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row>
    <row r="1042" spans="1:14" x14ac:dyDescent="0.25">
      <c r="A1042" s="1">
        <v>45561</v>
      </c>
      <c r="B1042" t="s">
        <v>18</v>
      </c>
      <c r="C1042" t="s">
        <v>15</v>
      </c>
      <c r="D1042" t="s">
        <v>19</v>
      </c>
      <c r="E1042" t="s">
        <v>31</v>
      </c>
      <c r="F1042">
        <v>89946</v>
      </c>
      <c r="G1042">
        <v>5162</v>
      </c>
      <c r="H1042">
        <v>5.74E-2</v>
      </c>
      <c r="I1042">
        <v>0.63</v>
      </c>
      <c r="J1042">
        <v>3252.06</v>
      </c>
      <c r="K1042">
        <v>349</v>
      </c>
      <c r="L1042">
        <v>9.32</v>
      </c>
      <c r="M1042">
        <v>87393.19</v>
      </c>
      <c r="N1042">
        <v>26.87</v>
      </c>
    </row>
    <row r="1043" spans="1:14" x14ac:dyDescent="0.25">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row>
    <row r="1044" spans="1:14" x14ac:dyDescent="0.25">
      <c r="A1044" s="1">
        <v>45294</v>
      </c>
      <c r="B1044" t="s">
        <v>28</v>
      </c>
      <c r="C1044" t="s">
        <v>29</v>
      </c>
      <c r="D1044" t="s">
        <v>16</v>
      </c>
      <c r="E1044" t="s">
        <v>27</v>
      </c>
      <c r="F1044">
        <v>129750</v>
      </c>
      <c r="G1044">
        <v>2452</v>
      </c>
      <c r="H1044">
        <v>1.89E-2</v>
      </c>
      <c r="I1044">
        <v>1.0900000000000001</v>
      </c>
      <c r="J1044">
        <v>2672.68</v>
      </c>
      <c r="K1044">
        <v>93</v>
      </c>
      <c r="L1044">
        <v>28.74</v>
      </c>
      <c r="M1044">
        <v>23770.39</v>
      </c>
      <c r="N1044">
        <v>8.89</v>
      </c>
    </row>
    <row r="1045" spans="1:14" x14ac:dyDescent="0.25">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row>
    <row r="1046" spans="1:14" x14ac:dyDescent="0.25">
      <c r="A1046" s="1">
        <v>45449</v>
      </c>
      <c r="B1046" t="s">
        <v>14</v>
      </c>
      <c r="C1046" t="s">
        <v>29</v>
      </c>
      <c r="D1046" t="s">
        <v>30</v>
      </c>
      <c r="E1046" t="s">
        <v>32</v>
      </c>
      <c r="F1046">
        <v>58266</v>
      </c>
      <c r="G1046">
        <v>2651</v>
      </c>
      <c r="H1046">
        <v>4.5499999999999999E-2</v>
      </c>
      <c r="I1046">
        <v>1.22</v>
      </c>
      <c r="J1046">
        <v>3234.22</v>
      </c>
      <c r="K1046">
        <v>103</v>
      </c>
      <c r="L1046">
        <v>31.4</v>
      </c>
      <c r="M1046">
        <v>3487.43</v>
      </c>
      <c r="N1046">
        <v>1.08</v>
      </c>
    </row>
    <row r="1047" spans="1:14" x14ac:dyDescent="0.25">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row>
    <row r="1048" spans="1:14" x14ac:dyDescent="0.25">
      <c r="A1048" s="1">
        <v>45309</v>
      </c>
      <c r="B1048" t="s">
        <v>18</v>
      </c>
      <c r="C1048" t="s">
        <v>21</v>
      </c>
      <c r="D1048" t="s">
        <v>19</v>
      </c>
      <c r="E1048" t="s">
        <v>20</v>
      </c>
      <c r="F1048">
        <v>172820</v>
      </c>
      <c r="G1048">
        <v>5512</v>
      </c>
      <c r="H1048">
        <v>3.1899999999999998E-2</v>
      </c>
      <c r="I1048">
        <v>1.5</v>
      </c>
      <c r="J1048">
        <v>8268</v>
      </c>
      <c r="K1048">
        <v>229</v>
      </c>
      <c r="L1048">
        <v>36.1</v>
      </c>
      <c r="M1048">
        <v>38190.22</v>
      </c>
      <c r="N1048">
        <v>4.62</v>
      </c>
    </row>
    <row r="1049" spans="1:14" x14ac:dyDescent="0.25">
      <c r="A1049" s="1">
        <v>45626</v>
      </c>
      <c r="B1049" t="s">
        <v>14</v>
      </c>
      <c r="C1049" t="s">
        <v>24</v>
      </c>
      <c r="D1049" t="s">
        <v>19</v>
      </c>
      <c r="E1049" t="s">
        <v>20</v>
      </c>
      <c r="F1049">
        <v>61902</v>
      </c>
      <c r="G1049">
        <v>2599</v>
      </c>
      <c r="H1049">
        <v>4.2000000000000003E-2</v>
      </c>
      <c r="I1049">
        <v>2.92</v>
      </c>
      <c r="J1049">
        <v>7589.08</v>
      </c>
      <c r="K1049">
        <v>160</v>
      </c>
      <c r="L1049">
        <v>47.43</v>
      </c>
      <c r="M1049">
        <v>43994.91</v>
      </c>
      <c r="N1049">
        <v>5.8</v>
      </c>
    </row>
    <row r="1050" spans="1:14" x14ac:dyDescent="0.25">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row>
    <row r="1051" spans="1:14" x14ac:dyDescent="0.25">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row>
    <row r="1052" spans="1:14" x14ac:dyDescent="0.25">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row>
    <row r="1053" spans="1:14" x14ac:dyDescent="0.25">
      <c r="A1053" s="1">
        <v>45413</v>
      </c>
      <c r="B1053" t="s">
        <v>28</v>
      </c>
      <c r="C1053" t="s">
        <v>15</v>
      </c>
      <c r="D1053" t="s">
        <v>30</v>
      </c>
      <c r="E1053" t="s">
        <v>27</v>
      </c>
      <c r="F1053">
        <v>7196</v>
      </c>
      <c r="G1053">
        <v>287</v>
      </c>
      <c r="H1053">
        <v>0.04</v>
      </c>
      <c r="I1053">
        <v>2.21</v>
      </c>
      <c r="J1053">
        <v>634.27</v>
      </c>
      <c r="K1053">
        <v>10</v>
      </c>
      <c r="L1053">
        <v>63.43</v>
      </c>
      <c r="M1053">
        <v>693.26</v>
      </c>
      <c r="N1053">
        <v>1.0900000000000001</v>
      </c>
    </row>
    <row r="1054" spans="1:14" x14ac:dyDescent="0.25">
      <c r="A1054" s="1">
        <v>45610</v>
      </c>
      <c r="B1054" t="s">
        <v>14</v>
      </c>
      <c r="C1054" t="s">
        <v>29</v>
      </c>
      <c r="D1054" t="s">
        <v>22</v>
      </c>
      <c r="E1054" t="s">
        <v>31</v>
      </c>
      <c r="F1054">
        <v>30757</v>
      </c>
      <c r="G1054">
        <v>1202</v>
      </c>
      <c r="H1054">
        <v>3.9100000000000003E-2</v>
      </c>
      <c r="I1054">
        <v>3.26</v>
      </c>
      <c r="J1054">
        <v>3918.52</v>
      </c>
      <c r="K1054">
        <v>60</v>
      </c>
      <c r="L1054">
        <v>65.31</v>
      </c>
      <c r="M1054">
        <v>5647</v>
      </c>
      <c r="N1054">
        <v>1.44</v>
      </c>
    </row>
    <row r="1055" spans="1:14" x14ac:dyDescent="0.25">
      <c r="A1055" s="1">
        <v>45393</v>
      </c>
      <c r="B1055" t="s">
        <v>14</v>
      </c>
      <c r="C1055" t="s">
        <v>29</v>
      </c>
      <c r="D1055" t="s">
        <v>22</v>
      </c>
      <c r="E1055" t="s">
        <v>27</v>
      </c>
      <c r="F1055">
        <v>17578</v>
      </c>
      <c r="G1055">
        <v>330</v>
      </c>
      <c r="H1055">
        <v>1.8800000000000001E-2</v>
      </c>
      <c r="I1055">
        <v>3.07</v>
      </c>
      <c r="J1055">
        <v>1013.1</v>
      </c>
      <c r="K1055">
        <v>20</v>
      </c>
      <c r="L1055">
        <v>50.66</v>
      </c>
      <c r="M1055">
        <v>3553.78</v>
      </c>
      <c r="N1055">
        <v>3.51</v>
      </c>
    </row>
    <row r="1056" spans="1:14" x14ac:dyDescent="0.25">
      <c r="A1056" s="1">
        <v>45324</v>
      </c>
      <c r="B1056" t="s">
        <v>14</v>
      </c>
      <c r="C1056" t="s">
        <v>29</v>
      </c>
      <c r="D1056" t="s">
        <v>30</v>
      </c>
      <c r="E1056" t="s">
        <v>23</v>
      </c>
      <c r="F1056">
        <v>65530</v>
      </c>
      <c r="G1056">
        <v>2018</v>
      </c>
      <c r="H1056">
        <v>3.0800000000000001E-2</v>
      </c>
      <c r="I1056">
        <v>2.81</v>
      </c>
      <c r="J1056">
        <v>5670.58</v>
      </c>
      <c r="K1056">
        <v>117</v>
      </c>
      <c r="L1056">
        <v>48.47</v>
      </c>
      <c r="M1056">
        <v>12114.63</v>
      </c>
      <c r="N1056">
        <v>2.14</v>
      </c>
    </row>
    <row r="1057" spans="1:14" x14ac:dyDescent="0.25">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row>
    <row r="1058" spans="1:14" x14ac:dyDescent="0.25">
      <c r="A1058" s="1">
        <v>45452</v>
      </c>
      <c r="B1058" t="s">
        <v>18</v>
      </c>
      <c r="C1058" t="s">
        <v>24</v>
      </c>
      <c r="D1058" t="s">
        <v>30</v>
      </c>
      <c r="E1058" t="s">
        <v>32</v>
      </c>
      <c r="F1058">
        <v>161904</v>
      </c>
      <c r="G1058">
        <v>4339</v>
      </c>
      <c r="H1058">
        <v>2.6800000000000001E-2</v>
      </c>
      <c r="I1058">
        <v>1.05</v>
      </c>
      <c r="J1058">
        <v>4555.95</v>
      </c>
      <c r="K1058">
        <v>178</v>
      </c>
      <c r="L1058">
        <v>25.6</v>
      </c>
      <c r="M1058">
        <v>22405.85</v>
      </c>
      <c r="N1058">
        <v>4.92</v>
      </c>
    </row>
    <row r="1059" spans="1:14" x14ac:dyDescent="0.25">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row>
    <row r="1060" spans="1:14" x14ac:dyDescent="0.25">
      <c r="A1060" s="1">
        <v>45451</v>
      </c>
      <c r="B1060" t="s">
        <v>28</v>
      </c>
      <c r="C1060" t="s">
        <v>24</v>
      </c>
      <c r="D1060" t="s">
        <v>25</v>
      </c>
      <c r="E1060" t="s">
        <v>20</v>
      </c>
      <c r="F1060">
        <v>12712</v>
      </c>
      <c r="G1060">
        <v>212</v>
      </c>
      <c r="H1060">
        <v>1.67E-2</v>
      </c>
      <c r="I1060">
        <v>1.7</v>
      </c>
      <c r="J1060">
        <v>360.4</v>
      </c>
      <c r="K1060">
        <v>9</v>
      </c>
      <c r="L1060">
        <v>40.04</v>
      </c>
      <c r="M1060">
        <v>375.03</v>
      </c>
      <c r="N1060">
        <v>1.04</v>
      </c>
    </row>
    <row r="1061" spans="1:14" x14ac:dyDescent="0.25">
      <c r="A1061" s="1">
        <v>45332</v>
      </c>
      <c r="B1061" t="s">
        <v>14</v>
      </c>
      <c r="C1061" t="s">
        <v>24</v>
      </c>
      <c r="D1061" t="s">
        <v>30</v>
      </c>
      <c r="E1061" t="s">
        <v>17</v>
      </c>
      <c r="F1061">
        <v>24198</v>
      </c>
      <c r="G1061">
        <v>1214</v>
      </c>
      <c r="H1061">
        <v>5.0200000000000002E-2</v>
      </c>
      <c r="I1061">
        <v>1.35</v>
      </c>
      <c r="J1061">
        <v>1638.9</v>
      </c>
      <c r="K1061">
        <v>60</v>
      </c>
      <c r="L1061">
        <v>27.32</v>
      </c>
      <c r="M1061">
        <v>11611.94</v>
      </c>
      <c r="N1061">
        <v>7.09</v>
      </c>
    </row>
    <row r="1062" spans="1:14" x14ac:dyDescent="0.25">
      <c r="A1062" s="1">
        <v>45504</v>
      </c>
      <c r="B1062" t="s">
        <v>14</v>
      </c>
      <c r="C1062" t="s">
        <v>29</v>
      </c>
      <c r="D1062" t="s">
        <v>25</v>
      </c>
      <c r="E1062" t="s">
        <v>31</v>
      </c>
      <c r="F1062">
        <v>80324</v>
      </c>
      <c r="G1062">
        <v>2337</v>
      </c>
      <c r="H1062">
        <v>2.9100000000000001E-2</v>
      </c>
      <c r="I1062">
        <v>2.99</v>
      </c>
      <c r="J1062">
        <v>6987.63</v>
      </c>
      <c r="K1062">
        <v>50</v>
      </c>
      <c r="L1062">
        <v>139.75</v>
      </c>
      <c r="M1062">
        <v>12463.37</v>
      </c>
      <c r="N1062">
        <v>1.78</v>
      </c>
    </row>
    <row r="1063" spans="1:14" x14ac:dyDescent="0.25">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row>
    <row r="1064" spans="1:14" x14ac:dyDescent="0.25">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row>
    <row r="1065" spans="1:14" x14ac:dyDescent="0.25">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row>
    <row r="1066" spans="1:14" x14ac:dyDescent="0.25">
      <c r="A1066" s="1">
        <v>45328</v>
      </c>
      <c r="B1066" t="s">
        <v>18</v>
      </c>
      <c r="C1066" t="s">
        <v>29</v>
      </c>
      <c r="D1066" t="s">
        <v>25</v>
      </c>
      <c r="E1066" t="s">
        <v>32</v>
      </c>
      <c r="F1066">
        <v>53709</v>
      </c>
      <c r="G1066">
        <v>2868</v>
      </c>
      <c r="H1066">
        <v>5.3400000000000003E-2</v>
      </c>
      <c r="I1066">
        <v>0.89</v>
      </c>
      <c r="J1066">
        <v>2552.52</v>
      </c>
      <c r="K1066">
        <v>222</v>
      </c>
      <c r="L1066">
        <v>11.5</v>
      </c>
      <c r="M1066">
        <v>47503.54</v>
      </c>
      <c r="N1066">
        <v>18.61</v>
      </c>
    </row>
    <row r="1067" spans="1:14" x14ac:dyDescent="0.25">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row>
    <row r="1068" spans="1:14" x14ac:dyDescent="0.25">
      <c r="A1068" s="1">
        <v>45530</v>
      </c>
      <c r="B1068" t="s">
        <v>18</v>
      </c>
      <c r="C1068" t="s">
        <v>29</v>
      </c>
      <c r="D1068" t="s">
        <v>16</v>
      </c>
      <c r="E1068" t="s">
        <v>17</v>
      </c>
      <c r="F1068">
        <v>178782</v>
      </c>
      <c r="G1068">
        <v>7705</v>
      </c>
      <c r="H1068">
        <v>4.3099999999999999E-2</v>
      </c>
      <c r="I1068">
        <v>1.28</v>
      </c>
      <c r="J1068">
        <v>9862.4</v>
      </c>
      <c r="K1068">
        <v>352</v>
      </c>
      <c r="L1068">
        <v>28.02</v>
      </c>
      <c r="M1068">
        <v>30909.61</v>
      </c>
      <c r="N1068">
        <v>3.13</v>
      </c>
    </row>
    <row r="1069" spans="1:14" x14ac:dyDescent="0.25">
      <c r="A1069" s="1">
        <v>45415</v>
      </c>
      <c r="B1069" t="s">
        <v>28</v>
      </c>
      <c r="C1069" t="s">
        <v>21</v>
      </c>
      <c r="D1069" t="s">
        <v>22</v>
      </c>
      <c r="E1069" t="s">
        <v>31</v>
      </c>
      <c r="F1069">
        <v>189221</v>
      </c>
      <c r="G1069">
        <v>7587</v>
      </c>
      <c r="H1069">
        <v>4.0099999999999997E-2</v>
      </c>
      <c r="I1069">
        <v>0.91</v>
      </c>
      <c r="J1069">
        <v>6904.17</v>
      </c>
      <c r="K1069">
        <v>80</v>
      </c>
      <c r="L1069">
        <v>86.3</v>
      </c>
      <c r="M1069">
        <v>2769.22</v>
      </c>
      <c r="N1069">
        <v>0.4</v>
      </c>
    </row>
    <row r="1070" spans="1:14" x14ac:dyDescent="0.25">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row>
    <row r="1071" spans="1:14" x14ac:dyDescent="0.25">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row>
    <row r="1072" spans="1:14" x14ac:dyDescent="0.25">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row>
    <row r="1073" spans="1:14" x14ac:dyDescent="0.25">
      <c r="A1073" s="1">
        <v>45637</v>
      </c>
      <c r="B1073" t="s">
        <v>28</v>
      </c>
      <c r="C1073" t="s">
        <v>15</v>
      </c>
      <c r="D1073" t="s">
        <v>19</v>
      </c>
      <c r="E1073" t="s">
        <v>23</v>
      </c>
      <c r="F1073">
        <v>198775</v>
      </c>
      <c r="G1073">
        <v>3637</v>
      </c>
      <c r="H1073">
        <v>1.83E-2</v>
      </c>
      <c r="I1073">
        <v>1.99</v>
      </c>
      <c r="J1073">
        <v>7237.63</v>
      </c>
      <c r="K1073">
        <v>235</v>
      </c>
      <c r="L1073">
        <v>30.8</v>
      </c>
      <c r="M1073">
        <v>18520.23</v>
      </c>
      <c r="N1073">
        <v>2.56</v>
      </c>
    </row>
    <row r="1074" spans="1:14" x14ac:dyDescent="0.25">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row>
    <row r="1075" spans="1:14" x14ac:dyDescent="0.25">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row>
    <row r="1076" spans="1:14" x14ac:dyDescent="0.25">
      <c r="A1076" s="1">
        <v>45548</v>
      </c>
      <c r="B1076" t="s">
        <v>28</v>
      </c>
      <c r="C1076" t="s">
        <v>15</v>
      </c>
      <c r="D1076" t="s">
        <v>30</v>
      </c>
      <c r="E1076" t="s">
        <v>23</v>
      </c>
      <c r="F1076">
        <v>114844</v>
      </c>
      <c r="G1076">
        <v>3307</v>
      </c>
      <c r="H1076">
        <v>2.8799999999999999E-2</v>
      </c>
      <c r="I1076">
        <v>2.1</v>
      </c>
      <c r="J1076">
        <v>6944.7</v>
      </c>
      <c r="K1076">
        <v>123</v>
      </c>
      <c r="L1076">
        <v>56.46</v>
      </c>
      <c r="M1076">
        <v>36552.89</v>
      </c>
      <c r="N1076">
        <v>5.26</v>
      </c>
    </row>
    <row r="1077" spans="1:14" x14ac:dyDescent="0.25">
      <c r="A1077" s="1">
        <v>45531</v>
      </c>
      <c r="B1077" t="s">
        <v>28</v>
      </c>
      <c r="C1077" t="s">
        <v>15</v>
      </c>
      <c r="D1077" t="s">
        <v>30</v>
      </c>
      <c r="E1077" t="s">
        <v>23</v>
      </c>
      <c r="F1077">
        <v>53865</v>
      </c>
      <c r="G1077">
        <v>1098</v>
      </c>
      <c r="H1077">
        <v>2.0400000000000001E-2</v>
      </c>
      <c r="I1077">
        <v>1.28</v>
      </c>
      <c r="J1077">
        <v>1405.44</v>
      </c>
      <c r="K1077">
        <v>67</v>
      </c>
      <c r="L1077">
        <v>20.98</v>
      </c>
      <c r="M1077">
        <v>2545.35</v>
      </c>
      <c r="N1077">
        <v>1.81</v>
      </c>
    </row>
    <row r="1078" spans="1:14" x14ac:dyDescent="0.25">
      <c r="A1078" s="1">
        <v>45298</v>
      </c>
      <c r="B1078" t="s">
        <v>14</v>
      </c>
      <c r="C1078" t="s">
        <v>21</v>
      </c>
      <c r="D1078" t="s">
        <v>30</v>
      </c>
      <c r="E1078" t="s">
        <v>26</v>
      </c>
      <c r="F1078">
        <v>25080</v>
      </c>
      <c r="G1078">
        <v>1113</v>
      </c>
      <c r="H1078">
        <v>4.4400000000000002E-2</v>
      </c>
      <c r="I1078">
        <v>2.62</v>
      </c>
      <c r="J1078">
        <v>2916.06</v>
      </c>
      <c r="K1078">
        <v>49</v>
      </c>
      <c r="L1078">
        <v>59.51</v>
      </c>
      <c r="M1078">
        <v>2232.61</v>
      </c>
      <c r="N1078">
        <v>0.77</v>
      </c>
    </row>
    <row r="1079" spans="1:14" x14ac:dyDescent="0.25">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row>
    <row r="1080" spans="1:14" x14ac:dyDescent="0.25">
      <c r="A1080" s="1">
        <v>45438</v>
      </c>
      <c r="B1080" t="s">
        <v>14</v>
      </c>
      <c r="C1080" t="s">
        <v>21</v>
      </c>
      <c r="D1080" t="s">
        <v>25</v>
      </c>
      <c r="E1080" t="s">
        <v>27</v>
      </c>
      <c r="F1080">
        <v>27593</v>
      </c>
      <c r="G1080">
        <v>896</v>
      </c>
      <c r="H1080">
        <v>3.2500000000000001E-2</v>
      </c>
      <c r="I1080">
        <v>2.39</v>
      </c>
      <c r="J1080">
        <v>2141.44</v>
      </c>
      <c r="K1080">
        <v>48</v>
      </c>
      <c r="L1080">
        <v>44.61</v>
      </c>
      <c r="M1080">
        <v>8087.57</v>
      </c>
      <c r="N1080">
        <v>3.78</v>
      </c>
    </row>
    <row r="1081" spans="1:14" x14ac:dyDescent="0.25">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row>
    <row r="1082" spans="1:14" x14ac:dyDescent="0.25">
      <c r="A1082" s="1">
        <v>45429</v>
      </c>
      <c r="B1082" t="s">
        <v>18</v>
      </c>
      <c r="C1082" t="s">
        <v>24</v>
      </c>
      <c r="D1082" t="s">
        <v>30</v>
      </c>
      <c r="E1082" t="s">
        <v>23</v>
      </c>
      <c r="F1082">
        <v>72986</v>
      </c>
      <c r="G1082">
        <v>3379</v>
      </c>
      <c r="H1082">
        <v>4.6300000000000001E-2</v>
      </c>
      <c r="I1082">
        <v>1.77</v>
      </c>
      <c r="J1082">
        <v>5980.83</v>
      </c>
      <c r="K1082">
        <v>188</v>
      </c>
      <c r="L1082">
        <v>31.81</v>
      </c>
      <c r="M1082">
        <v>17387.72</v>
      </c>
      <c r="N1082">
        <v>2.91</v>
      </c>
    </row>
    <row r="1083" spans="1:14" x14ac:dyDescent="0.25">
      <c r="A1083" s="1">
        <v>45324</v>
      </c>
      <c r="B1083" t="s">
        <v>14</v>
      </c>
      <c r="C1083" t="s">
        <v>24</v>
      </c>
      <c r="D1083" t="s">
        <v>22</v>
      </c>
      <c r="E1083" t="s">
        <v>17</v>
      </c>
      <c r="F1083">
        <v>149848</v>
      </c>
      <c r="G1083">
        <v>9290</v>
      </c>
      <c r="H1083">
        <v>6.2E-2</v>
      </c>
      <c r="I1083">
        <v>1.97</v>
      </c>
      <c r="J1083">
        <v>18301.3</v>
      </c>
      <c r="K1083">
        <v>537</v>
      </c>
      <c r="L1083">
        <v>34.08</v>
      </c>
      <c r="M1083">
        <v>106414.01</v>
      </c>
      <c r="N1083">
        <v>5.81</v>
      </c>
    </row>
    <row r="1084" spans="1:14" x14ac:dyDescent="0.25">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row>
    <row r="1085" spans="1:14" x14ac:dyDescent="0.25">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row>
    <row r="1086" spans="1:14" x14ac:dyDescent="0.25">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row>
    <row r="1087" spans="1:14" x14ac:dyDescent="0.25">
      <c r="A1087" s="1">
        <v>45640</v>
      </c>
      <c r="B1087" t="s">
        <v>18</v>
      </c>
      <c r="C1087" t="s">
        <v>21</v>
      </c>
      <c r="D1087" t="s">
        <v>30</v>
      </c>
      <c r="E1087" t="s">
        <v>20</v>
      </c>
      <c r="F1087">
        <v>56529</v>
      </c>
      <c r="G1087">
        <v>4494</v>
      </c>
      <c r="H1087">
        <v>7.9500000000000001E-2</v>
      </c>
      <c r="I1087">
        <v>1.51</v>
      </c>
      <c r="J1087">
        <v>6785.94</v>
      </c>
      <c r="K1087">
        <v>104</v>
      </c>
      <c r="L1087">
        <v>65.25</v>
      </c>
      <c r="M1087">
        <v>9525.68</v>
      </c>
      <c r="N1087">
        <v>1.4</v>
      </c>
    </row>
    <row r="1088" spans="1:14" x14ac:dyDescent="0.25">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row>
    <row r="1089" spans="1:14" x14ac:dyDescent="0.25">
      <c r="A1089" s="1">
        <v>45599</v>
      </c>
      <c r="B1089" t="s">
        <v>28</v>
      </c>
      <c r="C1089" t="s">
        <v>15</v>
      </c>
      <c r="D1089" t="s">
        <v>25</v>
      </c>
      <c r="E1089" t="s">
        <v>27</v>
      </c>
      <c r="F1089">
        <v>128355</v>
      </c>
      <c r="G1089">
        <v>1758</v>
      </c>
      <c r="H1089">
        <v>1.37E-2</v>
      </c>
      <c r="I1089">
        <v>1.86</v>
      </c>
      <c r="J1089">
        <v>3269.88</v>
      </c>
      <c r="K1089">
        <v>122</v>
      </c>
      <c r="L1089">
        <v>26.8</v>
      </c>
      <c r="M1089">
        <v>6205.33</v>
      </c>
      <c r="N1089">
        <v>1.9</v>
      </c>
    </row>
    <row r="1090" spans="1:14" x14ac:dyDescent="0.25">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row>
    <row r="1091" spans="1:14" x14ac:dyDescent="0.25">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row>
    <row r="1092" spans="1:14" x14ac:dyDescent="0.25">
      <c r="A1092" s="1">
        <v>45341</v>
      </c>
      <c r="B1092" t="s">
        <v>14</v>
      </c>
      <c r="C1092" t="s">
        <v>15</v>
      </c>
      <c r="D1092" t="s">
        <v>19</v>
      </c>
      <c r="E1092" t="s">
        <v>17</v>
      </c>
      <c r="F1092">
        <v>95218</v>
      </c>
      <c r="G1092">
        <v>2199</v>
      </c>
      <c r="H1092">
        <v>2.3099999999999999E-2</v>
      </c>
      <c r="I1092">
        <v>2.39</v>
      </c>
      <c r="J1092">
        <v>5255.61</v>
      </c>
      <c r="K1092">
        <v>103</v>
      </c>
      <c r="L1092">
        <v>51.03</v>
      </c>
      <c r="M1092">
        <v>17399.72</v>
      </c>
      <c r="N1092">
        <v>3.31</v>
      </c>
    </row>
    <row r="1093" spans="1:14" x14ac:dyDescent="0.25">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row>
    <row r="1094" spans="1:14" x14ac:dyDescent="0.25">
      <c r="A1094" s="1">
        <v>45547</v>
      </c>
      <c r="B1094" t="s">
        <v>14</v>
      </c>
      <c r="C1094" t="s">
        <v>15</v>
      </c>
      <c r="D1094" t="s">
        <v>30</v>
      </c>
      <c r="E1094" t="s">
        <v>31</v>
      </c>
      <c r="F1094">
        <v>31049</v>
      </c>
      <c r="G1094">
        <v>1021</v>
      </c>
      <c r="H1094">
        <v>3.2899999999999999E-2</v>
      </c>
      <c r="I1094">
        <v>3.31</v>
      </c>
      <c r="J1094">
        <v>3379.51</v>
      </c>
      <c r="K1094">
        <v>31</v>
      </c>
      <c r="L1094">
        <v>109.02</v>
      </c>
      <c r="M1094">
        <v>7117.65</v>
      </c>
      <c r="N1094">
        <v>2.11</v>
      </c>
    </row>
    <row r="1095" spans="1:14" x14ac:dyDescent="0.25">
      <c r="A1095" s="1">
        <v>45554</v>
      </c>
      <c r="B1095" t="s">
        <v>18</v>
      </c>
      <c r="C1095" t="s">
        <v>15</v>
      </c>
      <c r="D1095" t="s">
        <v>22</v>
      </c>
      <c r="E1095" t="s">
        <v>26</v>
      </c>
      <c r="F1095">
        <v>129077</v>
      </c>
      <c r="G1095">
        <v>4065</v>
      </c>
      <c r="H1095">
        <v>3.15E-2</v>
      </c>
      <c r="I1095">
        <v>1.22</v>
      </c>
      <c r="J1095">
        <v>4959.3</v>
      </c>
      <c r="K1095">
        <v>295</v>
      </c>
      <c r="L1095">
        <v>16.809999999999999</v>
      </c>
      <c r="M1095">
        <v>44193.52</v>
      </c>
      <c r="N1095">
        <v>8.91</v>
      </c>
    </row>
    <row r="1096" spans="1:14" x14ac:dyDescent="0.25">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row>
    <row r="1097" spans="1:14" x14ac:dyDescent="0.25">
      <c r="A1097" s="1">
        <v>45335</v>
      </c>
      <c r="B1097" t="s">
        <v>14</v>
      </c>
      <c r="C1097" t="s">
        <v>15</v>
      </c>
      <c r="D1097" t="s">
        <v>25</v>
      </c>
      <c r="E1097" t="s">
        <v>32</v>
      </c>
      <c r="F1097">
        <v>153865</v>
      </c>
      <c r="G1097">
        <v>5785</v>
      </c>
      <c r="H1097">
        <v>3.7600000000000001E-2</v>
      </c>
      <c r="I1097">
        <v>1.7</v>
      </c>
      <c r="J1097">
        <v>9834.5</v>
      </c>
      <c r="K1097">
        <v>139</v>
      </c>
      <c r="L1097">
        <v>70.75</v>
      </c>
      <c r="M1097">
        <v>16979.34</v>
      </c>
      <c r="N1097">
        <v>1.73</v>
      </c>
    </row>
    <row r="1098" spans="1:14" x14ac:dyDescent="0.25">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row>
    <row r="1099" spans="1:14" x14ac:dyDescent="0.25">
      <c r="A1099" s="1">
        <v>45470</v>
      </c>
      <c r="B1099" t="s">
        <v>28</v>
      </c>
      <c r="C1099" t="s">
        <v>21</v>
      </c>
      <c r="D1099" t="s">
        <v>25</v>
      </c>
      <c r="E1099" t="s">
        <v>20</v>
      </c>
      <c r="F1099">
        <v>117696</v>
      </c>
      <c r="G1099">
        <v>4531</v>
      </c>
      <c r="H1099">
        <v>3.85E-2</v>
      </c>
      <c r="I1099">
        <v>1.0900000000000001</v>
      </c>
      <c r="J1099">
        <v>4938.79</v>
      </c>
      <c r="K1099">
        <v>325</v>
      </c>
      <c r="L1099">
        <v>15.2</v>
      </c>
      <c r="M1099">
        <v>19270.73</v>
      </c>
      <c r="N1099">
        <v>3.9</v>
      </c>
    </row>
    <row r="1100" spans="1:14" x14ac:dyDescent="0.25">
      <c r="A1100" s="1">
        <v>45584</v>
      </c>
      <c r="B1100" t="s">
        <v>28</v>
      </c>
      <c r="C1100" t="s">
        <v>15</v>
      </c>
      <c r="D1100" t="s">
        <v>22</v>
      </c>
      <c r="E1100" t="s">
        <v>27</v>
      </c>
      <c r="F1100">
        <v>147324</v>
      </c>
      <c r="G1100">
        <v>1325</v>
      </c>
      <c r="H1100">
        <v>8.9999999999999993E-3</v>
      </c>
      <c r="I1100">
        <v>1.72</v>
      </c>
      <c r="J1100">
        <v>2279</v>
      </c>
      <c r="K1100">
        <v>96</v>
      </c>
      <c r="L1100">
        <v>23.74</v>
      </c>
      <c r="M1100">
        <v>10356.84</v>
      </c>
      <c r="N1100">
        <v>4.54</v>
      </c>
    </row>
    <row r="1101" spans="1:14" x14ac:dyDescent="0.25">
      <c r="A1101" s="1">
        <v>45508</v>
      </c>
      <c r="B1101" t="s">
        <v>14</v>
      </c>
      <c r="C1101" t="s">
        <v>21</v>
      </c>
      <c r="D1101" t="s">
        <v>16</v>
      </c>
      <c r="E1101" t="s">
        <v>32</v>
      </c>
      <c r="F1101">
        <v>39001</v>
      </c>
      <c r="G1101">
        <v>1450</v>
      </c>
      <c r="H1101">
        <v>3.7199999999999997E-2</v>
      </c>
      <c r="I1101">
        <v>2.62</v>
      </c>
      <c r="J1101">
        <v>3799</v>
      </c>
      <c r="K1101">
        <v>18</v>
      </c>
      <c r="L1101">
        <v>211.06</v>
      </c>
      <c r="M1101">
        <v>5256.07</v>
      </c>
      <c r="N1101">
        <v>1.38</v>
      </c>
    </row>
    <row r="1102" spans="1:14" x14ac:dyDescent="0.25">
      <c r="A1102" s="1">
        <v>45294</v>
      </c>
      <c r="B1102" t="s">
        <v>18</v>
      </c>
      <c r="C1102" t="s">
        <v>15</v>
      </c>
      <c r="D1102" t="s">
        <v>22</v>
      </c>
      <c r="E1102" t="s">
        <v>23</v>
      </c>
      <c r="F1102">
        <v>69277</v>
      </c>
      <c r="G1102">
        <v>5057</v>
      </c>
      <c r="H1102">
        <v>7.2999999999999995E-2</v>
      </c>
      <c r="I1102">
        <v>1.06</v>
      </c>
      <c r="J1102">
        <v>5360.42</v>
      </c>
      <c r="K1102">
        <v>268</v>
      </c>
      <c r="L1102">
        <v>20</v>
      </c>
      <c r="M1102">
        <v>57608.77</v>
      </c>
      <c r="N1102">
        <v>10.75</v>
      </c>
    </row>
    <row r="1103" spans="1:14" x14ac:dyDescent="0.25">
      <c r="A1103" s="1">
        <v>45392</v>
      </c>
      <c r="B1103" t="s">
        <v>14</v>
      </c>
      <c r="C1103" t="s">
        <v>15</v>
      </c>
      <c r="D1103" t="s">
        <v>30</v>
      </c>
      <c r="E1103" t="s">
        <v>23</v>
      </c>
      <c r="F1103">
        <v>166687</v>
      </c>
      <c r="G1103">
        <v>11384</v>
      </c>
      <c r="H1103">
        <v>6.83E-2</v>
      </c>
      <c r="I1103">
        <v>0.73</v>
      </c>
      <c r="J1103">
        <v>8310.32</v>
      </c>
      <c r="K1103">
        <v>899</v>
      </c>
      <c r="L1103">
        <v>9.24</v>
      </c>
      <c r="M1103">
        <v>139644.20000000001</v>
      </c>
      <c r="N1103">
        <v>16.8</v>
      </c>
    </row>
    <row r="1104" spans="1:14" x14ac:dyDescent="0.25">
      <c r="A1104" s="1">
        <v>45628</v>
      </c>
      <c r="B1104" t="s">
        <v>28</v>
      </c>
      <c r="C1104" t="s">
        <v>21</v>
      </c>
      <c r="D1104" t="s">
        <v>30</v>
      </c>
      <c r="E1104" t="s">
        <v>27</v>
      </c>
      <c r="F1104">
        <v>173898</v>
      </c>
      <c r="G1104">
        <v>5321</v>
      </c>
      <c r="H1104">
        <v>3.0599999999999999E-2</v>
      </c>
      <c r="I1104">
        <v>0.53</v>
      </c>
      <c r="J1104">
        <v>2820.13</v>
      </c>
      <c r="K1104">
        <v>239</v>
      </c>
      <c r="L1104">
        <v>11.8</v>
      </c>
      <c r="M1104">
        <v>52181.09</v>
      </c>
      <c r="N1104">
        <v>18.5</v>
      </c>
    </row>
    <row r="1105" spans="1:14" x14ac:dyDescent="0.25">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row>
    <row r="1106" spans="1:14" x14ac:dyDescent="0.25">
      <c r="A1106" s="1">
        <v>45590</v>
      </c>
      <c r="B1106" t="s">
        <v>28</v>
      </c>
      <c r="C1106" t="s">
        <v>24</v>
      </c>
      <c r="D1106" t="s">
        <v>25</v>
      </c>
      <c r="E1106" t="s">
        <v>20</v>
      </c>
      <c r="F1106">
        <v>55697</v>
      </c>
      <c r="G1106">
        <v>957</v>
      </c>
      <c r="H1106">
        <v>1.72E-2</v>
      </c>
      <c r="I1106">
        <v>0.91</v>
      </c>
      <c r="J1106">
        <v>870.87</v>
      </c>
      <c r="K1106">
        <v>12</v>
      </c>
      <c r="L1106">
        <v>72.569999999999993</v>
      </c>
      <c r="M1106">
        <v>1673.31</v>
      </c>
      <c r="N1106">
        <v>1.92</v>
      </c>
    </row>
    <row r="1107" spans="1:14" x14ac:dyDescent="0.25">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row>
    <row r="1108" spans="1:14" x14ac:dyDescent="0.25">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row>
    <row r="1109" spans="1:14" x14ac:dyDescent="0.25">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row>
    <row r="1110" spans="1:14" x14ac:dyDescent="0.25">
      <c r="A1110" s="1">
        <v>45413</v>
      </c>
      <c r="B1110" t="s">
        <v>28</v>
      </c>
      <c r="C1110" t="s">
        <v>29</v>
      </c>
      <c r="D1110" t="s">
        <v>30</v>
      </c>
      <c r="E1110" t="s">
        <v>27</v>
      </c>
      <c r="F1110">
        <v>68843</v>
      </c>
      <c r="G1110">
        <v>633</v>
      </c>
      <c r="H1110">
        <v>9.1999999999999998E-3</v>
      </c>
      <c r="I1110">
        <v>0.89</v>
      </c>
      <c r="J1110">
        <v>563.37</v>
      </c>
      <c r="K1110">
        <v>25</v>
      </c>
      <c r="L1110">
        <v>22.53</v>
      </c>
      <c r="M1110">
        <v>2441.19</v>
      </c>
      <c r="N1110">
        <v>4.33</v>
      </c>
    </row>
    <row r="1111" spans="1:14" x14ac:dyDescent="0.25">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row>
    <row r="1112" spans="1:14" x14ac:dyDescent="0.25">
      <c r="A1112" s="1">
        <v>45322</v>
      </c>
      <c r="B1112" t="s">
        <v>28</v>
      </c>
      <c r="C1112" t="s">
        <v>15</v>
      </c>
      <c r="D1112" t="s">
        <v>16</v>
      </c>
      <c r="E1112" t="s">
        <v>20</v>
      </c>
      <c r="F1112">
        <v>153157</v>
      </c>
      <c r="G1112">
        <v>5498</v>
      </c>
      <c r="H1112">
        <v>3.5900000000000001E-2</v>
      </c>
      <c r="I1112">
        <v>1.8</v>
      </c>
      <c r="J1112">
        <v>9896.4</v>
      </c>
      <c r="K1112">
        <v>401</v>
      </c>
      <c r="L1112">
        <v>24.68</v>
      </c>
      <c r="M1112">
        <v>90694.52</v>
      </c>
      <c r="N1112">
        <v>9.16</v>
      </c>
    </row>
    <row r="1113" spans="1:14" x14ac:dyDescent="0.25">
      <c r="A1113" s="1">
        <v>45525</v>
      </c>
      <c r="B1113" t="s">
        <v>28</v>
      </c>
      <c r="C1113" t="s">
        <v>29</v>
      </c>
      <c r="D1113" t="s">
        <v>30</v>
      </c>
      <c r="E1113" t="s">
        <v>27</v>
      </c>
      <c r="F1113">
        <v>138074</v>
      </c>
      <c r="G1113">
        <v>3313</v>
      </c>
      <c r="H1113">
        <v>2.4E-2</v>
      </c>
      <c r="I1113">
        <v>1.91</v>
      </c>
      <c r="J1113">
        <v>6327.83</v>
      </c>
      <c r="K1113">
        <v>209</v>
      </c>
      <c r="L1113">
        <v>30.28</v>
      </c>
      <c r="M1113">
        <v>16533.53</v>
      </c>
      <c r="N1113">
        <v>2.61</v>
      </c>
    </row>
    <row r="1114" spans="1:14" x14ac:dyDescent="0.25">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row>
    <row r="1115" spans="1:14" x14ac:dyDescent="0.25">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row>
    <row r="1116" spans="1:14" x14ac:dyDescent="0.25">
      <c r="A1116" s="1">
        <v>45470</v>
      </c>
      <c r="B1116" t="s">
        <v>28</v>
      </c>
      <c r="C1116" t="s">
        <v>24</v>
      </c>
      <c r="D1116" t="s">
        <v>16</v>
      </c>
      <c r="E1116" t="s">
        <v>23</v>
      </c>
      <c r="F1116">
        <v>198899</v>
      </c>
      <c r="G1116">
        <v>2923</v>
      </c>
      <c r="H1116">
        <v>1.47E-2</v>
      </c>
      <c r="I1116">
        <v>1.97</v>
      </c>
      <c r="J1116">
        <v>5758.31</v>
      </c>
      <c r="K1116">
        <v>95</v>
      </c>
      <c r="L1116">
        <v>60.61</v>
      </c>
      <c r="M1116">
        <v>3750</v>
      </c>
      <c r="N1116">
        <v>0.65</v>
      </c>
    </row>
    <row r="1117" spans="1:14" x14ac:dyDescent="0.25">
      <c r="A1117" s="1">
        <v>45427</v>
      </c>
      <c r="B1117" t="s">
        <v>28</v>
      </c>
      <c r="C1117" t="s">
        <v>21</v>
      </c>
      <c r="D1117" t="s">
        <v>25</v>
      </c>
      <c r="E1117" t="s">
        <v>26</v>
      </c>
      <c r="F1117">
        <v>143383</v>
      </c>
      <c r="G1117">
        <v>3412</v>
      </c>
      <c r="H1117">
        <v>2.3800000000000002E-2</v>
      </c>
      <c r="I1117">
        <v>1.02</v>
      </c>
      <c r="J1117">
        <v>3480.24</v>
      </c>
      <c r="K1117">
        <v>117</v>
      </c>
      <c r="L1117">
        <v>29.75</v>
      </c>
      <c r="M1117">
        <v>19100.2</v>
      </c>
      <c r="N1117">
        <v>5.49</v>
      </c>
    </row>
    <row r="1118" spans="1:14" x14ac:dyDescent="0.25">
      <c r="A1118" s="1">
        <v>45328</v>
      </c>
      <c r="B1118" t="s">
        <v>28</v>
      </c>
      <c r="C1118" t="s">
        <v>21</v>
      </c>
      <c r="D1118" t="s">
        <v>30</v>
      </c>
      <c r="E1118" t="s">
        <v>17</v>
      </c>
      <c r="F1118">
        <v>92469</v>
      </c>
      <c r="G1118">
        <v>2487</v>
      </c>
      <c r="H1118">
        <v>2.69E-2</v>
      </c>
      <c r="I1118">
        <v>0.6</v>
      </c>
      <c r="J1118">
        <v>1492.2</v>
      </c>
      <c r="K1118">
        <v>48</v>
      </c>
      <c r="L1118">
        <v>31.09</v>
      </c>
      <c r="M1118">
        <v>14164.35</v>
      </c>
      <c r="N1118">
        <v>9.49</v>
      </c>
    </row>
    <row r="1119" spans="1:14" x14ac:dyDescent="0.25">
      <c r="A1119" s="1">
        <v>45605</v>
      </c>
      <c r="B1119" t="s">
        <v>14</v>
      </c>
      <c r="C1119" t="s">
        <v>24</v>
      </c>
      <c r="D1119" t="s">
        <v>25</v>
      </c>
      <c r="E1119" t="s">
        <v>26</v>
      </c>
      <c r="F1119">
        <v>30852</v>
      </c>
      <c r="G1119">
        <v>684</v>
      </c>
      <c r="H1119">
        <v>2.2200000000000001E-2</v>
      </c>
      <c r="I1119">
        <v>1.59</v>
      </c>
      <c r="J1119">
        <v>1087.56</v>
      </c>
      <c r="K1119">
        <v>11</v>
      </c>
      <c r="L1119">
        <v>98.87</v>
      </c>
      <c r="M1119">
        <v>2813.84</v>
      </c>
      <c r="N1119">
        <v>2.59</v>
      </c>
    </row>
    <row r="1120" spans="1:14" x14ac:dyDescent="0.25">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row>
    <row r="1121" spans="1:14" x14ac:dyDescent="0.25">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row>
    <row r="1122" spans="1:14" x14ac:dyDescent="0.25">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row>
    <row r="1123" spans="1:14" x14ac:dyDescent="0.25">
      <c r="A1123" s="1">
        <v>45589</v>
      </c>
      <c r="B1123" t="s">
        <v>18</v>
      </c>
      <c r="C1123" t="s">
        <v>15</v>
      </c>
      <c r="D1123" t="s">
        <v>25</v>
      </c>
      <c r="E1123" t="s">
        <v>17</v>
      </c>
      <c r="F1123">
        <v>34076</v>
      </c>
      <c r="G1123">
        <v>1363</v>
      </c>
      <c r="H1123">
        <v>0.04</v>
      </c>
      <c r="I1123">
        <v>1.1399999999999999</v>
      </c>
      <c r="J1123">
        <v>1553.82</v>
      </c>
      <c r="K1123">
        <v>16</v>
      </c>
      <c r="L1123">
        <v>97.11</v>
      </c>
      <c r="M1123">
        <v>2219.67</v>
      </c>
      <c r="N1123">
        <v>1.43</v>
      </c>
    </row>
    <row r="1124" spans="1:14" x14ac:dyDescent="0.25">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row>
    <row r="1125" spans="1:14" x14ac:dyDescent="0.25">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row>
    <row r="1126" spans="1:14" x14ac:dyDescent="0.25">
      <c r="A1126" s="1">
        <v>45357</v>
      </c>
      <c r="B1126" t="s">
        <v>28</v>
      </c>
      <c r="C1126" t="s">
        <v>15</v>
      </c>
      <c r="D1126" t="s">
        <v>22</v>
      </c>
      <c r="E1126" t="s">
        <v>32</v>
      </c>
      <c r="F1126">
        <v>132390</v>
      </c>
      <c r="G1126">
        <v>2780</v>
      </c>
      <c r="H1126">
        <v>2.1000000000000001E-2</v>
      </c>
      <c r="I1126">
        <v>1.01</v>
      </c>
      <c r="J1126">
        <v>2807.8</v>
      </c>
      <c r="K1126">
        <v>133</v>
      </c>
      <c r="L1126">
        <v>21.11</v>
      </c>
      <c r="M1126">
        <v>39444.5</v>
      </c>
      <c r="N1126">
        <v>14.05</v>
      </c>
    </row>
    <row r="1127" spans="1:14" x14ac:dyDescent="0.25">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row>
    <row r="1128" spans="1:14" x14ac:dyDescent="0.25">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row>
    <row r="1129" spans="1:14" x14ac:dyDescent="0.25">
      <c r="A1129" s="1">
        <v>45583</v>
      </c>
      <c r="B1129" t="s">
        <v>28</v>
      </c>
      <c r="C1129" t="s">
        <v>21</v>
      </c>
      <c r="D1129" t="s">
        <v>19</v>
      </c>
      <c r="E1129" t="s">
        <v>32</v>
      </c>
      <c r="F1129">
        <v>66265</v>
      </c>
      <c r="G1129">
        <v>1881</v>
      </c>
      <c r="H1129">
        <v>2.8400000000000002E-2</v>
      </c>
      <c r="I1129">
        <v>2.04</v>
      </c>
      <c r="J1129">
        <v>3837.24</v>
      </c>
      <c r="K1129">
        <v>76</v>
      </c>
      <c r="L1129">
        <v>50.49</v>
      </c>
      <c r="M1129">
        <v>2782.02</v>
      </c>
      <c r="N1129">
        <v>0.73</v>
      </c>
    </row>
    <row r="1130" spans="1:14" x14ac:dyDescent="0.25">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row>
    <row r="1131" spans="1:14" x14ac:dyDescent="0.25">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row>
    <row r="1132" spans="1:14" x14ac:dyDescent="0.25">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row>
    <row r="1133" spans="1:14" x14ac:dyDescent="0.25">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row>
    <row r="1134" spans="1:14" x14ac:dyDescent="0.25">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row>
    <row r="1135" spans="1:14" x14ac:dyDescent="0.25">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row>
    <row r="1136" spans="1:14" x14ac:dyDescent="0.25">
      <c r="A1136" s="1">
        <v>45453</v>
      </c>
      <c r="B1136" t="s">
        <v>18</v>
      </c>
      <c r="C1136" t="s">
        <v>15</v>
      </c>
      <c r="D1136" t="s">
        <v>16</v>
      </c>
      <c r="E1136" t="s">
        <v>31</v>
      </c>
      <c r="F1136">
        <v>12784</v>
      </c>
      <c r="G1136">
        <v>1055</v>
      </c>
      <c r="H1136">
        <v>8.2600000000000007E-2</v>
      </c>
      <c r="I1136">
        <v>0.38</v>
      </c>
      <c r="J1136">
        <v>400.9</v>
      </c>
      <c r="K1136">
        <v>67</v>
      </c>
      <c r="L1136">
        <v>5.98</v>
      </c>
      <c r="M1136">
        <v>12031.35</v>
      </c>
      <c r="N1136">
        <v>30.01</v>
      </c>
    </row>
    <row r="1137" spans="1:14" x14ac:dyDescent="0.25">
      <c r="A1137" s="1">
        <v>45637</v>
      </c>
      <c r="B1137" t="s">
        <v>28</v>
      </c>
      <c r="C1137" t="s">
        <v>21</v>
      </c>
      <c r="D1137" t="s">
        <v>19</v>
      </c>
      <c r="E1137" t="s">
        <v>32</v>
      </c>
      <c r="F1137">
        <v>117169</v>
      </c>
      <c r="G1137">
        <v>3304</v>
      </c>
      <c r="H1137">
        <v>2.8199999999999999E-2</v>
      </c>
      <c r="I1137">
        <v>1.27</v>
      </c>
      <c r="J1137">
        <v>4196.08</v>
      </c>
      <c r="K1137">
        <v>83</v>
      </c>
      <c r="L1137">
        <v>50.56</v>
      </c>
      <c r="M1137">
        <v>20949.79</v>
      </c>
      <c r="N1137">
        <v>4.99</v>
      </c>
    </row>
    <row r="1138" spans="1:14" x14ac:dyDescent="0.25">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row>
    <row r="1139" spans="1:14" x14ac:dyDescent="0.25">
      <c r="A1139" s="1">
        <v>45638</v>
      </c>
      <c r="B1139" t="s">
        <v>14</v>
      </c>
      <c r="C1139" t="s">
        <v>15</v>
      </c>
      <c r="D1139" t="s">
        <v>30</v>
      </c>
      <c r="E1139" t="s">
        <v>31</v>
      </c>
      <c r="F1139">
        <v>38512</v>
      </c>
      <c r="G1139">
        <v>1840</v>
      </c>
      <c r="H1139">
        <v>4.7800000000000002E-2</v>
      </c>
      <c r="I1139">
        <v>1.34</v>
      </c>
      <c r="J1139">
        <v>2465.6</v>
      </c>
      <c r="K1139">
        <v>53</v>
      </c>
      <c r="L1139">
        <v>46.52</v>
      </c>
      <c r="M1139">
        <v>3324.76</v>
      </c>
      <c r="N1139">
        <v>1.35</v>
      </c>
    </row>
    <row r="1140" spans="1:14" x14ac:dyDescent="0.25">
      <c r="A1140" s="1">
        <v>45333</v>
      </c>
      <c r="B1140" t="s">
        <v>28</v>
      </c>
      <c r="C1140" t="s">
        <v>21</v>
      </c>
      <c r="D1140" t="s">
        <v>25</v>
      </c>
      <c r="E1140" t="s">
        <v>17</v>
      </c>
      <c r="F1140">
        <v>92986</v>
      </c>
      <c r="G1140">
        <v>2082</v>
      </c>
      <c r="H1140">
        <v>2.24E-2</v>
      </c>
      <c r="I1140">
        <v>1.73</v>
      </c>
      <c r="J1140">
        <v>3601.86</v>
      </c>
      <c r="K1140">
        <v>108</v>
      </c>
      <c r="L1140">
        <v>33.35</v>
      </c>
      <c r="M1140">
        <v>6838.55</v>
      </c>
      <c r="N1140">
        <v>1.9</v>
      </c>
    </row>
    <row r="1141" spans="1:14" x14ac:dyDescent="0.25">
      <c r="A1141" s="1">
        <v>45411</v>
      </c>
      <c r="B1141" t="s">
        <v>28</v>
      </c>
      <c r="C1141" t="s">
        <v>15</v>
      </c>
      <c r="D1141" t="s">
        <v>22</v>
      </c>
      <c r="E1141" t="s">
        <v>17</v>
      </c>
      <c r="F1141">
        <v>80589</v>
      </c>
      <c r="G1141">
        <v>1160</v>
      </c>
      <c r="H1141">
        <v>1.44E-2</v>
      </c>
      <c r="I1141">
        <v>0.95</v>
      </c>
      <c r="J1141">
        <v>1102</v>
      </c>
      <c r="K1141">
        <v>75</v>
      </c>
      <c r="L1141">
        <v>14.69</v>
      </c>
      <c r="M1141">
        <v>21781.43</v>
      </c>
      <c r="N1141">
        <v>19.77</v>
      </c>
    </row>
    <row r="1142" spans="1:14" x14ac:dyDescent="0.25">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row>
    <row r="1143" spans="1:14" x14ac:dyDescent="0.25">
      <c r="A1143" s="1">
        <v>45544</v>
      </c>
      <c r="B1143" t="s">
        <v>14</v>
      </c>
      <c r="C1143" t="s">
        <v>21</v>
      </c>
      <c r="D1143" t="s">
        <v>30</v>
      </c>
      <c r="E1143" t="s">
        <v>27</v>
      </c>
      <c r="F1143">
        <v>103348</v>
      </c>
      <c r="G1143">
        <v>1891</v>
      </c>
      <c r="H1143">
        <v>1.83E-2</v>
      </c>
      <c r="I1143">
        <v>1.54</v>
      </c>
      <c r="J1143">
        <v>2912.14</v>
      </c>
      <c r="K1143">
        <v>30</v>
      </c>
      <c r="L1143">
        <v>97.07</v>
      </c>
      <c r="M1143">
        <v>1064.02</v>
      </c>
      <c r="N1143">
        <v>0.37</v>
      </c>
    </row>
    <row r="1144" spans="1:14" x14ac:dyDescent="0.25">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row>
    <row r="1145" spans="1:14" x14ac:dyDescent="0.25">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row>
    <row r="1146" spans="1:14" x14ac:dyDescent="0.25">
      <c r="A1146" s="1">
        <v>45402</v>
      </c>
      <c r="B1146" t="s">
        <v>28</v>
      </c>
      <c r="C1146" t="s">
        <v>29</v>
      </c>
      <c r="D1146" t="s">
        <v>25</v>
      </c>
      <c r="E1146" t="s">
        <v>20</v>
      </c>
      <c r="F1146">
        <v>13100</v>
      </c>
      <c r="G1146">
        <v>186</v>
      </c>
      <c r="H1146">
        <v>1.4200000000000001E-2</v>
      </c>
      <c r="I1146">
        <v>1.5</v>
      </c>
      <c r="J1146">
        <v>279</v>
      </c>
      <c r="K1146">
        <v>10</v>
      </c>
      <c r="L1146">
        <v>27.9</v>
      </c>
      <c r="M1146">
        <v>1347.41</v>
      </c>
      <c r="N1146">
        <v>4.83</v>
      </c>
    </row>
    <row r="1147" spans="1:14" x14ac:dyDescent="0.25">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row>
    <row r="1148" spans="1:14" x14ac:dyDescent="0.25">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row>
    <row r="1149" spans="1:14" x14ac:dyDescent="0.25">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row>
    <row r="1150" spans="1:14" x14ac:dyDescent="0.25">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row>
    <row r="1151" spans="1:14" x14ac:dyDescent="0.25">
      <c r="A1151" s="1">
        <v>45321</v>
      </c>
      <c r="B1151" t="s">
        <v>14</v>
      </c>
      <c r="C1151" t="s">
        <v>29</v>
      </c>
      <c r="D1151" t="s">
        <v>19</v>
      </c>
      <c r="E1151" t="s">
        <v>23</v>
      </c>
      <c r="F1151">
        <v>44435</v>
      </c>
      <c r="G1151">
        <v>1453</v>
      </c>
      <c r="H1151">
        <v>3.27E-2</v>
      </c>
      <c r="I1151">
        <v>2.68</v>
      </c>
      <c r="J1151">
        <v>3894.04</v>
      </c>
      <c r="K1151">
        <v>48</v>
      </c>
      <c r="L1151">
        <v>81.13</v>
      </c>
      <c r="M1151">
        <v>6345.04</v>
      </c>
      <c r="N1151">
        <v>1.63</v>
      </c>
    </row>
    <row r="1152" spans="1:14" x14ac:dyDescent="0.25">
      <c r="A1152" s="1">
        <v>45386</v>
      </c>
      <c r="B1152" t="s">
        <v>18</v>
      </c>
      <c r="C1152" t="s">
        <v>15</v>
      </c>
      <c r="D1152" t="s">
        <v>25</v>
      </c>
      <c r="E1152" t="s">
        <v>17</v>
      </c>
      <c r="F1152">
        <v>57448</v>
      </c>
      <c r="G1152">
        <v>2338</v>
      </c>
      <c r="H1152">
        <v>4.07E-2</v>
      </c>
      <c r="I1152">
        <v>0.5</v>
      </c>
      <c r="J1152">
        <v>1169</v>
      </c>
      <c r="K1152">
        <v>143</v>
      </c>
      <c r="L1152">
        <v>8.17</v>
      </c>
      <c r="M1152">
        <v>25654.560000000001</v>
      </c>
      <c r="N1152">
        <v>21.95</v>
      </c>
    </row>
    <row r="1153" spans="1:14" x14ac:dyDescent="0.25">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row>
    <row r="1154" spans="1:14" x14ac:dyDescent="0.25">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row>
    <row r="1155" spans="1:14" x14ac:dyDescent="0.25">
      <c r="A1155" s="1">
        <v>45318</v>
      </c>
      <c r="B1155" t="s">
        <v>28</v>
      </c>
      <c r="C1155" t="s">
        <v>15</v>
      </c>
      <c r="D1155" t="s">
        <v>30</v>
      </c>
      <c r="E1155" t="s">
        <v>32</v>
      </c>
      <c r="F1155">
        <v>30123</v>
      </c>
      <c r="G1155">
        <v>554</v>
      </c>
      <c r="H1155">
        <v>1.84E-2</v>
      </c>
      <c r="I1155">
        <v>1.78</v>
      </c>
      <c r="J1155">
        <v>986.12</v>
      </c>
      <c r="K1155">
        <v>15</v>
      </c>
      <c r="L1155">
        <v>65.739999999999995</v>
      </c>
      <c r="M1155">
        <v>2874.83</v>
      </c>
      <c r="N1155">
        <v>2.92</v>
      </c>
    </row>
    <row r="1156" spans="1:14" x14ac:dyDescent="0.25">
      <c r="A1156" s="1">
        <v>45296</v>
      </c>
      <c r="B1156" t="s">
        <v>28</v>
      </c>
      <c r="C1156" t="s">
        <v>24</v>
      </c>
      <c r="D1156" t="s">
        <v>30</v>
      </c>
      <c r="E1156" t="s">
        <v>23</v>
      </c>
      <c r="F1156">
        <v>139257</v>
      </c>
      <c r="G1156">
        <v>2631</v>
      </c>
      <c r="H1156">
        <v>1.89E-2</v>
      </c>
      <c r="I1156">
        <v>1.61</v>
      </c>
      <c r="J1156">
        <v>4235.91</v>
      </c>
      <c r="K1156">
        <v>99</v>
      </c>
      <c r="L1156">
        <v>42.79</v>
      </c>
      <c r="M1156">
        <v>9781.2800000000007</v>
      </c>
      <c r="N1156">
        <v>2.31</v>
      </c>
    </row>
    <row r="1157" spans="1:14" x14ac:dyDescent="0.25">
      <c r="A1157" s="1">
        <v>45479</v>
      </c>
      <c r="B1157" t="s">
        <v>14</v>
      </c>
      <c r="C1157" t="s">
        <v>15</v>
      </c>
      <c r="D1157" t="s">
        <v>22</v>
      </c>
      <c r="E1157" t="s">
        <v>26</v>
      </c>
      <c r="F1157">
        <v>103053</v>
      </c>
      <c r="G1157">
        <v>2607</v>
      </c>
      <c r="H1157">
        <v>2.53E-2</v>
      </c>
      <c r="I1157">
        <v>2.19</v>
      </c>
      <c r="J1157">
        <v>5709.33</v>
      </c>
      <c r="K1157">
        <v>194</v>
      </c>
      <c r="L1157">
        <v>29.43</v>
      </c>
      <c r="M1157">
        <v>39533.49</v>
      </c>
      <c r="N1157">
        <v>6.92</v>
      </c>
    </row>
    <row r="1158" spans="1:14" x14ac:dyDescent="0.25">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row>
    <row r="1159" spans="1:14" x14ac:dyDescent="0.25">
      <c r="A1159" s="1">
        <v>45477</v>
      </c>
      <c r="B1159" t="s">
        <v>28</v>
      </c>
      <c r="C1159" t="s">
        <v>29</v>
      </c>
      <c r="D1159" t="s">
        <v>25</v>
      </c>
      <c r="E1159" t="s">
        <v>31</v>
      </c>
      <c r="F1159">
        <v>88698</v>
      </c>
      <c r="G1159">
        <v>1073</v>
      </c>
      <c r="H1159">
        <v>1.21E-2</v>
      </c>
      <c r="I1159">
        <v>0.92</v>
      </c>
      <c r="J1159">
        <v>987.16</v>
      </c>
      <c r="K1159">
        <v>43</v>
      </c>
      <c r="L1159">
        <v>22.96</v>
      </c>
      <c r="M1159">
        <v>5727.99</v>
      </c>
      <c r="N1159">
        <v>5.8</v>
      </c>
    </row>
    <row r="1160" spans="1:14" x14ac:dyDescent="0.25">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row>
    <row r="1161" spans="1:14" x14ac:dyDescent="0.25">
      <c r="A1161" s="1">
        <v>45311</v>
      </c>
      <c r="B1161" t="s">
        <v>18</v>
      </c>
      <c r="C1161" t="s">
        <v>29</v>
      </c>
      <c r="D1161" t="s">
        <v>16</v>
      </c>
      <c r="E1161" t="s">
        <v>31</v>
      </c>
      <c r="F1161">
        <v>29180</v>
      </c>
      <c r="G1161">
        <v>1464</v>
      </c>
      <c r="H1161">
        <v>5.0200000000000002E-2</v>
      </c>
      <c r="I1161">
        <v>0.53</v>
      </c>
      <c r="J1161">
        <v>775.92</v>
      </c>
      <c r="K1161">
        <v>59</v>
      </c>
      <c r="L1161">
        <v>13.15</v>
      </c>
      <c r="M1161">
        <v>11729.57</v>
      </c>
      <c r="N1161">
        <v>15.12</v>
      </c>
    </row>
    <row r="1162" spans="1:14" x14ac:dyDescent="0.25">
      <c r="A1162" s="1">
        <v>45304</v>
      </c>
      <c r="B1162" t="s">
        <v>28</v>
      </c>
      <c r="C1162" t="s">
        <v>21</v>
      </c>
      <c r="D1162" t="s">
        <v>30</v>
      </c>
      <c r="E1162" t="s">
        <v>20</v>
      </c>
      <c r="F1162">
        <v>138686</v>
      </c>
      <c r="G1162">
        <v>2621</v>
      </c>
      <c r="H1162">
        <v>1.89E-2</v>
      </c>
      <c r="I1162">
        <v>1.52</v>
      </c>
      <c r="J1162">
        <v>3983.92</v>
      </c>
      <c r="K1162">
        <v>195</v>
      </c>
      <c r="L1162">
        <v>20.43</v>
      </c>
      <c r="M1162">
        <v>52398.49</v>
      </c>
      <c r="N1162">
        <v>13.15</v>
      </c>
    </row>
    <row r="1163" spans="1:14" x14ac:dyDescent="0.25">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row>
    <row r="1164" spans="1:14" x14ac:dyDescent="0.25">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row>
    <row r="1165" spans="1:14" x14ac:dyDescent="0.25">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row>
    <row r="1166" spans="1:14" x14ac:dyDescent="0.25">
      <c r="A1166" s="1">
        <v>45430</v>
      </c>
      <c r="B1166" t="s">
        <v>28</v>
      </c>
      <c r="C1166" t="s">
        <v>21</v>
      </c>
      <c r="D1166" t="s">
        <v>30</v>
      </c>
      <c r="E1166" t="s">
        <v>20</v>
      </c>
      <c r="F1166">
        <v>25077</v>
      </c>
      <c r="G1166">
        <v>341</v>
      </c>
      <c r="H1166">
        <v>1.3599999999999999E-2</v>
      </c>
      <c r="I1166">
        <v>0.42</v>
      </c>
      <c r="J1166">
        <v>143.22</v>
      </c>
      <c r="K1166">
        <v>5</v>
      </c>
      <c r="L1166">
        <v>28.64</v>
      </c>
      <c r="M1166">
        <v>779.52</v>
      </c>
      <c r="N1166">
        <v>5.44</v>
      </c>
    </row>
    <row r="1167" spans="1:14" x14ac:dyDescent="0.25">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row>
    <row r="1168" spans="1:14" x14ac:dyDescent="0.25">
      <c r="A1168" s="1">
        <v>45371</v>
      </c>
      <c r="B1168" t="s">
        <v>28</v>
      </c>
      <c r="C1168" t="s">
        <v>24</v>
      </c>
      <c r="D1168" t="s">
        <v>16</v>
      </c>
      <c r="E1168" t="s">
        <v>27</v>
      </c>
      <c r="F1168">
        <v>14705</v>
      </c>
      <c r="G1168">
        <v>363</v>
      </c>
      <c r="H1168">
        <v>2.47E-2</v>
      </c>
      <c r="I1168">
        <v>0.94</v>
      </c>
      <c r="J1168">
        <v>341.22</v>
      </c>
      <c r="K1168">
        <v>4</v>
      </c>
      <c r="L1168">
        <v>85.31</v>
      </c>
      <c r="M1168">
        <v>738.37</v>
      </c>
      <c r="N1168">
        <v>2.16</v>
      </c>
    </row>
    <row r="1169" spans="1:14" x14ac:dyDescent="0.25">
      <c r="A1169" s="1">
        <v>45445</v>
      </c>
      <c r="B1169" t="s">
        <v>14</v>
      </c>
      <c r="C1169" t="s">
        <v>15</v>
      </c>
      <c r="D1169" t="s">
        <v>19</v>
      </c>
      <c r="E1169" t="s">
        <v>23</v>
      </c>
      <c r="F1169">
        <v>16955</v>
      </c>
      <c r="G1169">
        <v>440</v>
      </c>
      <c r="H1169">
        <v>2.5999999999999999E-2</v>
      </c>
      <c r="I1169">
        <v>1.82</v>
      </c>
      <c r="J1169">
        <v>800.8</v>
      </c>
      <c r="K1169">
        <v>30</v>
      </c>
      <c r="L1169">
        <v>26.69</v>
      </c>
      <c r="M1169">
        <v>3274.44</v>
      </c>
      <c r="N1169">
        <v>4.09</v>
      </c>
    </row>
    <row r="1170" spans="1:14" x14ac:dyDescent="0.25">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row>
    <row r="1171" spans="1:14" x14ac:dyDescent="0.25">
      <c r="A1171" s="1">
        <v>45335</v>
      </c>
      <c r="B1171" t="s">
        <v>28</v>
      </c>
      <c r="C1171" t="s">
        <v>21</v>
      </c>
      <c r="D1171" t="s">
        <v>30</v>
      </c>
      <c r="E1171" t="s">
        <v>31</v>
      </c>
      <c r="F1171">
        <v>57299</v>
      </c>
      <c r="G1171">
        <v>1186</v>
      </c>
      <c r="H1171">
        <v>2.07E-2</v>
      </c>
      <c r="I1171">
        <v>1.35</v>
      </c>
      <c r="J1171">
        <v>1601.1</v>
      </c>
      <c r="K1171">
        <v>25</v>
      </c>
      <c r="L1171">
        <v>64.040000000000006</v>
      </c>
      <c r="M1171">
        <v>5383.27</v>
      </c>
      <c r="N1171">
        <v>3.36</v>
      </c>
    </row>
    <row r="1172" spans="1:14" x14ac:dyDescent="0.25">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row>
    <row r="1173" spans="1:14" x14ac:dyDescent="0.25">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row>
    <row r="1174" spans="1:14" x14ac:dyDescent="0.25">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row>
    <row r="1175" spans="1:14" x14ac:dyDescent="0.25">
      <c r="A1175" s="1">
        <v>45316</v>
      </c>
      <c r="B1175" t="s">
        <v>28</v>
      </c>
      <c r="C1175" t="s">
        <v>15</v>
      </c>
      <c r="D1175" t="s">
        <v>22</v>
      </c>
      <c r="E1175" t="s">
        <v>31</v>
      </c>
      <c r="F1175">
        <v>27499</v>
      </c>
      <c r="G1175">
        <v>728</v>
      </c>
      <c r="H1175">
        <v>2.6499999999999999E-2</v>
      </c>
      <c r="I1175">
        <v>1.07</v>
      </c>
      <c r="J1175">
        <v>778.96</v>
      </c>
      <c r="K1175">
        <v>17</v>
      </c>
      <c r="L1175">
        <v>45.82</v>
      </c>
      <c r="M1175">
        <v>3860.75</v>
      </c>
      <c r="N1175">
        <v>4.96</v>
      </c>
    </row>
    <row r="1176" spans="1:14" x14ac:dyDescent="0.25">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row>
    <row r="1177" spans="1:14" x14ac:dyDescent="0.25">
      <c r="A1177" s="1">
        <v>45389</v>
      </c>
      <c r="B1177" t="s">
        <v>18</v>
      </c>
      <c r="C1177" t="s">
        <v>29</v>
      </c>
      <c r="D1177" t="s">
        <v>30</v>
      </c>
      <c r="E1177" t="s">
        <v>26</v>
      </c>
      <c r="F1177">
        <v>41232</v>
      </c>
      <c r="G1177">
        <v>1859</v>
      </c>
      <c r="H1177">
        <v>4.5100000000000001E-2</v>
      </c>
      <c r="I1177">
        <v>1.06</v>
      </c>
      <c r="J1177">
        <v>1970.54</v>
      </c>
      <c r="K1177">
        <v>126</v>
      </c>
      <c r="L1177">
        <v>15.64</v>
      </c>
      <c r="M1177">
        <v>22069.99</v>
      </c>
      <c r="N1177">
        <v>11.2</v>
      </c>
    </row>
    <row r="1178" spans="1:14" x14ac:dyDescent="0.25">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row>
    <row r="1179" spans="1:14" x14ac:dyDescent="0.25">
      <c r="A1179" s="1">
        <v>45400</v>
      </c>
      <c r="B1179" t="s">
        <v>28</v>
      </c>
      <c r="C1179" t="s">
        <v>15</v>
      </c>
      <c r="D1179" t="s">
        <v>25</v>
      </c>
      <c r="E1179" t="s">
        <v>32</v>
      </c>
      <c r="F1179">
        <v>33082</v>
      </c>
      <c r="G1179">
        <v>340</v>
      </c>
      <c r="H1179">
        <v>1.03E-2</v>
      </c>
      <c r="I1179">
        <v>1.86</v>
      </c>
      <c r="J1179">
        <v>632.4</v>
      </c>
      <c r="K1179">
        <v>9</v>
      </c>
      <c r="L1179">
        <v>70.27</v>
      </c>
      <c r="M1179">
        <v>2116.06</v>
      </c>
      <c r="N1179">
        <v>3.35</v>
      </c>
    </row>
    <row r="1180" spans="1:14" x14ac:dyDescent="0.25">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row>
    <row r="1181" spans="1:14" x14ac:dyDescent="0.25">
      <c r="A1181" s="1">
        <v>45454</v>
      </c>
      <c r="B1181" t="s">
        <v>28</v>
      </c>
      <c r="C1181" t="s">
        <v>24</v>
      </c>
      <c r="D1181" t="s">
        <v>22</v>
      </c>
      <c r="E1181" t="s">
        <v>23</v>
      </c>
      <c r="F1181">
        <v>16344</v>
      </c>
      <c r="G1181">
        <v>534</v>
      </c>
      <c r="H1181">
        <v>3.27E-2</v>
      </c>
      <c r="I1181">
        <v>0.9</v>
      </c>
      <c r="J1181">
        <v>480.6</v>
      </c>
      <c r="K1181">
        <v>11</v>
      </c>
      <c r="L1181">
        <v>43.69</v>
      </c>
      <c r="M1181">
        <v>465.35</v>
      </c>
      <c r="N1181">
        <v>0.97</v>
      </c>
    </row>
    <row r="1182" spans="1:14" x14ac:dyDescent="0.25">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row>
    <row r="1183" spans="1:14" x14ac:dyDescent="0.25">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row>
    <row r="1184" spans="1:14" x14ac:dyDescent="0.25">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row>
    <row r="1185" spans="1:14" x14ac:dyDescent="0.25">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row>
    <row r="1186" spans="1:14" x14ac:dyDescent="0.25">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row>
    <row r="1187" spans="1:14" x14ac:dyDescent="0.25">
      <c r="A1187" s="1">
        <v>45498</v>
      </c>
      <c r="B1187" t="s">
        <v>28</v>
      </c>
      <c r="C1187" t="s">
        <v>21</v>
      </c>
      <c r="D1187" t="s">
        <v>19</v>
      </c>
      <c r="E1187" t="s">
        <v>32</v>
      </c>
      <c r="F1187">
        <v>62194</v>
      </c>
      <c r="G1187">
        <v>2039</v>
      </c>
      <c r="H1187">
        <v>3.2800000000000003E-2</v>
      </c>
      <c r="I1187">
        <v>1.84</v>
      </c>
      <c r="J1187">
        <v>3751.76</v>
      </c>
      <c r="K1187">
        <v>129</v>
      </c>
      <c r="L1187">
        <v>29.08</v>
      </c>
      <c r="M1187">
        <v>23854.38</v>
      </c>
      <c r="N1187">
        <v>6.36</v>
      </c>
    </row>
    <row r="1188" spans="1:14" x14ac:dyDescent="0.25">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row>
    <row r="1189" spans="1:14" x14ac:dyDescent="0.25">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row>
    <row r="1190" spans="1:14" x14ac:dyDescent="0.25">
      <c r="A1190" s="1">
        <v>45373</v>
      </c>
      <c r="B1190" t="s">
        <v>18</v>
      </c>
      <c r="C1190" t="s">
        <v>21</v>
      </c>
      <c r="D1190" t="s">
        <v>25</v>
      </c>
      <c r="E1190" t="s">
        <v>27</v>
      </c>
      <c r="F1190">
        <v>49390</v>
      </c>
      <c r="G1190">
        <v>3368</v>
      </c>
      <c r="H1190">
        <v>6.8199999999999997E-2</v>
      </c>
      <c r="I1190">
        <v>1.65</v>
      </c>
      <c r="J1190">
        <v>5557.2</v>
      </c>
      <c r="K1190">
        <v>195</v>
      </c>
      <c r="L1190">
        <v>28.5</v>
      </c>
      <c r="M1190">
        <v>57395.9</v>
      </c>
      <c r="N1190">
        <v>10.33</v>
      </c>
    </row>
    <row r="1191" spans="1:14" x14ac:dyDescent="0.25">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row>
    <row r="1192" spans="1:14" x14ac:dyDescent="0.25">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row>
    <row r="1193" spans="1:14" x14ac:dyDescent="0.25">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row>
    <row r="1194" spans="1:14" x14ac:dyDescent="0.25">
      <c r="A1194" s="1">
        <v>45350</v>
      </c>
      <c r="B1194" t="s">
        <v>18</v>
      </c>
      <c r="C1194" t="s">
        <v>24</v>
      </c>
      <c r="D1194" t="s">
        <v>25</v>
      </c>
      <c r="E1194" t="s">
        <v>17</v>
      </c>
      <c r="F1194">
        <v>50819</v>
      </c>
      <c r="G1194">
        <v>3206</v>
      </c>
      <c r="H1194">
        <v>6.3100000000000003E-2</v>
      </c>
      <c r="I1194">
        <v>0.95</v>
      </c>
      <c r="J1194">
        <v>3045.7</v>
      </c>
      <c r="K1194">
        <v>222</v>
      </c>
      <c r="L1194">
        <v>13.72</v>
      </c>
      <c r="M1194">
        <v>24319.42</v>
      </c>
      <c r="N1194">
        <v>7.98</v>
      </c>
    </row>
    <row r="1195" spans="1:14" x14ac:dyDescent="0.25">
      <c r="A1195" s="1">
        <v>45532</v>
      </c>
      <c r="B1195" t="s">
        <v>14</v>
      </c>
      <c r="C1195" t="s">
        <v>29</v>
      </c>
      <c r="D1195" t="s">
        <v>22</v>
      </c>
      <c r="E1195" t="s">
        <v>20</v>
      </c>
      <c r="F1195">
        <v>15796</v>
      </c>
      <c r="G1195">
        <v>301</v>
      </c>
      <c r="H1195">
        <v>1.9099999999999999E-2</v>
      </c>
      <c r="I1195">
        <v>1.91</v>
      </c>
      <c r="J1195">
        <v>574.91</v>
      </c>
      <c r="K1195">
        <v>17</v>
      </c>
      <c r="L1195">
        <v>33.82</v>
      </c>
      <c r="M1195">
        <v>1137.71</v>
      </c>
      <c r="N1195">
        <v>1.98</v>
      </c>
    </row>
    <row r="1196" spans="1:14" x14ac:dyDescent="0.25">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row>
    <row r="1197" spans="1:14" x14ac:dyDescent="0.25">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row>
    <row r="1198" spans="1:14" x14ac:dyDescent="0.25">
      <c r="A1198" s="1">
        <v>45368</v>
      </c>
      <c r="B1198" t="s">
        <v>28</v>
      </c>
      <c r="C1198" t="s">
        <v>24</v>
      </c>
      <c r="D1198" t="s">
        <v>30</v>
      </c>
      <c r="E1198" t="s">
        <v>26</v>
      </c>
      <c r="F1198">
        <v>57784</v>
      </c>
      <c r="G1198">
        <v>907</v>
      </c>
      <c r="H1198">
        <v>1.5699999999999999E-2</v>
      </c>
      <c r="I1198">
        <v>1.21</v>
      </c>
      <c r="J1198">
        <v>1097.47</v>
      </c>
      <c r="K1198">
        <v>54</v>
      </c>
      <c r="L1198">
        <v>20.32</v>
      </c>
      <c r="M1198">
        <v>2856.1</v>
      </c>
      <c r="N1198">
        <v>2.6</v>
      </c>
    </row>
    <row r="1199" spans="1:14" x14ac:dyDescent="0.25">
      <c r="A1199" s="1">
        <v>45465</v>
      </c>
      <c r="B1199" t="s">
        <v>28</v>
      </c>
      <c r="C1199" t="s">
        <v>15</v>
      </c>
      <c r="D1199" t="s">
        <v>30</v>
      </c>
      <c r="E1199" t="s">
        <v>31</v>
      </c>
      <c r="F1199">
        <v>81023</v>
      </c>
      <c r="G1199">
        <v>1944</v>
      </c>
      <c r="H1199">
        <v>2.4E-2</v>
      </c>
      <c r="I1199">
        <v>1.31</v>
      </c>
      <c r="J1199">
        <v>2546.64</v>
      </c>
      <c r="K1199">
        <v>146</v>
      </c>
      <c r="L1199">
        <v>17.440000000000001</v>
      </c>
      <c r="M1199">
        <v>32752.99</v>
      </c>
      <c r="N1199">
        <v>12.86</v>
      </c>
    </row>
    <row r="1200" spans="1:14" x14ac:dyDescent="0.25">
      <c r="A1200" s="1">
        <v>45481</v>
      </c>
      <c r="B1200" t="s">
        <v>14</v>
      </c>
      <c r="C1200" t="s">
        <v>24</v>
      </c>
      <c r="D1200" t="s">
        <v>19</v>
      </c>
      <c r="E1200" t="s">
        <v>23</v>
      </c>
      <c r="F1200">
        <v>93623</v>
      </c>
      <c r="G1200">
        <v>6319</v>
      </c>
      <c r="H1200">
        <v>6.7500000000000004E-2</v>
      </c>
      <c r="I1200">
        <v>1.25</v>
      </c>
      <c r="J1200">
        <v>7898.75</v>
      </c>
      <c r="K1200">
        <v>83</v>
      </c>
      <c r="L1200">
        <v>95.17</v>
      </c>
      <c r="M1200">
        <v>20925.73</v>
      </c>
      <c r="N1200">
        <v>2.65</v>
      </c>
    </row>
    <row r="1201" spans="1:14" x14ac:dyDescent="0.25">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row>
    <row r="1202" spans="1:14" x14ac:dyDescent="0.25">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row>
    <row r="1203" spans="1:14" x14ac:dyDescent="0.25">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row>
    <row r="1204" spans="1:14" x14ac:dyDescent="0.25">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row>
    <row r="1205" spans="1:14" x14ac:dyDescent="0.25">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row>
    <row r="1206" spans="1:14" x14ac:dyDescent="0.25">
      <c r="A1206" s="1">
        <v>45649</v>
      </c>
      <c r="B1206" t="s">
        <v>14</v>
      </c>
      <c r="C1206" t="s">
        <v>21</v>
      </c>
      <c r="D1206" t="s">
        <v>30</v>
      </c>
      <c r="E1206" t="s">
        <v>17</v>
      </c>
      <c r="F1206">
        <v>83845</v>
      </c>
      <c r="G1206">
        <v>2599</v>
      </c>
      <c r="H1206">
        <v>3.1E-2</v>
      </c>
      <c r="I1206">
        <v>2.69</v>
      </c>
      <c r="J1206">
        <v>6991.31</v>
      </c>
      <c r="K1206">
        <v>137</v>
      </c>
      <c r="L1206">
        <v>51.03</v>
      </c>
      <c r="M1206">
        <v>29891.75</v>
      </c>
      <c r="N1206">
        <v>4.28</v>
      </c>
    </row>
    <row r="1207" spans="1:14" x14ac:dyDescent="0.25">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row>
    <row r="1208" spans="1:14" x14ac:dyDescent="0.25">
      <c r="A1208" s="1">
        <v>45549</v>
      </c>
      <c r="B1208" t="s">
        <v>14</v>
      </c>
      <c r="C1208" t="s">
        <v>29</v>
      </c>
      <c r="D1208" t="s">
        <v>22</v>
      </c>
      <c r="E1208" t="s">
        <v>17</v>
      </c>
      <c r="F1208">
        <v>63812</v>
      </c>
      <c r="G1208">
        <v>2686</v>
      </c>
      <c r="H1208">
        <v>4.2099999999999999E-2</v>
      </c>
      <c r="I1208">
        <v>2.98</v>
      </c>
      <c r="J1208">
        <v>8004.28</v>
      </c>
      <c r="K1208">
        <v>84</v>
      </c>
      <c r="L1208">
        <v>95.29</v>
      </c>
      <c r="M1208">
        <v>6979.61</v>
      </c>
      <c r="N1208">
        <v>0.87</v>
      </c>
    </row>
    <row r="1209" spans="1:14" x14ac:dyDescent="0.25">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row>
    <row r="1210" spans="1:14" x14ac:dyDescent="0.25">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row>
    <row r="1211" spans="1:14" x14ac:dyDescent="0.25">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row>
    <row r="1212" spans="1:14" x14ac:dyDescent="0.25">
      <c r="A1212" s="1">
        <v>45308</v>
      </c>
      <c r="B1212" t="s">
        <v>28</v>
      </c>
      <c r="C1212" t="s">
        <v>24</v>
      </c>
      <c r="D1212" t="s">
        <v>22</v>
      </c>
      <c r="E1212" t="s">
        <v>27</v>
      </c>
      <c r="F1212">
        <v>185750</v>
      </c>
      <c r="G1212">
        <v>1653</v>
      </c>
      <c r="H1212">
        <v>8.8999999999999999E-3</v>
      </c>
      <c r="I1212">
        <v>1.3</v>
      </c>
      <c r="J1212">
        <v>2148.9</v>
      </c>
      <c r="K1212">
        <v>34</v>
      </c>
      <c r="L1212">
        <v>63.2</v>
      </c>
      <c r="M1212">
        <v>2916.11</v>
      </c>
      <c r="N1212">
        <v>1.36</v>
      </c>
    </row>
    <row r="1213" spans="1:14" x14ac:dyDescent="0.25">
      <c r="A1213" s="1">
        <v>45502</v>
      </c>
      <c r="B1213" t="s">
        <v>28</v>
      </c>
      <c r="C1213" t="s">
        <v>21</v>
      </c>
      <c r="D1213" t="s">
        <v>25</v>
      </c>
      <c r="E1213" t="s">
        <v>31</v>
      </c>
      <c r="F1213">
        <v>24750</v>
      </c>
      <c r="G1213">
        <v>747</v>
      </c>
      <c r="H1213">
        <v>3.0200000000000001E-2</v>
      </c>
      <c r="I1213">
        <v>1.19</v>
      </c>
      <c r="J1213">
        <v>888.93</v>
      </c>
      <c r="K1213">
        <v>48</v>
      </c>
      <c r="L1213">
        <v>18.52</v>
      </c>
      <c r="M1213">
        <v>1738.76</v>
      </c>
      <c r="N1213">
        <v>1.96</v>
      </c>
    </row>
    <row r="1214" spans="1:14" x14ac:dyDescent="0.25">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row>
    <row r="1215" spans="1:14" x14ac:dyDescent="0.25">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row>
    <row r="1216" spans="1:14" x14ac:dyDescent="0.25">
      <c r="A1216" s="1">
        <v>45554</v>
      </c>
      <c r="B1216" t="s">
        <v>28</v>
      </c>
      <c r="C1216" t="s">
        <v>21</v>
      </c>
      <c r="D1216" t="s">
        <v>19</v>
      </c>
      <c r="E1216" t="s">
        <v>27</v>
      </c>
      <c r="F1216">
        <v>32559</v>
      </c>
      <c r="G1216">
        <v>553</v>
      </c>
      <c r="H1216">
        <v>1.7000000000000001E-2</v>
      </c>
      <c r="I1216">
        <v>0.71</v>
      </c>
      <c r="J1216">
        <v>392.63</v>
      </c>
      <c r="K1216">
        <v>6</v>
      </c>
      <c r="L1216">
        <v>65.44</v>
      </c>
      <c r="M1216">
        <v>1500.74</v>
      </c>
      <c r="N1216">
        <v>3.82</v>
      </c>
    </row>
    <row r="1217" spans="1:14" x14ac:dyDescent="0.25">
      <c r="A1217" s="1">
        <v>45500</v>
      </c>
      <c r="B1217" t="s">
        <v>14</v>
      </c>
      <c r="C1217" t="s">
        <v>15</v>
      </c>
      <c r="D1217" t="s">
        <v>25</v>
      </c>
      <c r="E1217" t="s">
        <v>17</v>
      </c>
      <c r="F1217">
        <v>85729</v>
      </c>
      <c r="G1217">
        <v>1757</v>
      </c>
      <c r="H1217">
        <v>2.0500000000000001E-2</v>
      </c>
      <c r="I1217">
        <v>3.02</v>
      </c>
      <c r="J1217">
        <v>5306.14</v>
      </c>
      <c r="K1217">
        <v>90</v>
      </c>
      <c r="L1217">
        <v>58.96</v>
      </c>
      <c r="M1217">
        <v>21584.82</v>
      </c>
      <c r="N1217">
        <v>4.07</v>
      </c>
    </row>
    <row r="1218" spans="1:14" x14ac:dyDescent="0.25">
      <c r="A1218" s="1">
        <v>45634</v>
      </c>
      <c r="B1218" t="s">
        <v>28</v>
      </c>
      <c r="C1218" t="s">
        <v>24</v>
      </c>
      <c r="D1218" t="s">
        <v>30</v>
      </c>
      <c r="E1218" t="s">
        <v>31</v>
      </c>
      <c r="F1218">
        <v>126432</v>
      </c>
      <c r="G1218">
        <v>1567</v>
      </c>
      <c r="H1218">
        <v>1.24E-2</v>
      </c>
      <c r="I1218">
        <v>1.65</v>
      </c>
      <c r="J1218">
        <v>2585.5500000000002</v>
      </c>
      <c r="K1218">
        <v>110</v>
      </c>
      <c r="L1218">
        <v>23.51</v>
      </c>
      <c r="M1218">
        <v>31358.68</v>
      </c>
      <c r="N1218">
        <v>12.13</v>
      </c>
    </row>
    <row r="1219" spans="1:14" x14ac:dyDescent="0.25">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row>
    <row r="1220" spans="1:14" x14ac:dyDescent="0.25">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row>
    <row r="1221" spans="1:14" x14ac:dyDescent="0.25">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row>
    <row r="1222" spans="1:14" x14ac:dyDescent="0.25">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row>
    <row r="1223" spans="1:14" x14ac:dyDescent="0.25">
      <c r="A1223" s="1">
        <v>45655</v>
      </c>
      <c r="B1223" t="s">
        <v>14</v>
      </c>
      <c r="C1223" t="s">
        <v>15</v>
      </c>
      <c r="D1223" t="s">
        <v>16</v>
      </c>
      <c r="E1223" t="s">
        <v>26</v>
      </c>
      <c r="F1223">
        <v>137737</v>
      </c>
      <c r="G1223">
        <v>3925</v>
      </c>
      <c r="H1223">
        <v>2.8500000000000001E-2</v>
      </c>
      <c r="I1223">
        <v>0.9</v>
      </c>
      <c r="J1223">
        <v>3532.5</v>
      </c>
      <c r="K1223">
        <v>78</v>
      </c>
      <c r="L1223">
        <v>45.29</v>
      </c>
      <c r="M1223">
        <v>11545.1</v>
      </c>
      <c r="N1223">
        <v>3.27</v>
      </c>
    </row>
    <row r="1224" spans="1:14" x14ac:dyDescent="0.25">
      <c r="A1224" s="1">
        <v>45417</v>
      </c>
      <c r="B1224" t="s">
        <v>14</v>
      </c>
      <c r="C1224" t="s">
        <v>24</v>
      </c>
      <c r="D1224" t="s">
        <v>19</v>
      </c>
      <c r="E1224" t="s">
        <v>23</v>
      </c>
      <c r="F1224">
        <v>93534</v>
      </c>
      <c r="G1224">
        <v>3544</v>
      </c>
      <c r="H1224">
        <v>3.7900000000000003E-2</v>
      </c>
      <c r="I1224">
        <v>0.95</v>
      </c>
      <c r="J1224">
        <v>3366.8</v>
      </c>
      <c r="K1224">
        <v>187</v>
      </c>
      <c r="L1224">
        <v>18</v>
      </c>
      <c r="M1224">
        <v>32280.5</v>
      </c>
      <c r="N1224">
        <v>9.59</v>
      </c>
    </row>
    <row r="1225" spans="1:14" x14ac:dyDescent="0.25">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row>
    <row r="1226" spans="1:14" x14ac:dyDescent="0.25">
      <c r="A1226" s="1">
        <v>45544</v>
      </c>
      <c r="B1226" t="s">
        <v>14</v>
      </c>
      <c r="C1226" t="s">
        <v>29</v>
      </c>
      <c r="D1226" t="s">
        <v>25</v>
      </c>
      <c r="E1226" t="s">
        <v>23</v>
      </c>
      <c r="F1226">
        <v>82700</v>
      </c>
      <c r="G1226">
        <v>2679</v>
      </c>
      <c r="H1226">
        <v>3.2399999999999998E-2</v>
      </c>
      <c r="I1226">
        <v>0.86</v>
      </c>
      <c r="J1226">
        <v>2303.94</v>
      </c>
      <c r="K1226">
        <v>140</v>
      </c>
      <c r="L1226">
        <v>16.46</v>
      </c>
      <c r="M1226">
        <v>20788.45</v>
      </c>
      <c r="N1226">
        <v>9.02</v>
      </c>
    </row>
    <row r="1227" spans="1:14" x14ac:dyDescent="0.25">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row>
    <row r="1228" spans="1:14" x14ac:dyDescent="0.25">
      <c r="A1228" s="1">
        <v>45632</v>
      </c>
      <c r="B1228" t="s">
        <v>18</v>
      </c>
      <c r="C1228" t="s">
        <v>24</v>
      </c>
      <c r="D1228" t="s">
        <v>25</v>
      </c>
      <c r="E1228" t="s">
        <v>23</v>
      </c>
      <c r="F1228">
        <v>154656</v>
      </c>
      <c r="G1228">
        <v>6557</v>
      </c>
      <c r="H1228">
        <v>4.24E-2</v>
      </c>
      <c r="I1228">
        <v>0.4</v>
      </c>
      <c r="J1228">
        <v>2622.8</v>
      </c>
      <c r="K1228">
        <v>345</v>
      </c>
      <c r="L1228">
        <v>7.6</v>
      </c>
      <c r="M1228">
        <v>49646.11</v>
      </c>
      <c r="N1228">
        <v>18.93</v>
      </c>
    </row>
    <row r="1229" spans="1:14" x14ac:dyDescent="0.25">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row>
    <row r="1230" spans="1:14" x14ac:dyDescent="0.25">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row>
    <row r="1231" spans="1:14" x14ac:dyDescent="0.25">
      <c r="A1231" s="1">
        <v>45449</v>
      </c>
      <c r="B1231" t="s">
        <v>28</v>
      </c>
      <c r="C1231" t="s">
        <v>21</v>
      </c>
      <c r="D1231" t="s">
        <v>16</v>
      </c>
      <c r="E1231" t="s">
        <v>27</v>
      </c>
      <c r="F1231">
        <v>133684</v>
      </c>
      <c r="G1231">
        <v>2018</v>
      </c>
      <c r="H1231">
        <v>1.5100000000000001E-2</v>
      </c>
      <c r="I1231">
        <v>1.72</v>
      </c>
      <c r="J1231">
        <v>3470.96</v>
      </c>
      <c r="K1231">
        <v>44</v>
      </c>
      <c r="L1231">
        <v>78.89</v>
      </c>
      <c r="M1231">
        <v>11449.27</v>
      </c>
      <c r="N1231">
        <v>3.3</v>
      </c>
    </row>
    <row r="1232" spans="1:14" x14ac:dyDescent="0.25">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row>
    <row r="1233" spans="1:14" x14ac:dyDescent="0.25">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row>
    <row r="1234" spans="1:14" x14ac:dyDescent="0.25">
      <c r="A1234" s="1">
        <v>45656</v>
      </c>
      <c r="B1234" t="s">
        <v>18</v>
      </c>
      <c r="C1234" t="s">
        <v>15</v>
      </c>
      <c r="D1234" t="s">
        <v>22</v>
      </c>
      <c r="E1234" t="s">
        <v>26</v>
      </c>
      <c r="F1234">
        <v>8311</v>
      </c>
      <c r="G1234">
        <v>476</v>
      </c>
      <c r="H1234">
        <v>5.7299999999999997E-2</v>
      </c>
      <c r="I1234">
        <v>1.61</v>
      </c>
      <c r="J1234">
        <v>766.36</v>
      </c>
      <c r="K1234">
        <v>18</v>
      </c>
      <c r="L1234">
        <v>42.58</v>
      </c>
      <c r="M1234">
        <v>1064.02</v>
      </c>
      <c r="N1234">
        <v>1.39</v>
      </c>
    </row>
    <row r="1235" spans="1:14" x14ac:dyDescent="0.25">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row>
    <row r="1236" spans="1:14" x14ac:dyDescent="0.25">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row>
    <row r="1237" spans="1:14" x14ac:dyDescent="0.25">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row>
    <row r="1238" spans="1:14" x14ac:dyDescent="0.25">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row>
    <row r="1239" spans="1:14" x14ac:dyDescent="0.25">
      <c r="A1239" s="1">
        <v>45508</v>
      </c>
      <c r="B1239" t="s">
        <v>28</v>
      </c>
      <c r="C1239" t="s">
        <v>15</v>
      </c>
      <c r="D1239" t="s">
        <v>16</v>
      </c>
      <c r="E1239" t="s">
        <v>27</v>
      </c>
      <c r="F1239">
        <v>194287</v>
      </c>
      <c r="G1239">
        <v>5032</v>
      </c>
      <c r="H1239">
        <v>2.5899999999999999E-2</v>
      </c>
      <c r="I1239">
        <v>0.85</v>
      </c>
      <c r="J1239">
        <v>4277.2</v>
      </c>
      <c r="K1239">
        <v>338</v>
      </c>
      <c r="L1239">
        <v>12.65</v>
      </c>
      <c r="M1239">
        <v>32920.35</v>
      </c>
      <c r="N1239">
        <v>7.7</v>
      </c>
    </row>
    <row r="1240" spans="1:14" x14ac:dyDescent="0.25">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row>
    <row r="1241" spans="1:14" x14ac:dyDescent="0.25">
      <c r="A1241" s="1">
        <v>45495</v>
      </c>
      <c r="B1241" t="s">
        <v>28</v>
      </c>
      <c r="C1241" t="s">
        <v>29</v>
      </c>
      <c r="D1241" t="s">
        <v>25</v>
      </c>
      <c r="E1241" t="s">
        <v>20</v>
      </c>
      <c r="F1241">
        <v>9909</v>
      </c>
      <c r="G1241">
        <v>170</v>
      </c>
      <c r="H1241">
        <v>1.72E-2</v>
      </c>
      <c r="I1241">
        <v>1.86</v>
      </c>
      <c r="J1241">
        <v>316.2</v>
      </c>
      <c r="K1241">
        <v>10</v>
      </c>
      <c r="L1241">
        <v>31.62</v>
      </c>
      <c r="M1241">
        <v>1238.47</v>
      </c>
      <c r="N1241">
        <v>3.92</v>
      </c>
    </row>
    <row r="1242" spans="1:14" x14ac:dyDescent="0.25">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row>
    <row r="1243" spans="1:14" x14ac:dyDescent="0.25">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row>
    <row r="1244" spans="1:14" x14ac:dyDescent="0.25">
      <c r="A1244" s="1">
        <v>45366</v>
      </c>
      <c r="B1244" t="s">
        <v>28</v>
      </c>
      <c r="C1244" t="s">
        <v>15</v>
      </c>
      <c r="D1244" t="s">
        <v>16</v>
      </c>
      <c r="E1244" t="s">
        <v>20</v>
      </c>
      <c r="F1244">
        <v>98740</v>
      </c>
      <c r="G1244">
        <v>1589</v>
      </c>
      <c r="H1244">
        <v>1.61E-2</v>
      </c>
      <c r="I1244">
        <v>2.09</v>
      </c>
      <c r="J1244">
        <v>3321.01</v>
      </c>
      <c r="K1244">
        <v>47</v>
      </c>
      <c r="L1244">
        <v>70.66</v>
      </c>
      <c r="M1244">
        <v>5063.3100000000004</v>
      </c>
      <c r="N1244">
        <v>1.52</v>
      </c>
    </row>
    <row r="1245" spans="1:14" x14ac:dyDescent="0.25">
      <c r="A1245" s="1">
        <v>45445</v>
      </c>
      <c r="B1245" t="s">
        <v>18</v>
      </c>
      <c r="C1245" t="s">
        <v>21</v>
      </c>
      <c r="D1245" t="s">
        <v>19</v>
      </c>
      <c r="E1245" t="s">
        <v>31</v>
      </c>
      <c r="F1245">
        <v>26471</v>
      </c>
      <c r="G1245">
        <v>1890</v>
      </c>
      <c r="H1245">
        <v>7.1400000000000005E-2</v>
      </c>
      <c r="I1245">
        <v>0.94</v>
      </c>
      <c r="J1245">
        <v>1776.6</v>
      </c>
      <c r="K1245">
        <v>74</v>
      </c>
      <c r="L1245">
        <v>24.01</v>
      </c>
      <c r="M1245">
        <v>21647.86</v>
      </c>
      <c r="N1245">
        <v>12.18</v>
      </c>
    </row>
    <row r="1246" spans="1:14" x14ac:dyDescent="0.25">
      <c r="A1246" s="1">
        <v>45498</v>
      </c>
      <c r="B1246" t="s">
        <v>28</v>
      </c>
      <c r="C1246" t="s">
        <v>29</v>
      </c>
      <c r="D1246" t="s">
        <v>22</v>
      </c>
      <c r="E1246" t="s">
        <v>23</v>
      </c>
      <c r="F1246">
        <v>174048</v>
      </c>
      <c r="G1246">
        <v>3846</v>
      </c>
      <c r="H1246">
        <v>2.2100000000000002E-2</v>
      </c>
      <c r="I1246">
        <v>1.74</v>
      </c>
      <c r="J1246">
        <v>6692.04</v>
      </c>
      <c r="K1246">
        <v>75</v>
      </c>
      <c r="L1246">
        <v>89.23</v>
      </c>
      <c r="M1246">
        <v>18304.27</v>
      </c>
      <c r="N1246">
        <v>2.74</v>
      </c>
    </row>
    <row r="1247" spans="1:14" x14ac:dyDescent="0.25">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row>
    <row r="1248" spans="1:14" x14ac:dyDescent="0.25">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row>
    <row r="1249" spans="1:14" x14ac:dyDescent="0.25">
      <c r="A1249" s="1">
        <v>45606</v>
      </c>
      <c r="B1249" t="s">
        <v>14</v>
      </c>
      <c r="C1249" t="s">
        <v>15</v>
      </c>
      <c r="D1249" t="s">
        <v>22</v>
      </c>
      <c r="E1249" t="s">
        <v>23</v>
      </c>
      <c r="F1249">
        <v>77968</v>
      </c>
      <c r="G1249">
        <v>3001</v>
      </c>
      <c r="H1249">
        <v>3.85E-2</v>
      </c>
      <c r="I1249">
        <v>2.85</v>
      </c>
      <c r="J1249">
        <v>8552.85</v>
      </c>
      <c r="K1249">
        <v>193</v>
      </c>
      <c r="L1249">
        <v>44.32</v>
      </c>
      <c r="M1249">
        <v>31448.71</v>
      </c>
      <c r="N1249">
        <v>3.68</v>
      </c>
    </row>
    <row r="1250" spans="1:14" x14ac:dyDescent="0.25">
      <c r="A1250" s="1">
        <v>45504</v>
      </c>
      <c r="B1250" t="s">
        <v>18</v>
      </c>
      <c r="C1250" t="s">
        <v>21</v>
      </c>
      <c r="D1250" t="s">
        <v>16</v>
      </c>
      <c r="E1250" t="s">
        <v>17</v>
      </c>
      <c r="F1250">
        <v>10156</v>
      </c>
      <c r="G1250">
        <v>474</v>
      </c>
      <c r="H1250">
        <v>4.6699999999999998E-2</v>
      </c>
      <c r="I1250">
        <v>0.31</v>
      </c>
      <c r="J1250">
        <v>146.94</v>
      </c>
      <c r="K1250">
        <v>29</v>
      </c>
      <c r="L1250">
        <v>5.07</v>
      </c>
      <c r="M1250">
        <v>1480.61</v>
      </c>
      <c r="N1250">
        <v>10.08</v>
      </c>
    </row>
    <row r="1251" spans="1:14" x14ac:dyDescent="0.25">
      <c r="A1251" s="1">
        <v>45374</v>
      </c>
      <c r="B1251" t="s">
        <v>28</v>
      </c>
      <c r="C1251" t="s">
        <v>29</v>
      </c>
      <c r="D1251" t="s">
        <v>16</v>
      </c>
      <c r="E1251" t="s">
        <v>20</v>
      </c>
      <c r="F1251">
        <v>63676</v>
      </c>
      <c r="G1251">
        <v>1757</v>
      </c>
      <c r="H1251">
        <v>2.76E-2</v>
      </c>
      <c r="I1251">
        <v>1.1599999999999999</v>
      </c>
      <c r="J1251">
        <v>2038.12</v>
      </c>
      <c r="K1251">
        <v>137</v>
      </c>
      <c r="L1251">
        <v>14.88</v>
      </c>
      <c r="M1251">
        <v>8830.01</v>
      </c>
      <c r="N1251">
        <v>4.33</v>
      </c>
    </row>
    <row r="1252" spans="1:14" x14ac:dyDescent="0.25">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row>
    <row r="1253" spans="1:14" x14ac:dyDescent="0.25">
      <c r="A1253" s="1">
        <v>45340</v>
      </c>
      <c r="B1253" t="s">
        <v>28</v>
      </c>
      <c r="C1253" t="s">
        <v>29</v>
      </c>
      <c r="D1253" t="s">
        <v>19</v>
      </c>
      <c r="E1253" t="s">
        <v>31</v>
      </c>
      <c r="F1253">
        <v>8671</v>
      </c>
      <c r="G1253">
        <v>156</v>
      </c>
      <c r="H1253">
        <v>1.7999999999999999E-2</v>
      </c>
      <c r="I1253">
        <v>1.46</v>
      </c>
      <c r="J1253">
        <v>227.76</v>
      </c>
      <c r="K1253">
        <v>7</v>
      </c>
      <c r="L1253">
        <v>32.54</v>
      </c>
      <c r="M1253">
        <v>1461.2</v>
      </c>
      <c r="N1253">
        <v>6.42</v>
      </c>
    </row>
    <row r="1254" spans="1:14" x14ac:dyDescent="0.25">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row>
    <row r="1255" spans="1:14" x14ac:dyDescent="0.25">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row>
    <row r="1256" spans="1:14" x14ac:dyDescent="0.25">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row>
    <row r="1257" spans="1:14" x14ac:dyDescent="0.25">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row>
    <row r="1258" spans="1:14" x14ac:dyDescent="0.25">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row>
    <row r="1259" spans="1:14" x14ac:dyDescent="0.25">
      <c r="A1259" s="1">
        <v>45621</v>
      </c>
      <c r="B1259" t="s">
        <v>14</v>
      </c>
      <c r="C1259" t="s">
        <v>29</v>
      </c>
      <c r="D1259" t="s">
        <v>19</v>
      </c>
      <c r="E1259" t="s">
        <v>32</v>
      </c>
      <c r="F1259">
        <v>158138</v>
      </c>
      <c r="G1259">
        <v>2846</v>
      </c>
      <c r="H1259">
        <v>1.7999999999999999E-2</v>
      </c>
      <c r="I1259">
        <v>2.04</v>
      </c>
      <c r="J1259">
        <v>5805.84</v>
      </c>
      <c r="K1259">
        <v>143</v>
      </c>
      <c r="L1259">
        <v>40.6</v>
      </c>
      <c r="M1259">
        <v>22164.01</v>
      </c>
      <c r="N1259">
        <v>3.82</v>
      </c>
    </row>
    <row r="1260" spans="1:14" x14ac:dyDescent="0.25">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row>
    <row r="1261" spans="1:14" x14ac:dyDescent="0.25">
      <c r="A1261" s="1">
        <v>45341</v>
      </c>
      <c r="B1261" t="s">
        <v>14</v>
      </c>
      <c r="C1261" t="s">
        <v>15</v>
      </c>
      <c r="D1261" t="s">
        <v>30</v>
      </c>
      <c r="E1261" t="s">
        <v>32</v>
      </c>
      <c r="F1261">
        <v>102366</v>
      </c>
      <c r="G1261">
        <v>2589</v>
      </c>
      <c r="H1261">
        <v>2.53E-2</v>
      </c>
      <c r="I1261">
        <v>1.59</v>
      </c>
      <c r="J1261">
        <v>4116.51</v>
      </c>
      <c r="K1261">
        <v>148</v>
      </c>
      <c r="L1261">
        <v>27.81</v>
      </c>
      <c r="M1261">
        <v>35080.15</v>
      </c>
      <c r="N1261">
        <v>8.52</v>
      </c>
    </row>
    <row r="1262" spans="1:14" x14ac:dyDescent="0.25">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row>
    <row r="1263" spans="1:14" x14ac:dyDescent="0.25">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row>
    <row r="1264" spans="1:14" x14ac:dyDescent="0.25">
      <c r="A1264" s="1">
        <v>45383</v>
      </c>
      <c r="B1264" t="s">
        <v>18</v>
      </c>
      <c r="C1264" t="s">
        <v>29</v>
      </c>
      <c r="D1264" t="s">
        <v>19</v>
      </c>
      <c r="E1264" t="s">
        <v>32</v>
      </c>
      <c r="F1264">
        <v>116561</v>
      </c>
      <c r="G1264">
        <v>4231</v>
      </c>
      <c r="H1264">
        <v>3.6299999999999999E-2</v>
      </c>
      <c r="I1264">
        <v>1</v>
      </c>
      <c r="J1264">
        <v>4231</v>
      </c>
      <c r="K1264">
        <v>172</v>
      </c>
      <c r="L1264">
        <v>24.6</v>
      </c>
      <c r="M1264">
        <v>42291.58</v>
      </c>
      <c r="N1264">
        <v>10</v>
      </c>
    </row>
    <row r="1265" spans="1:14" x14ac:dyDescent="0.25">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row>
    <row r="1266" spans="1:14" x14ac:dyDescent="0.25">
      <c r="A1266" s="1">
        <v>45523</v>
      </c>
      <c r="B1266" t="s">
        <v>28</v>
      </c>
      <c r="C1266" t="s">
        <v>15</v>
      </c>
      <c r="D1266" t="s">
        <v>30</v>
      </c>
      <c r="E1266" t="s">
        <v>17</v>
      </c>
      <c r="F1266">
        <v>19284</v>
      </c>
      <c r="G1266">
        <v>642</v>
      </c>
      <c r="H1266">
        <v>3.3300000000000003E-2</v>
      </c>
      <c r="I1266">
        <v>1.57</v>
      </c>
      <c r="J1266">
        <v>1007.94</v>
      </c>
      <c r="K1266">
        <v>21</v>
      </c>
      <c r="L1266">
        <v>48</v>
      </c>
      <c r="M1266">
        <v>5907.29</v>
      </c>
      <c r="N1266">
        <v>5.86</v>
      </c>
    </row>
    <row r="1267" spans="1:14" x14ac:dyDescent="0.25">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row>
    <row r="1268" spans="1:14" x14ac:dyDescent="0.25">
      <c r="A1268" s="1">
        <v>45637</v>
      </c>
      <c r="B1268" t="s">
        <v>18</v>
      </c>
      <c r="C1268" t="s">
        <v>21</v>
      </c>
      <c r="D1268" t="s">
        <v>16</v>
      </c>
      <c r="E1268" t="s">
        <v>26</v>
      </c>
      <c r="F1268">
        <v>116045</v>
      </c>
      <c r="G1268">
        <v>6660</v>
      </c>
      <c r="H1268">
        <v>5.74E-2</v>
      </c>
      <c r="I1268">
        <v>0.35</v>
      </c>
      <c r="J1268">
        <v>2331</v>
      </c>
      <c r="K1268">
        <v>467</v>
      </c>
      <c r="L1268">
        <v>4.99</v>
      </c>
      <c r="M1268">
        <v>76092.649999999994</v>
      </c>
      <c r="N1268">
        <v>32.64</v>
      </c>
    </row>
    <row r="1269" spans="1:14" x14ac:dyDescent="0.25">
      <c r="A1269" s="1">
        <v>45449</v>
      </c>
      <c r="B1269" t="s">
        <v>28</v>
      </c>
      <c r="C1269" t="s">
        <v>24</v>
      </c>
      <c r="D1269" t="s">
        <v>30</v>
      </c>
      <c r="E1269" t="s">
        <v>20</v>
      </c>
      <c r="F1269">
        <v>61395</v>
      </c>
      <c r="G1269">
        <v>2038</v>
      </c>
      <c r="H1269">
        <v>3.32E-2</v>
      </c>
      <c r="I1269">
        <v>2.36</v>
      </c>
      <c r="J1269">
        <v>4809.68</v>
      </c>
      <c r="K1269">
        <v>102</v>
      </c>
      <c r="L1269">
        <v>47.15</v>
      </c>
      <c r="M1269">
        <v>16290.15</v>
      </c>
      <c r="N1269">
        <v>3.39</v>
      </c>
    </row>
    <row r="1270" spans="1:14" x14ac:dyDescent="0.25">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row>
    <row r="1271" spans="1:14" x14ac:dyDescent="0.25">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row>
    <row r="1272" spans="1:14" x14ac:dyDescent="0.25">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row>
    <row r="1273" spans="1:14" x14ac:dyDescent="0.25">
      <c r="A1273" s="1">
        <v>45470</v>
      </c>
      <c r="B1273" t="s">
        <v>28</v>
      </c>
      <c r="C1273" t="s">
        <v>15</v>
      </c>
      <c r="D1273" t="s">
        <v>22</v>
      </c>
      <c r="E1273" t="s">
        <v>23</v>
      </c>
      <c r="F1273">
        <v>49456</v>
      </c>
      <c r="G1273">
        <v>801</v>
      </c>
      <c r="H1273">
        <v>1.6199999999999999E-2</v>
      </c>
      <c r="I1273">
        <v>1.86</v>
      </c>
      <c r="J1273">
        <v>1489.86</v>
      </c>
      <c r="K1273">
        <v>50</v>
      </c>
      <c r="L1273">
        <v>29.8</v>
      </c>
      <c r="M1273">
        <v>4108.2</v>
      </c>
      <c r="N1273">
        <v>2.76</v>
      </c>
    </row>
    <row r="1274" spans="1:14" x14ac:dyDescent="0.25">
      <c r="A1274" s="1">
        <v>45339</v>
      </c>
      <c r="B1274" t="s">
        <v>14</v>
      </c>
      <c r="C1274" t="s">
        <v>21</v>
      </c>
      <c r="D1274" t="s">
        <v>25</v>
      </c>
      <c r="E1274" t="s">
        <v>27</v>
      </c>
      <c r="F1274">
        <v>150213</v>
      </c>
      <c r="G1274">
        <v>5242</v>
      </c>
      <c r="H1274">
        <v>3.49E-2</v>
      </c>
      <c r="I1274">
        <v>3.15</v>
      </c>
      <c r="J1274">
        <v>16512.3</v>
      </c>
      <c r="K1274">
        <v>332</v>
      </c>
      <c r="L1274">
        <v>49.74</v>
      </c>
      <c r="M1274">
        <v>64497.69</v>
      </c>
      <c r="N1274">
        <v>3.91</v>
      </c>
    </row>
    <row r="1275" spans="1:14" x14ac:dyDescent="0.25">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row>
    <row r="1276" spans="1:14" x14ac:dyDescent="0.25">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row>
    <row r="1277" spans="1:14" x14ac:dyDescent="0.25">
      <c r="A1277" s="1">
        <v>45596</v>
      </c>
      <c r="B1277" t="s">
        <v>18</v>
      </c>
      <c r="C1277" t="s">
        <v>29</v>
      </c>
      <c r="D1277" t="s">
        <v>22</v>
      </c>
      <c r="E1277" t="s">
        <v>23</v>
      </c>
      <c r="F1277">
        <v>85066</v>
      </c>
      <c r="G1277">
        <v>5903</v>
      </c>
      <c r="H1277">
        <v>6.9400000000000003E-2</v>
      </c>
      <c r="I1277">
        <v>1.3</v>
      </c>
      <c r="J1277">
        <v>7673.9</v>
      </c>
      <c r="K1277">
        <v>465</v>
      </c>
      <c r="L1277">
        <v>16.5</v>
      </c>
      <c r="M1277">
        <v>85397.14</v>
      </c>
      <c r="N1277">
        <v>11.13</v>
      </c>
    </row>
    <row r="1278" spans="1:14" x14ac:dyDescent="0.25">
      <c r="A1278" s="1">
        <v>45327</v>
      </c>
      <c r="B1278" t="s">
        <v>14</v>
      </c>
      <c r="C1278" t="s">
        <v>24</v>
      </c>
      <c r="D1278" t="s">
        <v>19</v>
      </c>
      <c r="E1278" t="s">
        <v>23</v>
      </c>
      <c r="F1278">
        <v>12045</v>
      </c>
      <c r="G1278">
        <v>255</v>
      </c>
      <c r="H1278">
        <v>2.12E-2</v>
      </c>
      <c r="I1278">
        <v>2.02</v>
      </c>
      <c r="J1278">
        <v>515.1</v>
      </c>
      <c r="K1278">
        <v>4</v>
      </c>
      <c r="L1278">
        <v>128.78</v>
      </c>
      <c r="M1278">
        <v>161.02000000000001</v>
      </c>
      <c r="N1278">
        <v>0.31</v>
      </c>
    </row>
    <row r="1279" spans="1:14" x14ac:dyDescent="0.25">
      <c r="A1279" s="1">
        <v>45420</v>
      </c>
      <c r="B1279" t="s">
        <v>14</v>
      </c>
      <c r="C1279" t="s">
        <v>21</v>
      </c>
      <c r="D1279" t="s">
        <v>16</v>
      </c>
      <c r="E1279" t="s">
        <v>17</v>
      </c>
      <c r="F1279">
        <v>77796</v>
      </c>
      <c r="G1279">
        <v>3703</v>
      </c>
      <c r="H1279">
        <v>4.7600000000000003E-2</v>
      </c>
      <c r="I1279">
        <v>2.67</v>
      </c>
      <c r="J1279">
        <v>9887.01</v>
      </c>
      <c r="K1279">
        <v>182</v>
      </c>
      <c r="L1279">
        <v>54.32</v>
      </c>
      <c r="M1279">
        <v>43235.35</v>
      </c>
      <c r="N1279">
        <v>4.37</v>
      </c>
    </row>
    <row r="1280" spans="1:14" x14ac:dyDescent="0.25">
      <c r="A1280" s="1">
        <v>45327</v>
      </c>
      <c r="B1280" t="s">
        <v>18</v>
      </c>
      <c r="C1280" t="s">
        <v>24</v>
      </c>
      <c r="D1280" t="s">
        <v>16</v>
      </c>
      <c r="E1280" t="s">
        <v>20</v>
      </c>
      <c r="F1280">
        <v>90443</v>
      </c>
      <c r="G1280">
        <v>3789</v>
      </c>
      <c r="H1280">
        <v>4.19E-2</v>
      </c>
      <c r="I1280">
        <v>0.56999999999999995</v>
      </c>
      <c r="J1280">
        <v>2159.73</v>
      </c>
      <c r="K1280">
        <v>94</v>
      </c>
      <c r="L1280">
        <v>22.98</v>
      </c>
      <c r="M1280">
        <v>16003.58</v>
      </c>
      <c r="N1280">
        <v>7.41</v>
      </c>
    </row>
    <row r="1281" spans="1:14" x14ac:dyDescent="0.25">
      <c r="A1281" s="1">
        <v>45368</v>
      </c>
      <c r="B1281" t="s">
        <v>28</v>
      </c>
      <c r="C1281" t="s">
        <v>29</v>
      </c>
      <c r="D1281" t="s">
        <v>30</v>
      </c>
      <c r="E1281" t="s">
        <v>27</v>
      </c>
      <c r="F1281">
        <v>52838</v>
      </c>
      <c r="G1281">
        <v>660</v>
      </c>
      <c r="H1281">
        <v>1.2500000000000001E-2</v>
      </c>
      <c r="I1281">
        <v>1.78</v>
      </c>
      <c r="J1281">
        <v>1174.8</v>
      </c>
      <c r="K1281">
        <v>14</v>
      </c>
      <c r="L1281">
        <v>83.91</v>
      </c>
      <c r="M1281">
        <v>2258.16</v>
      </c>
      <c r="N1281">
        <v>1.92</v>
      </c>
    </row>
    <row r="1282" spans="1:14" x14ac:dyDescent="0.25">
      <c r="A1282" s="1">
        <v>45456</v>
      </c>
      <c r="B1282" t="s">
        <v>28</v>
      </c>
      <c r="C1282" t="s">
        <v>21</v>
      </c>
      <c r="D1282" t="s">
        <v>30</v>
      </c>
      <c r="E1282" t="s">
        <v>32</v>
      </c>
      <c r="F1282">
        <v>61284</v>
      </c>
      <c r="G1282">
        <v>1574</v>
      </c>
      <c r="H1282">
        <v>2.5700000000000001E-2</v>
      </c>
      <c r="I1282">
        <v>1.52</v>
      </c>
      <c r="J1282">
        <v>2392.48</v>
      </c>
      <c r="K1282">
        <v>32</v>
      </c>
      <c r="L1282">
        <v>74.77</v>
      </c>
      <c r="M1282">
        <v>3680.82</v>
      </c>
      <c r="N1282">
        <v>1.54</v>
      </c>
    </row>
    <row r="1283" spans="1:14" x14ac:dyDescent="0.25">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row>
    <row r="1284" spans="1:14" x14ac:dyDescent="0.25">
      <c r="A1284" s="1">
        <v>45451</v>
      </c>
      <c r="B1284" t="s">
        <v>28</v>
      </c>
      <c r="C1284" t="s">
        <v>29</v>
      </c>
      <c r="D1284" t="s">
        <v>22</v>
      </c>
      <c r="E1284" t="s">
        <v>20</v>
      </c>
      <c r="F1284">
        <v>194674</v>
      </c>
      <c r="G1284">
        <v>3601</v>
      </c>
      <c r="H1284">
        <v>1.8499999999999999E-2</v>
      </c>
      <c r="I1284">
        <v>1.45</v>
      </c>
      <c r="J1284">
        <v>5221.45</v>
      </c>
      <c r="K1284">
        <v>165</v>
      </c>
      <c r="L1284">
        <v>31.65</v>
      </c>
      <c r="M1284">
        <v>8945.17</v>
      </c>
      <c r="N1284">
        <v>1.71</v>
      </c>
    </row>
    <row r="1285" spans="1:14" x14ac:dyDescent="0.25">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row>
    <row r="1286" spans="1:14" x14ac:dyDescent="0.25">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row>
    <row r="1287" spans="1:14" x14ac:dyDescent="0.25">
      <c r="A1287" s="1">
        <v>45441</v>
      </c>
      <c r="B1287" t="s">
        <v>18</v>
      </c>
      <c r="C1287" t="s">
        <v>21</v>
      </c>
      <c r="D1287" t="s">
        <v>16</v>
      </c>
      <c r="E1287" t="s">
        <v>23</v>
      </c>
      <c r="F1287">
        <v>76922</v>
      </c>
      <c r="G1287">
        <v>2669</v>
      </c>
      <c r="H1287">
        <v>3.4700000000000002E-2</v>
      </c>
      <c r="I1287">
        <v>1.32</v>
      </c>
      <c r="J1287">
        <v>3523.08</v>
      </c>
      <c r="K1287">
        <v>110</v>
      </c>
      <c r="L1287">
        <v>32.03</v>
      </c>
      <c r="M1287">
        <v>12940.72</v>
      </c>
      <c r="N1287">
        <v>3.67</v>
      </c>
    </row>
    <row r="1288" spans="1:14" x14ac:dyDescent="0.25">
      <c r="A1288" s="1">
        <v>45516</v>
      </c>
      <c r="B1288" t="s">
        <v>14</v>
      </c>
      <c r="C1288" t="s">
        <v>24</v>
      </c>
      <c r="D1288" t="s">
        <v>19</v>
      </c>
      <c r="E1288" t="s">
        <v>26</v>
      </c>
      <c r="F1288">
        <v>13947</v>
      </c>
      <c r="G1288">
        <v>718</v>
      </c>
      <c r="H1288">
        <v>5.1499999999999997E-2</v>
      </c>
      <c r="I1288">
        <v>1.56</v>
      </c>
      <c r="J1288">
        <v>1120.08</v>
      </c>
      <c r="K1288">
        <v>44</v>
      </c>
      <c r="L1288">
        <v>25.46</v>
      </c>
      <c r="M1288">
        <v>11863.61</v>
      </c>
      <c r="N1288">
        <v>10.59</v>
      </c>
    </row>
    <row r="1289" spans="1:14" x14ac:dyDescent="0.25">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row>
    <row r="1290" spans="1:14" x14ac:dyDescent="0.25">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row>
    <row r="1291" spans="1:14" x14ac:dyDescent="0.25">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row>
    <row r="1292" spans="1:14" x14ac:dyDescent="0.25">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row>
    <row r="1293" spans="1:14" x14ac:dyDescent="0.25">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row>
    <row r="1294" spans="1:14" x14ac:dyDescent="0.25">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row>
    <row r="1295" spans="1:14" x14ac:dyDescent="0.25">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row>
    <row r="1296" spans="1:14" x14ac:dyDescent="0.25">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row>
    <row r="1297" spans="1:14" x14ac:dyDescent="0.25">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row>
    <row r="1298" spans="1:14" x14ac:dyDescent="0.25">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row>
    <row r="1299" spans="1:14" x14ac:dyDescent="0.25">
      <c r="A1299" s="1">
        <v>45499</v>
      </c>
      <c r="B1299" t="s">
        <v>18</v>
      </c>
      <c r="C1299" t="s">
        <v>24</v>
      </c>
      <c r="D1299" t="s">
        <v>16</v>
      </c>
      <c r="E1299" t="s">
        <v>17</v>
      </c>
      <c r="F1299">
        <v>21643</v>
      </c>
      <c r="G1299">
        <v>1142</v>
      </c>
      <c r="H1299">
        <v>5.28E-2</v>
      </c>
      <c r="I1299">
        <v>1.03</v>
      </c>
      <c r="J1299">
        <v>1176.26</v>
      </c>
      <c r="K1299">
        <v>81</v>
      </c>
      <c r="L1299">
        <v>14.52</v>
      </c>
      <c r="M1299">
        <v>18823.45</v>
      </c>
      <c r="N1299">
        <v>16</v>
      </c>
    </row>
    <row r="1300" spans="1:14" x14ac:dyDescent="0.25">
      <c r="A1300" s="1">
        <v>45328</v>
      </c>
      <c r="B1300" t="s">
        <v>28</v>
      </c>
      <c r="C1300" t="s">
        <v>29</v>
      </c>
      <c r="D1300" t="s">
        <v>22</v>
      </c>
      <c r="E1300" t="s">
        <v>20</v>
      </c>
      <c r="F1300">
        <v>58164</v>
      </c>
      <c r="G1300">
        <v>936</v>
      </c>
      <c r="H1300">
        <v>1.61E-2</v>
      </c>
      <c r="I1300">
        <v>0.88</v>
      </c>
      <c r="J1300">
        <v>823.68</v>
      </c>
      <c r="K1300">
        <v>13</v>
      </c>
      <c r="L1300">
        <v>63.36</v>
      </c>
      <c r="M1300">
        <v>1791.65</v>
      </c>
      <c r="N1300">
        <v>2.1800000000000002</v>
      </c>
    </row>
    <row r="1301" spans="1:14" x14ac:dyDescent="0.25">
      <c r="A1301" s="1">
        <v>45391</v>
      </c>
      <c r="B1301" t="s">
        <v>28</v>
      </c>
      <c r="C1301" t="s">
        <v>24</v>
      </c>
      <c r="D1301" t="s">
        <v>16</v>
      </c>
      <c r="E1301" t="s">
        <v>17</v>
      </c>
      <c r="F1301">
        <v>69102</v>
      </c>
      <c r="G1301">
        <v>1354</v>
      </c>
      <c r="H1301">
        <v>1.9599999999999999E-2</v>
      </c>
      <c r="I1301">
        <v>1.61</v>
      </c>
      <c r="J1301">
        <v>2179.94</v>
      </c>
      <c r="K1301">
        <v>89</v>
      </c>
      <c r="L1301">
        <v>24.49</v>
      </c>
      <c r="M1301">
        <v>14410.72</v>
      </c>
      <c r="N1301">
        <v>6.61</v>
      </c>
    </row>
    <row r="1302" spans="1:14" x14ac:dyDescent="0.25">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row>
    <row r="1303" spans="1:14" x14ac:dyDescent="0.25">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row>
    <row r="1304" spans="1:14" x14ac:dyDescent="0.25">
      <c r="A1304" s="1">
        <v>45479</v>
      </c>
      <c r="B1304" t="s">
        <v>28</v>
      </c>
      <c r="C1304" t="s">
        <v>24</v>
      </c>
      <c r="D1304" t="s">
        <v>30</v>
      </c>
      <c r="E1304" t="s">
        <v>20</v>
      </c>
      <c r="F1304">
        <v>80888</v>
      </c>
      <c r="G1304">
        <v>2070</v>
      </c>
      <c r="H1304">
        <v>2.5600000000000001E-2</v>
      </c>
      <c r="I1304">
        <v>0.74</v>
      </c>
      <c r="J1304">
        <v>1531.8</v>
      </c>
      <c r="K1304">
        <v>71</v>
      </c>
      <c r="L1304">
        <v>21.57</v>
      </c>
      <c r="M1304">
        <v>19601.22</v>
      </c>
      <c r="N1304">
        <v>12.8</v>
      </c>
    </row>
    <row r="1305" spans="1:14" x14ac:dyDescent="0.25">
      <c r="A1305" s="1">
        <v>45642</v>
      </c>
      <c r="B1305" t="s">
        <v>28</v>
      </c>
      <c r="C1305" t="s">
        <v>29</v>
      </c>
      <c r="D1305" t="s">
        <v>25</v>
      </c>
      <c r="E1305" t="s">
        <v>23</v>
      </c>
      <c r="F1305">
        <v>21471</v>
      </c>
      <c r="G1305">
        <v>753</v>
      </c>
      <c r="H1305">
        <v>3.5099999999999999E-2</v>
      </c>
      <c r="I1305">
        <v>1.79</v>
      </c>
      <c r="J1305">
        <v>1347.87</v>
      </c>
      <c r="K1305">
        <v>28</v>
      </c>
      <c r="L1305">
        <v>48.14</v>
      </c>
      <c r="M1305">
        <v>7559</v>
      </c>
      <c r="N1305">
        <v>5.61</v>
      </c>
    </row>
    <row r="1306" spans="1:14" x14ac:dyDescent="0.25">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row>
    <row r="1307" spans="1:14" x14ac:dyDescent="0.25">
      <c r="A1307" s="1">
        <v>45383</v>
      </c>
      <c r="B1307" t="s">
        <v>18</v>
      </c>
      <c r="C1307" t="s">
        <v>29</v>
      </c>
      <c r="D1307" t="s">
        <v>19</v>
      </c>
      <c r="E1307" t="s">
        <v>27</v>
      </c>
      <c r="F1307">
        <v>30226</v>
      </c>
      <c r="G1307">
        <v>1196</v>
      </c>
      <c r="H1307">
        <v>3.9600000000000003E-2</v>
      </c>
      <c r="I1307">
        <v>1.46</v>
      </c>
      <c r="J1307">
        <v>1746.16</v>
      </c>
      <c r="K1307">
        <v>12</v>
      </c>
      <c r="L1307">
        <v>145.51</v>
      </c>
      <c r="M1307">
        <v>2625.21</v>
      </c>
      <c r="N1307">
        <v>1.5</v>
      </c>
    </row>
    <row r="1308" spans="1:14" x14ac:dyDescent="0.25">
      <c r="A1308" s="1">
        <v>45485</v>
      </c>
      <c r="B1308" t="s">
        <v>14</v>
      </c>
      <c r="C1308" t="s">
        <v>15</v>
      </c>
      <c r="D1308" t="s">
        <v>25</v>
      </c>
      <c r="E1308" t="s">
        <v>32</v>
      </c>
      <c r="F1308">
        <v>146677</v>
      </c>
      <c r="G1308">
        <v>7597</v>
      </c>
      <c r="H1308">
        <v>5.1799999999999999E-2</v>
      </c>
      <c r="I1308">
        <v>1.42</v>
      </c>
      <c r="J1308">
        <v>10787.74</v>
      </c>
      <c r="K1308">
        <v>186</v>
      </c>
      <c r="L1308">
        <v>58</v>
      </c>
      <c r="M1308">
        <v>35941.14</v>
      </c>
      <c r="N1308">
        <v>3.33</v>
      </c>
    </row>
    <row r="1309" spans="1:14" x14ac:dyDescent="0.25">
      <c r="A1309" s="1">
        <v>45467</v>
      </c>
      <c r="B1309" t="s">
        <v>28</v>
      </c>
      <c r="C1309" t="s">
        <v>24</v>
      </c>
      <c r="D1309" t="s">
        <v>22</v>
      </c>
      <c r="E1309" t="s">
        <v>17</v>
      </c>
      <c r="F1309">
        <v>74859</v>
      </c>
      <c r="G1309">
        <v>1661</v>
      </c>
      <c r="H1309">
        <v>2.2200000000000001E-2</v>
      </c>
      <c r="I1309">
        <v>1.35</v>
      </c>
      <c r="J1309">
        <v>2242.35</v>
      </c>
      <c r="K1309">
        <v>101</v>
      </c>
      <c r="L1309">
        <v>22.2</v>
      </c>
      <c r="M1309">
        <v>6046.11</v>
      </c>
      <c r="N1309">
        <v>2.7</v>
      </c>
    </row>
    <row r="1310" spans="1:14" x14ac:dyDescent="0.25">
      <c r="A1310" s="1">
        <v>45414</v>
      </c>
      <c r="B1310" t="s">
        <v>14</v>
      </c>
      <c r="C1310" t="s">
        <v>29</v>
      </c>
      <c r="D1310" t="s">
        <v>25</v>
      </c>
      <c r="E1310" t="s">
        <v>32</v>
      </c>
      <c r="F1310">
        <v>127232</v>
      </c>
      <c r="G1310">
        <v>3867</v>
      </c>
      <c r="H1310">
        <v>3.04E-2</v>
      </c>
      <c r="I1310">
        <v>2.95</v>
      </c>
      <c r="J1310">
        <v>11407.65</v>
      </c>
      <c r="K1310">
        <v>177</v>
      </c>
      <c r="L1310">
        <v>64.45</v>
      </c>
      <c r="M1310">
        <v>6676.28</v>
      </c>
      <c r="N1310">
        <v>0.59</v>
      </c>
    </row>
    <row r="1311" spans="1:14" x14ac:dyDescent="0.25">
      <c r="A1311" s="1">
        <v>45647</v>
      </c>
      <c r="B1311" t="s">
        <v>14</v>
      </c>
      <c r="C1311" t="s">
        <v>21</v>
      </c>
      <c r="D1311" t="s">
        <v>25</v>
      </c>
      <c r="E1311" t="s">
        <v>20</v>
      </c>
      <c r="F1311">
        <v>83243</v>
      </c>
      <c r="G1311">
        <v>2821</v>
      </c>
      <c r="H1311">
        <v>3.39E-2</v>
      </c>
      <c r="I1311">
        <v>3.03</v>
      </c>
      <c r="J1311">
        <v>8547.6299999999992</v>
      </c>
      <c r="K1311">
        <v>181</v>
      </c>
      <c r="L1311">
        <v>47.22</v>
      </c>
      <c r="M1311">
        <v>43894.09</v>
      </c>
      <c r="N1311">
        <v>5.14</v>
      </c>
    </row>
    <row r="1312" spans="1:14" x14ac:dyDescent="0.25">
      <c r="A1312" s="1">
        <v>45432</v>
      </c>
      <c r="B1312" t="s">
        <v>28</v>
      </c>
      <c r="C1312" t="s">
        <v>24</v>
      </c>
      <c r="D1312" t="s">
        <v>19</v>
      </c>
      <c r="E1312" t="s">
        <v>17</v>
      </c>
      <c r="F1312">
        <v>85846</v>
      </c>
      <c r="G1312">
        <v>2274</v>
      </c>
      <c r="H1312">
        <v>2.6499999999999999E-2</v>
      </c>
      <c r="I1312">
        <v>0.43</v>
      </c>
      <c r="J1312">
        <v>977.82</v>
      </c>
      <c r="K1312">
        <v>113</v>
      </c>
      <c r="L1312">
        <v>8.65</v>
      </c>
      <c r="M1312">
        <v>8382.57</v>
      </c>
      <c r="N1312">
        <v>8.57</v>
      </c>
    </row>
    <row r="1313" spans="1:14" x14ac:dyDescent="0.25">
      <c r="A1313" s="1">
        <v>45325</v>
      </c>
      <c r="B1313" t="s">
        <v>18</v>
      </c>
      <c r="C1313" t="s">
        <v>29</v>
      </c>
      <c r="D1313" t="s">
        <v>22</v>
      </c>
      <c r="E1313" t="s">
        <v>23</v>
      </c>
      <c r="F1313">
        <v>150227</v>
      </c>
      <c r="G1313">
        <v>8683</v>
      </c>
      <c r="H1313">
        <v>5.7799999999999997E-2</v>
      </c>
      <c r="I1313">
        <v>1.7</v>
      </c>
      <c r="J1313">
        <v>14761.1</v>
      </c>
      <c r="K1313">
        <v>315</v>
      </c>
      <c r="L1313">
        <v>46.86</v>
      </c>
      <c r="M1313">
        <v>86296.01</v>
      </c>
      <c r="N1313">
        <v>5.85</v>
      </c>
    </row>
    <row r="1314" spans="1:14" x14ac:dyDescent="0.25">
      <c r="A1314" s="1">
        <v>45503</v>
      </c>
      <c r="B1314" t="s">
        <v>14</v>
      </c>
      <c r="C1314" t="s">
        <v>29</v>
      </c>
      <c r="D1314" t="s">
        <v>22</v>
      </c>
      <c r="E1314" t="s">
        <v>27</v>
      </c>
      <c r="F1314">
        <v>50411</v>
      </c>
      <c r="G1314">
        <v>1320</v>
      </c>
      <c r="H1314">
        <v>2.6200000000000001E-2</v>
      </c>
      <c r="I1314">
        <v>2.68</v>
      </c>
      <c r="J1314">
        <v>3537.6</v>
      </c>
      <c r="K1314">
        <v>49</v>
      </c>
      <c r="L1314">
        <v>72.2</v>
      </c>
      <c r="M1314">
        <v>12873.07</v>
      </c>
      <c r="N1314">
        <v>3.64</v>
      </c>
    </row>
    <row r="1315" spans="1:14" x14ac:dyDescent="0.25">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row>
    <row r="1316" spans="1:14" x14ac:dyDescent="0.25">
      <c r="A1316" s="1">
        <v>45475</v>
      </c>
      <c r="B1316" t="s">
        <v>14</v>
      </c>
      <c r="C1316" t="s">
        <v>29</v>
      </c>
      <c r="D1316" t="s">
        <v>16</v>
      </c>
      <c r="E1316" t="s">
        <v>17</v>
      </c>
      <c r="F1316">
        <v>32428</v>
      </c>
      <c r="G1316">
        <v>603</v>
      </c>
      <c r="H1316">
        <v>1.8599999999999998E-2</v>
      </c>
      <c r="I1316">
        <v>1.61</v>
      </c>
      <c r="J1316">
        <v>970.83</v>
      </c>
      <c r="K1316">
        <v>47</v>
      </c>
      <c r="L1316">
        <v>20.66</v>
      </c>
      <c r="M1316">
        <v>11645.06</v>
      </c>
      <c r="N1316">
        <v>11.99</v>
      </c>
    </row>
    <row r="1317" spans="1:14" x14ac:dyDescent="0.25">
      <c r="A1317" s="1">
        <v>45609</v>
      </c>
      <c r="B1317" t="s">
        <v>14</v>
      </c>
      <c r="C1317" t="s">
        <v>15</v>
      </c>
      <c r="D1317" t="s">
        <v>22</v>
      </c>
      <c r="E1317" t="s">
        <v>23</v>
      </c>
      <c r="F1317">
        <v>84517</v>
      </c>
      <c r="G1317">
        <v>1664</v>
      </c>
      <c r="H1317">
        <v>1.9699999999999999E-2</v>
      </c>
      <c r="I1317">
        <v>2.4</v>
      </c>
      <c r="J1317">
        <v>3993.6</v>
      </c>
      <c r="K1317">
        <v>91</v>
      </c>
      <c r="L1317">
        <v>43.89</v>
      </c>
      <c r="M1317">
        <v>21828</v>
      </c>
      <c r="N1317">
        <v>5.47</v>
      </c>
    </row>
    <row r="1318" spans="1:14" x14ac:dyDescent="0.25">
      <c r="A1318" s="1">
        <v>45372</v>
      </c>
      <c r="B1318" t="s">
        <v>28</v>
      </c>
      <c r="C1318" t="s">
        <v>24</v>
      </c>
      <c r="D1318" t="s">
        <v>19</v>
      </c>
      <c r="E1318" t="s">
        <v>26</v>
      </c>
      <c r="F1318">
        <v>160091</v>
      </c>
      <c r="G1318">
        <v>4210</v>
      </c>
      <c r="H1318">
        <v>2.63E-2</v>
      </c>
      <c r="I1318">
        <v>1.07</v>
      </c>
      <c r="J1318">
        <v>4504.7</v>
      </c>
      <c r="K1318">
        <v>322</v>
      </c>
      <c r="L1318">
        <v>13.99</v>
      </c>
      <c r="M1318">
        <v>62914.38</v>
      </c>
      <c r="N1318">
        <v>13.97</v>
      </c>
    </row>
    <row r="1319" spans="1:14" x14ac:dyDescent="0.25">
      <c r="A1319" s="1">
        <v>45466</v>
      </c>
      <c r="B1319" t="s">
        <v>14</v>
      </c>
      <c r="C1319" t="s">
        <v>15</v>
      </c>
      <c r="D1319" t="s">
        <v>19</v>
      </c>
      <c r="E1319" t="s">
        <v>20</v>
      </c>
      <c r="F1319">
        <v>158778</v>
      </c>
      <c r="G1319">
        <v>7256</v>
      </c>
      <c r="H1319">
        <v>4.5699999999999998E-2</v>
      </c>
      <c r="I1319">
        <v>1.5</v>
      </c>
      <c r="J1319">
        <v>10884</v>
      </c>
      <c r="K1319">
        <v>431</v>
      </c>
      <c r="L1319">
        <v>25.25</v>
      </c>
      <c r="M1319">
        <v>17905.23</v>
      </c>
      <c r="N1319">
        <v>1.65</v>
      </c>
    </row>
    <row r="1320" spans="1:14" x14ac:dyDescent="0.25">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row>
    <row r="1321" spans="1:14" x14ac:dyDescent="0.25">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row>
    <row r="1322" spans="1:14" x14ac:dyDescent="0.25">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row>
    <row r="1323" spans="1:14" x14ac:dyDescent="0.25">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row>
    <row r="1324" spans="1:14" x14ac:dyDescent="0.25">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row>
    <row r="1325" spans="1:14" x14ac:dyDescent="0.25">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row>
    <row r="1326" spans="1:14" x14ac:dyDescent="0.25">
      <c r="A1326" s="1">
        <v>45519</v>
      </c>
      <c r="B1326" t="s">
        <v>18</v>
      </c>
      <c r="C1326" t="s">
        <v>15</v>
      </c>
      <c r="D1326" t="s">
        <v>16</v>
      </c>
      <c r="E1326" t="s">
        <v>27</v>
      </c>
      <c r="F1326">
        <v>15273</v>
      </c>
      <c r="G1326">
        <v>464</v>
      </c>
      <c r="H1326">
        <v>3.04E-2</v>
      </c>
      <c r="I1326">
        <v>0.77</v>
      </c>
      <c r="J1326">
        <v>357.28</v>
      </c>
      <c r="K1326">
        <v>24</v>
      </c>
      <c r="L1326">
        <v>14.89</v>
      </c>
      <c r="M1326">
        <v>871.3</v>
      </c>
      <c r="N1326">
        <v>2.44</v>
      </c>
    </row>
    <row r="1327" spans="1:14" x14ac:dyDescent="0.25">
      <c r="A1327" s="1">
        <v>45361</v>
      </c>
      <c r="B1327" t="s">
        <v>14</v>
      </c>
      <c r="C1327" t="s">
        <v>24</v>
      </c>
      <c r="D1327" t="s">
        <v>25</v>
      </c>
      <c r="E1327" t="s">
        <v>32</v>
      </c>
      <c r="F1327">
        <v>71107</v>
      </c>
      <c r="G1327">
        <v>2936</v>
      </c>
      <c r="H1327">
        <v>4.1300000000000003E-2</v>
      </c>
      <c r="I1327">
        <v>2.67</v>
      </c>
      <c r="J1327">
        <v>7839.12</v>
      </c>
      <c r="K1327">
        <v>215</v>
      </c>
      <c r="L1327">
        <v>36.46</v>
      </c>
      <c r="M1327">
        <v>26952.54</v>
      </c>
      <c r="N1327">
        <v>3.44</v>
      </c>
    </row>
    <row r="1328" spans="1:14" x14ac:dyDescent="0.25">
      <c r="A1328" s="1">
        <v>45473</v>
      </c>
      <c r="B1328" t="s">
        <v>14</v>
      </c>
      <c r="C1328" t="s">
        <v>24</v>
      </c>
      <c r="D1328" t="s">
        <v>25</v>
      </c>
      <c r="E1328" t="s">
        <v>17</v>
      </c>
      <c r="F1328">
        <v>79681</v>
      </c>
      <c r="G1328">
        <v>2916</v>
      </c>
      <c r="H1328">
        <v>3.6600000000000001E-2</v>
      </c>
      <c r="I1328">
        <v>2.34</v>
      </c>
      <c r="J1328">
        <v>6823.44</v>
      </c>
      <c r="K1328">
        <v>184</v>
      </c>
      <c r="L1328">
        <v>37.08</v>
      </c>
      <c r="M1328">
        <v>46327.26</v>
      </c>
      <c r="N1328">
        <v>6.79</v>
      </c>
    </row>
    <row r="1329" spans="1:14" x14ac:dyDescent="0.25">
      <c r="A1329" s="1">
        <v>45370</v>
      </c>
      <c r="B1329" t="s">
        <v>28</v>
      </c>
      <c r="C1329" t="s">
        <v>21</v>
      </c>
      <c r="D1329" t="s">
        <v>22</v>
      </c>
      <c r="E1329" t="s">
        <v>20</v>
      </c>
      <c r="F1329">
        <v>102148</v>
      </c>
      <c r="G1329">
        <v>1205</v>
      </c>
      <c r="H1329">
        <v>1.18E-2</v>
      </c>
      <c r="I1329">
        <v>1.31</v>
      </c>
      <c r="J1329">
        <v>1578.55</v>
      </c>
      <c r="K1329">
        <v>59</v>
      </c>
      <c r="L1329">
        <v>26.76</v>
      </c>
      <c r="M1329">
        <v>17697.95</v>
      </c>
      <c r="N1329">
        <v>11.21</v>
      </c>
    </row>
    <row r="1330" spans="1:14" x14ac:dyDescent="0.25">
      <c r="A1330" s="1">
        <v>45470</v>
      </c>
      <c r="B1330" t="s">
        <v>28</v>
      </c>
      <c r="C1330" t="s">
        <v>15</v>
      </c>
      <c r="D1330" t="s">
        <v>16</v>
      </c>
      <c r="E1330" t="s">
        <v>20</v>
      </c>
      <c r="F1330">
        <v>115540</v>
      </c>
      <c r="G1330">
        <v>1686</v>
      </c>
      <c r="H1330">
        <v>1.46E-2</v>
      </c>
      <c r="I1330">
        <v>1.58</v>
      </c>
      <c r="J1330">
        <v>2663.88</v>
      </c>
      <c r="K1330">
        <v>87</v>
      </c>
      <c r="L1330">
        <v>30.62</v>
      </c>
      <c r="M1330">
        <v>20354.07</v>
      </c>
      <c r="N1330">
        <v>7.64</v>
      </c>
    </row>
    <row r="1331" spans="1:14" x14ac:dyDescent="0.25">
      <c r="A1331" s="1">
        <v>45456</v>
      </c>
      <c r="B1331" t="s">
        <v>14</v>
      </c>
      <c r="C1331" t="s">
        <v>21</v>
      </c>
      <c r="D1331" t="s">
        <v>30</v>
      </c>
      <c r="E1331" t="s">
        <v>17</v>
      </c>
      <c r="F1331">
        <v>16766</v>
      </c>
      <c r="G1331">
        <v>846</v>
      </c>
      <c r="H1331">
        <v>5.0500000000000003E-2</v>
      </c>
      <c r="I1331">
        <v>2.46</v>
      </c>
      <c r="J1331">
        <v>2081.16</v>
      </c>
      <c r="K1331">
        <v>34</v>
      </c>
      <c r="L1331">
        <v>61.21</v>
      </c>
      <c r="M1331">
        <v>7254.65</v>
      </c>
      <c r="N1331">
        <v>3.49</v>
      </c>
    </row>
    <row r="1332" spans="1:14" x14ac:dyDescent="0.25">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row>
    <row r="1333" spans="1:14" x14ac:dyDescent="0.25">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row>
    <row r="1334" spans="1:14" x14ac:dyDescent="0.25">
      <c r="A1334" s="1">
        <v>45634</v>
      </c>
      <c r="B1334" t="s">
        <v>18</v>
      </c>
      <c r="C1334" t="s">
        <v>24</v>
      </c>
      <c r="D1334" t="s">
        <v>19</v>
      </c>
      <c r="E1334" t="s">
        <v>32</v>
      </c>
      <c r="F1334">
        <v>175330</v>
      </c>
      <c r="G1334">
        <v>8766</v>
      </c>
      <c r="H1334">
        <v>0.05</v>
      </c>
      <c r="I1334">
        <v>0.73</v>
      </c>
      <c r="J1334">
        <v>6399.18</v>
      </c>
      <c r="K1334">
        <v>302</v>
      </c>
      <c r="L1334">
        <v>21.19</v>
      </c>
      <c r="M1334">
        <v>35245.68</v>
      </c>
      <c r="N1334">
        <v>5.51</v>
      </c>
    </row>
    <row r="1335" spans="1:14" x14ac:dyDescent="0.25">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row>
    <row r="1336" spans="1:14" x14ac:dyDescent="0.25">
      <c r="A1336" s="1">
        <v>45539</v>
      </c>
      <c r="B1336" t="s">
        <v>28</v>
      </c>
      <c r="C1336" t="s">
        <v>24</v>
      </c>
      <c r="D1336" t="s">
        <v>16</v>
      </c>
      <c r="E1336" t="s">
        <v>31</v>
      </c>
      <c r="F1336">
        <v>79992</v>
      </c>
      <c r="G1336">
        <v>1055</v>
      </c>
      <c r="H1336">
        <v>1.32E-2</v>
      </c>
      <c r="I1336">
        <v>1.52</v>
      </c>
      <c r="J1336">
        <v>1603.6</v>
      </c>
      <c r="K1336">
        <v>21</v>
      </c>
      <c r="L1336">
        <v>76.36</v>
      </c>
      <c r="M1336">
        <v>4912.79</v>
      </c>
      <c r="N1336">
        <v>3.06</v>
      </c>
    </row>
    <row r="1337" spans="1:14" x14ac:dyDescent="0.25">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row>
    <row r="1338" spans="1:14" x14ac:dyDescent="0.25">
      <c r="A1338" s="1">
        <v>45504</v>
      </c>
      <c r="B1338" t="s">
        <v>28</v>
      </c>
      <c r="C1338" t="s">
        <v>15</v>
      </c>
      <c r="D1338" t="s">
        <v>19</v>
      </c>
      <c r="E1338" t="s">
        <v>26</v>
      </c>
      <c r="F1338">
        <v>39754</v>
      </c>
      <c r="G1338">
        <v>1164</v>
      </c>
      <c r="H1338">
        <v>2.93E-2</v>
      </c>
      <c r="I1338">
        <v>1.35</v>
      </c>
      <c r="J1338">
        <v>1571.4</v>
      </c>
      <c r="K1338">
        <v>72</v>
      </c>
      <c r="L1338">
        <v>21.83</v>
      </c>
      <c r="M1338">
        <v>9221.61</v>
      </c>
      <c r="N1338">
        <v>5.87</v>
      </c>
    </row>
    <row r="1339" spans="1:14" x14ac:dyDescent="0.25">
      <c r="A1339" s="1">
        <v>45520</v>
      </c>
      <c r="B1339" t="s">
        <v>14</v>
      </c>
      <c r="C1339" t="s">
        <v>24</v>
      </c>
      <c r="D1339" t="s">
        <v>25</v>
      </c>
      <c r="E1339" t="s">
        <v>17</v>
      </c>
      <c r="F1339">
        <v>89383</v>
      </c>
      <c r="G1339">
        <v>5631</v>
      </c>
      <c r="H1339">
        <v>6.3E-2</v>
      </c>
      <c r="I1339">
        <v>3.67</v>
      </c>
      <c r="J1339">
        <v>20665.77</v>
      </c>
      <c r="K1339">
        <v>163</v>
      </c>
      <c r="L1339">
        <v>126.78</v>
      </c>
      <c r="M1339">
        <v>35918.239999999998</v>
      </c>
      <c r="N1339">
        <v>1.74</v>
      </c>
    </row>
    <row r="1340" spans="1:14" x14ac:dyDescent="0.25">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row>
    <row r="1341" spans="1:14" x14ac:dyDescent="0.25">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row>
    <row r="1342" spans="1:14" x14ac:dyDescent="0.25">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row>
    <row r="1343" spans="1:14" x14ac:dyDescent="0.25">
      <c r="A1343" s="1">
        <v>45371</v>
      </c>
      <c r="B1343" t="s">
        <v>28</v>
      </c>
      <c r="C1343" t="s">
        <v>24</v>
      </c>
      <c r="D1343" t="s">
        <v>16</v>
      </c>
      <c r="E1343" t="s">
        <v>32</v>
      </c>
      <c r="F1343">
        <v>25243</v>
      </c>
      <c r="G1343">
        <v>580</v>
      </c>
      <c r="H1343">
        <v>2.3E-2</v>
      </c>
      <c r="I1343">
        <v>1.98</v>
      </c>
      <c r="J1343">
        <v>1148.4000000000001</v>
      </c>
      <c r="K1343">
        <v>13</v>
      </c>
      <c r="L1343">
        <v>88.34</v>
      </c>
      <c r="M1343">
        <v>3883.09</v>
      </c>
      <c r="N1343">
        <v>3.38</v>
      </c>
    </row>
    <row r="1344" spans="1:14" x14ac:dyDescent="0.25">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row>
    <row r="1345" spans="1:14" x14ac:dyDescent="0.25">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row>
    <row r="1346" spans="1:14" x14ac:dyDescent="0.25">
      <c r="A1346" s="1">
        <v>45591</v>
      </c>
      <c r="B1346" t="s">
        <v>14</v>
      </c>
      <c r="C1346" t="s">
        <v>24</v>
      </c>
      <c r="D1346" t="s">
        <v>25</v>
      </c>
      <c r="E1346" t="s">
        <v>23</v>
      </c>
      <c r="F1346">
        <v>189480</v>
      </c>
      <c r="G1346">
        <v>6290</v>
      </c>
      <c r="H1346">
        <v>3.32E-2</v>
      </c>
      <c r="I1346">
        <v>3.55</v>
      </c>
      <c r="J1346">
        <v>22329.5</v>
      </c>
      <c r="K1346">
        <v>204</v>
      </c>
      <c r="L1346">
        <v>109.46</v>
      </c>
      <c r="M1346">
        <v>44620.04</v>
      </c>
      <c r="N1346">
        <v>2</v>
      </c>
    </row>
    <row r="1347" spans="1:14" x14ac:dyDescent="0.25">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row>
    <row r="1348" spans="1:14" x14ac:dyDescent="0.25">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row>
    <row r="1349" spans="1:14" x14ac:dyDescent="0.25">
      <c r="A1349" s="1">
        <v>45408</v>
      </c>
      <c r="B1349" t="s">
        <v>18</v>
      </c>
      <c r="C1349" t="s">
        <v>15</v>
      </c>
      <c r="D1349" t="s">
        <v>25</v>
      </c>
      <c r="E1349" t="s">
        <v>26</v>
      </c>
      <c r="F1349">
        <v>42575</v>
      </c>
      <c r="G1349">
        <v>2188</v>
      </c>
      <c r="H1349">
        <v>5.1400000000000001E-2</v>
      </c>
      <c r="I1349">
        <v>1.8</v>
      </c>
      <c r="J1349">
        <v>3938.4</v>
      </c>
      <c r="K1349">
        <v>63</v>
      </c>
      <c r="L1349">
        <v>62.51</v>
      </c>
      <c r="M1349">
        <v>13519.27</v>
      </c>
      <c r="N1349">
        <v>3.43</v>
      </c>
    </row>
    <row r="1350" spans="1:14" x14ac:dyDescent="0.25">
      <c r="A1350" s="1">
        <v>45496</v>
      </c>
      <c r="B1350" t="s">
        <v>18</v>
      </c>
      <c r="C1350" t="s">
        <v>21</v>
      </c>
      <c r="D1350" t="s">
        <v>16</v>
      </c>
      <c r="E1350" t="s">
        <v>27</v>
      </c>
      <c r="F1350">
        <v>51557</v>
      </c>
      <c r="G1350">
        <v>2882</v>
      </c>
      <c r="H1350">
        <v>5.5899999999999998E-2</v>
      </c>
      <c r="I1350">
        <v>1.25</v>
      </c>
      <c r="J1350">
        <v>3602.5</v>
      </c>
      <c r="K1350">
        <v>135</v>
      </c>
      <c r="L1350">
        <v>26.69</v>
      </c>
      <c r="M1350">
        <v>6028.08</v>
      </c>
      <c r="N1350">
        <v>1.67</v>
      </c>
    </row>
    <row r="1351" spans="1:14" x14ac:dyDescent="0.25">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row>
    <row r="1352" spans="1:14" x14ac:dyDescent="0.25">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row>
    <row r="1353" spans="1:14" x14ac:dyDescent="0.25">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row>
    <row r="1354" spans="1:14" x14ac:dyDescent="0.25">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row>
    <row r="1355" spans="1:14" x14ac:dyDescent="0.25">
      <c r="A1355" s="1">
        <v>45639</v>
      </c>
      <c r="B1355" t="s">
        <v>28</v>
      </c>
      <c r="C1355" t="s">
        <v>24</v>
      </c>
      <c r="D1355" t="s">
        <v>16</v>
      </c>
      <c r="E1355" t="s">
        <v>27</v>
      </c>
      <c r="F1355">
        <v>107126</v>
      </c>
      <c r="G1355">
        <v>3631</v>
      </c>
      <c r="H1355">
        <v>3.39E-2</v>
      </c>
      <c r="I1355">
        <v>1.08</v>
      </c>
      <c r="J1355">
        <v>3921.48</v>
      </c>
      <c r="K1355">
        <v>260</v>
      </c>
      <c r="L1355">
        <v>15.08</v>
      </c>
      <c r="M1355">
        <v>19151.86</v>
      </c>
      <c r="N1355">
        <v>4.88</v>
      </c>
    </row>
    <row r="1356" spans="1:14" x14ac:dyDescent="0.25">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row>
    <row r="1357" spans="1:14" x14ac:dyDescent="0.25">
      <c r="A1357" s="1">
        <v>45580</v>
      </c>
      <c r="B1357" t="s">
        <v>28</v>
      </c>
      <c r="C1357" t="s">
        <v>21</v>
      </c>
      <c r="D1357" t="s">
        <v>25</v>
      </c>
      <c r="E1357" t="s">
        <v>23</v>
      </c>
      <c r="F1357">
        <v>39253</v>
      </c>
      <c r="G1357">
        <v>1122</v>
      </c>
      <c r="H1357">
        <v>2.86E-2</v>
      </c>
      <c r="I1357">
        <v>1.25</v>
      </c>
      <c r="J1357">
        <v>1402.5</v>
      </c>
      <c r="K1357">
        <v>81</v>
      </c>
      <c r="L1357">
        <v>17.309999999999999</v>
      </c>
      <c r="M1357">
        <v>15452.61</v>
      </c>
      <c r="N1357">
        <v>11.02</v>
      </c>
    </row>
    <row r="1358" spans="1:14" x14ac:dyDescent="0.25">
      <c r="A1358" s="1">
        <v>45348</v>
      </c>
      <c r="B1358" t="s">
        <v>18</v>
      </c>
      <c r="C1358" t="s">
        <v>15</v>
      </c>
      <c r="D1358" t="s">
        <v>30</v>
      </c>
      <c r="E1358" t="s">
        <v>27</v>
      </c>
      <c r="F1358">
        <v>109794</v>
      </c>
      <c r="G1358">
        <v>3886</v>
      </c>
      <c r="H1358">
        <v>3.5400000000000001E-2</v>
      </c>
      <c r="I1358">
        <v>1.61</v>
      </c>
      <c r="J1358">
        <v>6256.46</v>
      </c>
      <c r="K1358">
        <v>73</v>
      </c>
      <c r="L1358">
        <v>85.7</v>
      </c>
      <c r="M1358">
        <v>9808.76</v>
      </c>
      <c r="N1358">
        <v>1.57</v>
      </c>
    </row>
    <row r="1359" spans="1:14" x14ac:dyDescent="0.25">
      <c r="A1359" s="1">
        <v>45605</v>
      </c>
      <c r="B1359" t="s">
        <v>14</v>
      </c>
      <c r="C1359" t="s">
        <v>21</v>
      </c>
      <c r="D1359" t="s">
        <v>30</v>
      </c>
      <c r="E1359" t="s">
        <v>17</v>
      </c>
      <c r="F1359">
        <v>27612</v>
      </c>
      <c r="G1359">
        <v>963</v>
      </c>
      <c r="H1359">
        <v>3.49E-2</v>
      </c>
      <c r="I1359">
        <v>3.3</v>
      </c>
      <c r="J1359">
        <v>3177.9</v>
      </c>
      <c r="K1359">
        <v>75</v>
      </c>
      <c r="L1359">
        <v>42.37</v>
      </c>
      <c r="M1359">
        <v>12575.02</v>
      </c>
      <c r="N1359">
        <v>3.96</v>
      </c>
    </row>
    <row r="1360" spans="1:14" x14ac:dyDescent="0.25">
      <c r="A1360" s="1">
        <v>45578</v>
      </c>
      <c r="B1360" t="s">
        <v>28</v>
      </c>
      <c r="C1360" t="s">
        <v>15</v>
      </c>
      <c r="D1360" t="s">
        <v>30</v>
      </c>
      <c r="E1360" t="s">
        <v>31</v>
      </c>
      <c r="F1360">
        <v>61994</v>
      </c>
      <c r="G1360">
        <v>1847</v>
      </c>
      <c r="H1360">
        <v>2.98E-2</v>
      </c>
      <c r="I1360">
        <v>0.8</v>
      </c>
      <c r="J1360">
        <v>1477.6</v>
      </c>
      <c r="K1360">
        <v>147</v>
      </c>
      <c r="L1360">
        <v>10.050000000000001</v>
      </c>
      <c r="M1360">
        <v>5622.21</v>
      </c>
      <c r="N1360">
        <v>3.8</v>
      </c>
    </row>
    <row r="1361" spans="1:14" x14ac:dyDescent="0.25">
      <c r="A1361" s="1">
        <v>45570</v>
      </c>
      <c r="B1361" t="s">
        <v>14</v>
      </c>
      <c r="C1361" t="s">
        <v>15</v>
      </c>
      <c r="D1361" t="s">
        <v>30</v>
      </c>
      <c r="E1361" t="s">
        <v>17</v>
      </c>
      <c r="F1361">
        <v>48953</v>
      </c>
      <c r="G1361">
        <v>2447</v>
      </c>
      <c r="H1361">
        <v>0.05</v>
      </c>
      <c r="I1361">
        <v>1.1100000000000001</v>
      </c>
      <c r="J1361">
        <v>2716.17</v>
      </c>
      <c r="K1361">
        <v>144</v>
      </c>
      <c r="L1361">
        <v>18.86</v>
      </c>
      <c r="M1361">
        <v>17526.62</v>
      </c>
      <c r="N1361">
        <v>6.45</v>
      </c>
    </row>
    <row r="1362" spans="1:14" x14ac:dyDescent="0.25">
      <c r="A1362" s="1">
        <v>45400</v>
      </c>
      <c r="B1362" t="s">
        <v>14</v>
      </c>
      <c r="C1362" t="s">
        <v>15</v>
      </c>
      <c r="D1362" t="s">
        <v>30</v>
      </c>
      <c r="E1362" t="s">
        <v>26</v>
      </c>
      <c r="F1362">
        <v>13484</v>
      </c>
      <c r="G1362">
        <v>382</v>
      </c>
      <c r="H1362">
        <v>2.8400000000000002E-2</v>
      </c>
      <c r="I1362">
        <v>1.34</v>
      </c>
      <c r="J1362">
        <v>511.88</v>
      </c>
      <c r="K1362">
        <v>23</v>
      </c>
      <c r="L1362">
        <v>22.26</v>
      </c>
      <c r="M1362">
        <v>1623.76</v>
      </c>
      <c r="N1362">
        <v>3.17</v>
      </c>
    </row>
    <row r="1363" spans="1:14" x14ac:dyDescent="0.25">
      <c r="A1363" s="1">
        <v>45612</v>
      </c>
      <c r="B1363" t="s">
        <v>18</v>
      </c>
      <c r="C1363" t="s">
        <v>29</v>
      </c>
      <c r="D1363" t="s">
        <v>19</v>
      </c>
      <c r="E1363" t="s">
        <v>20</v>
      </c>
      <c r="F1363">
        <v>13255</v>
      </c>
      <c r="G1363">
        <v>709</v>
      </c>
      <c r="H1363">
        <v>5.3499999999999999E-2</v>
      </c>
      <c r="I1363">
        <v>1.32</v>
      </c>
      <c r="J1363">
        <v>935.88</v>
      </c>
      <c r="K1363">
        <v>37</v>
      </c>
      <c r="L1363">
        <v>25.29</v>
      </c>
      <c r="M1363">
        <v>11059.11</v>
      </c>
      <c r="N1363">
        <v>11.82</v>
      </c>
    </row>
    <row r="1364" spans="1:14" x14ac:dyDescent="0.25">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row>
    <row r="1365" spans="1:14" x14ac:dyDescent="0.25">
      <c r="A1365" s="1">
        <v>45593</v>
      </c>
      <c r="B1365" t="s">
        <v>18</v>
      </c>
      <c r="C1365" t="s">
        <v>24</v>
      </c>
      <c r="D1365" t="s">
        <v>22</v>
      </c>
      <c r="E1365" t="s">
        <v>17</v>
      </c>
      <c r="F1365">
        <v>21972</v>
      </c>
      <c r="G1365">
        <v>1915</v>
      </c>
      <c r="H1365">
        <v>8.72E-2</v>
      </c>
      <c r="I1365">
        <v>1.05</v>
      </c>
      <c r="J1365">
        <v>2010.75</v>
      </c>
      <c r="K1365">
        <v>36</v>
      </c>
      <c r="L1365">
        <v>55.85</v>
      </c>
      <c r="M1365">
        <v>2412.15</v>
      </c>
      <c r="N1365">
        <v>1.2</v>
      </c>
    </row>
    <row r="1366" spans="1:14" x14ac:dyDescent="0.25">
      <c r="A1366" s="1">
        <v>45524</v>
      </c>
      <c r="B1366" t="s">
        <v>18</v>
      </c>
      <c r="C1366" t="s">
        <v>24</v>
      </c>
      <c r="D1366" t="s">
        <v>25</v>
      </c>
      <c r="E1366" t="s">
        <v>27</v>
      </c>
      <c r="F1366">
        <v>186136</v>
      </c>
      <c r="G1366">
        <v>13885</v>
      </c>
      <c r="H1366">
        <v>7.46E-2</v>
      </c>
      <c r="I1366">
        <v>0.95</v>
      </c>
      <c r="J1366">
        <v>13190.75</v>
      </c>
      <c r="K1366">
        <v>891</v>
      </c>
      <c r="L1366">
        <v>14.8</v>
      </c>
      <c r="M1366">
        <v>133397.70000000001</v>
      </c>
      <c r="N1366">
        <v>10.11</v>
      </c>
    </row>
    <row r="1367" spans="1:14" x14ac:dyDescent="0.25">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row>
    <row r="1368" spans="1:14" x14ac:dyDescent="0.25">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row>
    <row r="1369" spans="1:14" x14ac:dyDescent="0.25">
      <c r="A1369" s="1">
        <v>45328</v>
      </c>
      <c r="B1369" t="s">
        <v>14</v>
      </c>
      <c r="C1369" t="s">
        <v>29</v>
      </c>
      <c r="D1369" t="s">
        <v>22</v>
      </c>
      <c r="E1369" t="s">
        <v>23</v>
      </c>
      <c r="F1369">
        <v>51678</v>
      </c>
      <c r="G1369">
        <v>2966</v>
      </c>
      <c r="H1369">
        <v>5.74E-2</v>
      </c>
      <c r="I1369">
        <v>2.58</v>
      </c>
      <c r="J1369">
        <v>7652.28</v>
      </c>
      <c r="K1369">
        <v>192</v>
      </c>
      <c r="L1369">
        <v>39.86</v>
      </c>
      <c r="M1369">
        <v>21240.9</v>
      </c>
      <c r="N1369">
        <v>2.78</v>
      </c>
    </row>
    <row r="1370" spans="1:14" x14ac:dyDescent="0.25">
      <c r="A1370" s="1">
        <v>45515</v>
      </c>
      <c r="B1370" t="s">
        <v>28</v>
      </c>
      <c r="C1370" t="s">
        <v>15</v>
      </c>
      <c r="D1370" t="s">
        <v>25</v>
      </c>
      <c r="E1370" t="s">
        <v>26</v>
      </c>
      <c r="F1370">
        <v>26491</v>
      </c>
      <c r="G1370">
        <v>423</v>
      </c>
      <c r="H1370">
        <v>1.6E-2</v>
      </c>
      <c r="I1370">
        <v>0.95</v>
      </c>
      <c r="J1370">
        <v>401.85</v>
      </c>
      <c r="K1370">
        <v>28</v>
      </c>
      <c r="L1370">
        <v>14.35</v>
      </c>
      <c r="M1370">
        <v>3219.77</v>
      </c>
      <c r="N1370">
        <v>8.01</v>
      </c>
    </row>
    <row r="1371" spans="1:14" x14ac:dyDescent="0.25">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row>
    <row r="1372" spans="1:14" x14ac:dyDescent="0.25">
      <c r="A1372" s="1">
        <v>45578</v>
      </c>
      <c r="B1372" t="s">
        <v>28</v>
      </c>
      <c r="C1372" t="s">
        <v>21</v>
      </c>
      <c r="D1372" t="s">
        <v>30</v>
      </c>
      <c r="E1372" t="s">
        <v>26</v>
      </c>
      <c r="F1372">
        <v>77353</v>
      </c>
      <c r="G1372">
        <v>1895</v>
      </c>
      <c r="H1372">
        <v>2.4500000000000001E-2</v>
      </c>
      <c r="I1372">
        <v>1.69</v>
      </c>
      <c r="J1372">
        <v>3202.55</v>
      </c>
      <c r="K1372">
        <v>73</v>
      </c>
      <c r="L1372">
        <v>43.87</v>
      </c>
      <c r="M1372">
        <v>9316.26</v>
      </c>
      <c r="N1372">
        <v>2.91</v>
      </c>
    </row>
    <row r="1373" spans="1:14" x14ac:dyDescent="0.25">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row>
    <row r="1374" spans="1:14" x14ac:dyDescent="0.25">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row>
    <row r="1375" spans="1:14" x14ac:dyDescent="0.25">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row>
    <row r="1376" spans="1:14" x14ac:dyDescent="0.25">
      <c r="A1376" s="1">
        <v>45347</v>
      </c>
      <c r="B1376" t="s">
        <v>14</v>
      </c>
      <c r="C1376" t="s">
        <v>21</v>
      </c>
      <c r="D1376" t="s">
        <v>25</v>
      </c>
      <c r="E1376" t="s">
        <v>31</v>
      </c>
      <c r="F1376">
        <v>85196</v>
      </c>
      <c r="G1376">
        <v>2572</v>
      </c>
      <c r="H1376">
        <v>3.0200000000000001E-2</v>
      </c>
      <c r="I1376">
        <v>2.29</v>
      </c>
      <c r="J1376">
        <v>5889.88</v>
      </c>
      <c r="K1376">
        <v>34</v>
      </c>
      <c r="L1376">
        <v>173.23</v>
      </c>
      <c r="M1376">
        <v>8900.58</v>
      </c>
      <c r="N1376">
        <v>1.51</v>
      </c>
    </row>
    <row r="1377" spans="1:14" x14ac:dyDescent="0.25">
      <c r="A1377" s="1">
        <v>45369</v>
      </c>
      <c r="B1377" t="s">
        <v>14</v>
      </c>
      <c r="C1377" t="s">
        <v>21</v>
      </c>
      <c r="D1377" t="s">
        <v>30</v>
      </c>
      <c r="E1377" t="s">
        <v>32</v>
      </c>
      <c r="F1377">
        <v>74098</v>
      </c>
      <c r="G1377">
        <v>1911</v>
      </c>
      <c r="H1377">
        <v>2.58E-2</v>
      </c>
      <c r="I1377">
        <v>2.85</v>
      </c>
      <c r="J1377">
        <v>5446.35</v>
      </c>
      <c r="K1377">
        <v>91</v>
      </c>
      <c r="L1377">
        <v>59.85</v>
      </c>
      <c r="M1377">
        <v>9234.9599999999991</v>
      </c>
      <c r="N1377">
        <v>1.7</v>
      </c>
    </row>
    <row r="1378" spans="1:14" x14ac:dyDescent="0.25">
      <c r="A1378" s="1">
        <v>45298</v>
      </c>
      <c r="B1378" t="s">
        <v>18</v>
      </c>
      <c r="C1378" t="s">
        <v>15</v>
      </c>
      <c r="D1378" t="s">
        <v>22</v>
      </c>
      <c r="E1378" t="s">
        <v>20</v>
      </c>
      <c r="F1378">
        <v>166711</v>
      </c>
      <c r="G1378">
        <v>13670</v>
      </c>
      <c r="H1378">
        <v>8.2000000000000003E-2</v>
      </c>
      <c r="I1378">
        <v>1.5</v>
      </c>
      <c r="J1378">
        <v>20505</v>
      </c>
      <c r="K1378">
        <v>592</v>
      </c>
      <c r="L1378">
        <v>34.64</v>
      </c>
      <c r="M1378">
        <v>43676.76</v>
      </c>
      <c r="N1378">
        <v>2.13</v>
      </c>
    </row>
    <row r="1379" spans="1:14" x14ac:dyDescent="0.25">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row>
    <row r="1380" spans="1:14" x14ac:dyDescent="0.25">
      <c r="A1380" s="1">
        <v>45381</v>
      </c>
      <c r="B1380" t="s">
        <v>14</v>
      </c>
      <c r="C1380" t="s">
        <v>21</v>
      </c>
      <c r="D1380" t="s">
        <v>16</v>
      </c>
      <c r="E1380" t="s">
        <v>17</v>
      </c>
      <c r="F1380">
        <v>81303</v>
      </c>
      <c r="G1380">
        <v>4154</v>
      </c>
      <c r="H1380">
        <v>5.11E-2</v>
      </c>
      <c r="I1380">
        <v>1.95</v>
      </c>
      <c r="J1380">
        <v>8100.3</v>
      </c>
      <c r="K1380">
        <v>121</v>
      </c>
      <c r="L1380">
        <v>66.94</v>
      </c>
      <c r="M1380">
        <v>35667.19</v>
      </c>
      <c r="N1380">
        <v>4.4000000000000004</v>
      </c>
    </row>
    <row r="1381" spans="1:14" x14ac:dyDescent="0.25">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row>
    <row r="1382" spans="1:14" x14ac:dyDescent="0.25">
      <c r="A1382" s="1">
        <v>45601</v>
      </c>
      <c r="B1382" t="s">
        <v>28</v>
      </c>
      <c r="C1382" t="s">
        <v>21</v>
      </c>
      <c r="D1382" t="s">
        <v>22</v>
      </c>
      <c r="E1382" t="s">
        <v>26</v>
      </c>
      <c r="F1382">
        <v>178013</v>
      </c>
      <c r="G1382">
        <v>1886</v>
      </c>
      <c r="H1382">
        <v>1.06E-2</v>
      </c>
      <c r="I1382">
        <v>1.1399999999999999</v>
      </c>
      <c r="J1382">
        <v>2150.04</v>
      </c>
      <c r="K1382">
        <v>83</v>
      </c>
      <c r="L1382">
        <v>25.9</v>
      </c>
      <c r="M1382">
        <v>22320.49</v>
      </c>
      <c r="N1382">
        <v>10.38</v>
      </c>
    </row>
    <row r="1383" spans="1:14" x14ac:dyDescent="0.25">
      <c r="A1383" s="1">
        <v>45545</v>
      </c>
      <c r="B1383" t="s">
        <v>28</v>
      </c>
      <c r="C1383" t="s">
        <v>15</v>
      </c>
      <c r="D1383" t="s">
        <v>19</v>
      </c>
      <c r="E1383" t="s">
        <v>31</v>
      </c>
      <c r="F1383">
        <v>160341</v>
      </c>
      <c r="G1383">
        <v>2228</v>
      </c>
      <c r="H1383">
        <v>1.3899999999999999E-2</v>
      </c>
      <c r="I1383">
        <v>0.86</v>
      </c>
      <c r="J1383">
        <v>1916.08</v>
      </c>
      <c r="K1383">
        <v>70</v>
      </c>
      <c r="L1383">
        <v>27.37</v>
      </c>
      <c r="M1383">
        <v>6302.54</v>
      </c>
      <c r="N1383">
        <v>3.29</v>
      </c>
    </row>
    <row r="1384" spans="1:14" x14ac:dyDescent="0.25">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row>
    <row r="1385" spans="1:14" x14ac:dyDescent="0.25">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row>
    <row r="1386" spans="1:14" x14ac:dyDescent="0.25">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row>
    <row r="1387" spans="1:14" x14ac:dyDescent="0.25">
      <c r="A1387" s="1">
        <v>45600</v>
      </c>
      <c r="B1387" t="s">
        <v>14</v>
      </c>
      <c r="C1387" t="s">
        <v>24</v>
      </c>
      <c r="D1387" t="s">
        <v>16</v>
      </c>
      <c r="E1387" t="s">
        <v>31</v>
      </c>
      <c r="F1387">
        <v>70107</v>
      </c>
      <c r="G1387">
        <v>4045</v>
      </c>
      <c r="H1387">
        <v>5.7700000000000001E-2</v>
      </c>
      <c r="I1387">
        <v>2.72</v>
      </c>
      <c r="J1387">
        <v>11002.4</v>
      </c>
      <c r="K1387">
        <v>203</v>
      </c>
      <c r="L1387">
        <v>54.2</v>
      </c>
      <c r="M1387">
        <v>22267.98</v>
      </c>
      <c r="N1387">
        <v>2.02</v>
      </c>
    </row>
    <row r="1388" spans="1:14" x14ac:dyDescent="0.25">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row>
    <row r="1389" spans="1:14" x14ac:dyDescent="0.25">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row>
    <row r="1390" spans="1:14" x14ac:dyDescent="0.25">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row>
    <row r="1391" spans="1:14" x14ac:dyDescent="0.25">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row>
    <row r="1392" spans="1:14" x14ac:dyDescent="0.25">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row>
    <row r="1393" spans="1:14" x14ac:dyDescent="0.25">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row>
    <row r="1394" spans="1:14" x14ac:dyDescent="0.25">
      <c r="A1394" s="1">
        <v>45385</v>
      </c>
      <c r="B1394" t="s">
        <v>28</v>
      </c>
      <c r="C1394" t="s">
        <v>21</v>
      </c>
      <c r="D1394" t="s">
        <v>25</v>
      </c>
      <c r="E1394" t="s">
        <v>17</v>
      </c>
      <c r="F1394">
        <v>172517</v>
      </c>
      <c r="G1394">
        <v>3191</v>
      </c>
      <c r="H1394">
        <v>1.8499999999999999E-2</v>
      </c>
      <c r="I1394">
        <v>1.81</v>
      </c>
      <c r="J1394">
        <v>5775.71</v>
      </c>
      <c r="K1394">
        <v>96</v>
      </c>
      <c r="L1394">
        <v>60.16</v>
      </c>
      <c r="M1394">
        <v>13225.69</v>
      </c>
      <c r="N1394">
        <v>2.29</v>
      </c>
    </row>
    <row r="1395" spans="1:14" x14ac:dyDescent="0.25">
      <c r="A1395" s="1">
        <v>45309</v>
      </c>
      <c r="B1395" t="s">
        <v>28</v>
      </c>
      <c r="C1395" t="s">
        <v>21</v>
      </c>
      <c r="D1395" t="s">
        <v>16</v>
      </c>
      <c r="E1395" t="s">
        <v>27</v>
      </c>
      <c r="F1395">
        <v>84712</v>
      </c>
      <c r="G1395">
        <v>1473</v>
      </c>
      <c r="H1395">
        <v>1.7399999999999999E-2</v>
      </c>
      <c r="I1395">
        <v>2.27</v>
      </c>
      <c r="J1395">
        <v>3343.71</v>
      </c>
      <c r="K1395">
        <v>74</v>
      </c>
      <c r="L1395">
        <v>45.19</v>
      </c>
      <c r="M1395">
        <v>3310.43</v>
      </c>
      <c r="N1395">
        <v>0.99</v>
      </c>
    </row>
    <row r="1396" spans="1:14" x14ac:dyDescent="0.25">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row>
    <row r="1397" spans="1:14" x14ac:dyDescent="0.25">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row>
    <row r="1398" spans="1:14" x14ac:dyDescent="0.25">
      <c r="A1398" s="1">
        <v>45309</v>
      </c>
      <c r="B1398" t="s">
        <v>28</v>
      </c>
      <c r="C1398" t="s">
        <v>21</v>
      </c>
      <c r="D1398" t="s">
        <v>16</v>
      </c>
      <c r="E1398" t="s">
        <v>20</v>
      </c>
      <c r="F1398">
        <v>72278</v>
      </c>
      <c r="G1398">
        <v>2421</v>
      </c>
      <c r="H1398">
        <v>3.3500000000000002E-2</v>
      </c>
      <c r="I1398">
        <v>1.29</v>
      </c>
      <c r="J1398">
        <v>3123.09</v>
      </c>
      <c r="K1398">
        <v>26</v>
      </c>
      <c r="L1398">
        <v>120.12</v>
      </c>
      <c r="M1398">
        <v>5625.44</v>
      </c>
      <c r="N1398">
        <v>1.8</v>
      </c>
    </row>
    <row r="1399" spans="1:14" x14ac:dyDescent="0.25">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row>
    <row r="1400" spans="1:14" x14ac:dyDescent="0.25">
      <c r="A1400" s="1">
        <v>45523</v>
      </c>
      <c r="B1400" t="s">
        <v>14</v>
      </c>
      <c r="C1400" t="s">
        <v>24</v>
      </c>
      <c r="D1400" t="s">
        <v>16</v>
      </c>
      <c r="E1400" t="s">
        <v>31</v>
      </c>
      <c r="F1400">
        <v>112930</v>
      </c>
      <c r="G1400">
        <v>2427</v>
      </c>
      <c r="H1400">
        <v>2.1499999999999998E-2</v>
      </c>
      <c r="I1400">
        <v>0.95</v>
      </c>
      <c r="J1400">
        <v>2305.65</v>
      </c>
      <c r="K1400">
        <v>53</v>
      </c>
      <c r="L1400">
        <v>43.5</v>
      </c>
      <c r="M1400">
        <v>10549.62</v>
      </c>
      <c r="N1400">
        <v>4.58</v>
      </c>
    </row>
    <row r="1401" spans="1:14" x14ac:dyDescent="0.25">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row>
    <row r="1402" spans="1:14" x14ac:dyDescent="0.25">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row>
    <row r="1403" spans="1:14" x14ac:dyDescent="0.25">
      <c r="A1403" s="1">
        <v>45556</v>
      </c>
      <c r="B1403" t="s">
        <v>28</v>
      </c>
      <c r="C1403" t="s">
        <v>24</v>
      </c>
      <c r="D1403" t="s">
        <v>16</v>
      </c>
      <c r="E1403" t="s">
        <v>27</v>
      </c>
      <c r="F1403">
        <v>17281</v>
      </c>
      <c r="G1403">
        <v>793</v>
      </c>
      <c r="H1403">
        <v>4.5900000000000003E-2</v>
      </c>
      <c r="I1403">
        <v>1.18</v>
      </c>
      <c r="J1403">
        <v>935.74</v>
      </c>
      <c r="K1403">
        <v>46</v>
      </c>
      <c r="L1403">
        <v>20.34</v>
      </c>
      <c r="M1403">
        <v>12594.97</v>
      </c>
      <c r="N1403">
        <v>13.46</v>
      </c>
    </row>
    <row r="1404" spans="1:14" x14ac:dyDescent="0.25">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row>
    <row r="1405" spans="1:14" x14ac:dyDescent="0.25">
      <c r="A1405" s="1">
        <v>45605</v>
      </c>
      <c r="B1405" t="s">
        <v>14</v>
      </c>
      <c r="C1405" t="s">
        <v>24</v>
      </c>
      <c r="D1405" t="s">
        <v>19</v>
      </c>
      <c r="E1405" t="s">
        <v>23</v>
      </c>
      <c r="F1405">
        <v>52083</v>
      </c>
      <c r="G1405">
        <v>2781</v>
      </c>
      <c r="H1405">
        <v>5.3400000000000003E-2</v>
      </c>
      <c r="I1405">
        <v>2.64</v>
      </c>
      <c r="J1405">
        <v>7341.84</v>
      </c>
      <c r="K1405">
        <v>160</v>
      </c>
      <c r="L1405">
        <v>45.89</v>
      </c>
      <c r="M1405">
        <v>39686.47</v>
      </c>
      <c r="N1405">
        <v>5.41</v>
      </c>
    </row>
    <row r="1406" spans="1:14" x14ac:dyDescent="0.25">
      <c r="A1406" s="1">
        <v>45628</v>
      </c>
      <c r="B1406" t="s">
        <v>14</v>
      </c>
      <c r="C1406" t="s">
        <v>21</v>
      </c>
      <c r="D1406" t="s">
        <v>30</v>
      </c>
      <c r="E1406" t="s">
        <v>17</v>
      </c>
      <c r="F1406">
        <v>110109</v>
      </c>
      <c r="G1406">
        <v>2378</v>
      </c>
      <c r="H1406">
        <v>2.1600000000000001E-2</v>
      </c>
      <c r="I1406">
        <v>3.19</v>
      </c>
      <c r="J1406">
        <v>7585.82</v>
      </c>
      <c r="K1406">
        <v>41</v>
      </c>
      <c r="L1406">
        <v>185.02</v>
      </c>
      <c r="M1406">
        <v>6931.99</v>
      </c>
      <c r="N1406">
        <v>0.91</v>
      </c>
    </row>
    <row r="1407" spans="1:14" x14ac:dyDescent="0.25">
      <c r="A1407" s="1">
        <v>45499</v>
      </c>
      <c r="B1407" t="s">
        <v>18</v>
      </c>
      <c r="C1407" t="s">
        <v>29</v>
      </c>
      <c r="D1407" t="s">
        <v>16</v>
      </c>
      <c r="E1407" t="s">
        <v>27</v>
      </c>
      <c r="F1407">
        <v>73743</v>
      </c>
      <c r="G1407">
        <v>1991</v>
      </c>
      <c r="H1407">
        <v>2.7E-2</v>
      </c>
      <c r="I1407">
        <v>1.77</v>
      </c>
      <c r="J1407">
        <v>3524.07</v>
      </c>
      <c r="K1407">
        <v>155</v>
      </c>
      <c r="L1407">
        <v>22.74</v>
      </c>
      <c r="M1407">
        <v>29721.14</v>
      </c>
      <c r="N1407">
        <v>8.43</v>
      </c>
    </row>
    <row r="1408" spans="1:14" x14ac:dyDescent="0.25">
      <c r="A1408" s="1">
        <v>45501</v>
      </c>
      <c r="B1408" t="s">
        <v>14</v>
      </c>
      <c r="C1408" t="s">
        <v>24</v>
      </c>
      <c r="D1408" t="s">
        <v>22</v>
      </c>
      <c r="E1408" t="s">
        <v>32</v>
      </c>
      <c r="F1408">
        <v>79189</v>
      </c>
      <c r="G1408">
        <v>4315</v>
      </c>
      <c r="H1408">
        <v>5.45E-2</v>
      </c>
      <c r="I1408">
        <v>0.92</v>
      </c>
      <c r="J1408">
        <v>3969.8</v>
      </c>
      <c r="K1408">
        <v>197</v>
      </c>
      <c r="L1408">
        <v>20.149999999999999</v>
      </c>
      <c r="M1408">
        <v>21995.7</v>
      </c>
      <c r="N1408">
        <v>5.54</v>
      </c>
    </row>
    <row r="1409" spans="1:14" x14ac:dyDescent="0.25">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row>
    <row r="1410" spans="1:14" x14ac:dyDescent="0.25">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row>
    <row r="1411" spans="1:14" x14ac:dyDescent="0.25">
      <c r="A1411" s="1">
        <v>45603</v>
      </c>
      <c r="B1411" t="s">
        <v>28</v>
      </c>
      <c r="C1411" t="s">
        <v>21</v>
      </c>
      <c r="D1411" t="s">
        <v>25</v>
      </c>
      <c r="E1411" t="s">
        <v>32</v>
      </c>
      <c r="F1411">
        <v>107299</v>
      </c>
      <c r="G1411">
        <v>2585</v>
      </c>
      <c r="H1411">
        <v>2.41E-2</v>
      </c>
      <c r="I1411">
        <v>1.32</v>
      </c>
      <c r="J1411">
        <v>3412.2</v>
      </c>
      <c r="K1411">
        <v>110</v>
      </c>
      <c r="L1411">
        <v>31.02</v>
      </c>
      <c r="M1411">
        <v>23820.26</v>
      </c>
      <c r="N1411">
        <v>6.98</v>
      </c>
    </row>
    <row r="1412" spans="1:14" x14ac:dyDescent="0.25">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row>
    <row r="1413" spans="1:14" x14ac:dyDescent="0.25">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row>
    <row r="1414" spans="1:14" x14ac:dyDescent="0.25">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row>
    <row r="1415" spans="1:14" x14ac:dyDescent="0.25">
      <c r="A1415" s="1">
        <v>45631</v>
      </c>
      <c r="B1415" t="s">
        <v>14</v>
      </c>
      <c r="C1415" t="s">
        <v>21</v>
      </c>
      <c r="D1415" t="s">
        <v>16</v>
      </c>
      <c r="E1415" t="s">
        <v>20</v>
      </c>
      <c r="F1415">
        <v>160816</v>
      </c>
      <c r="G1415">
        <v>9745</v>
      </c>
      <c r="H1415">
        <v>6.0600000000000001E-2</v>
      </c>
      <c r="I1415">
        <v>1.22</v>
      </c>
      <c r="J1415">
        <v>11888.9</v>
      </c>
      <c r="K1415">
        <v>553</v>
      </c>
      <c r="L1415">
        <v>21.5</v>
      </c>
      <c r="M1415">
        <v>62922.41</v>
      </c>
      <c r="N1415">
        <v>5.29</v>
      </c>
    </row>
    <row r="1416" spans="1:14" x14ac:dyDescent="0.25">
      <c r="A1416" s="1">
        <v>45537</v>
      </c>
      <c r="B1416" t="s">
        <v>14</v>
      </c>
      <c r="C1416" t="s">
        <v>29</v>
      </c>
      <c r="D1416" t="s">
        <v>22</v>
      </c>
      <c r="E1416" t="s">
        <v>20</v>
      </c>
      <c r="F1416">
        <v>23904</v>
      </c>
      <c r="G1416">
        <v>609</v>
      </c>
      <c r="H1416">
        <v>2.5499999999999998E-2</v>
      </c>
      <c r="I1416">
        <v>1.66</v>
      </c>
      <c r="J1416">
        <v>1010.94</v>
      </c>
      <c r="K1416">
        <v>35</v>
      </c>
      <c r="L1416">
        <v>28.88</v>
      </c>
      <c r="M1416">
        <v>7211.31</v>
      </c>
      <c r="N1416">
        <v>7.13</v>
      </c>
    </row>
    <row r="1417" spans="1:14" x14ac:dyDescent="0.25">
      <c r="A1417" s="1">
        <v>45656</v>
      </c>
      <c r="B1417" t="s">
        <v>28</v>
      </c>
      <c r="C1417" t="s">
        <v>29</v>
      </c>
      <c r="D1417" t="s">
        <v>25</v>
      </c>
      <c r="E1417" t="s">
        <v>23</v>
      </c>
      <c r="F1417">
        <v>60448</v>
      </c>
      <c r="G1417">
        <v>1493</v>
      </c>
      <c r="H1417">
        <v>2.47E-2</v>
      </c>
      <c r="I1417">
        <v>2.29</v>
      </c>
      <c r="J1417">
        <v>3418.97</v>
      </c>
      <c r="K1417">
        <v>89</v>
      </c>
      <c r="L1417">
        <v>38.42</v>
      </c>
      <c r="M1417">
        <v>24577.78</v>
      </c>
      <c r="N1417">
        <v>7.19</v>
      </c>
    </row>
    <row r="1418" spans="1:14" x14ac:dyDescent="0.25">
      <c r="A1418" s="1">
        <v>45528</v>
      </c>
      <c r="B1418" t="s">
        <v>18</v>
      </c>
      <c r="C1418" t="s">
        <v>21</v>
      </c>
      <c r="D1418" t="s">
        <v>16</v>
      </c>
      <c r="E1418" t="s">
        <v>17</v>
      </c>
      <c r="F1418">
        <v>138332</v>
      </c>
      <c r="G1418">
        <v>9558</v>
      </c>
      <c r="H1418">
        <v>6.9099999999999995E-2</v>
      </c>
      <c r="I1418">
        <v>0.35</v>
      </c>
      <c r="J1418">
        <v>3345.3</v>
      </c>
      <c r="K1418">
        <v>195</v>
      </c>
      <c r="L1418">
        <v>17.16</v>
      </c>
      <c r="M1418">
        <v>26087.06</v>
      </c>
      <c r="N1418">
        <v>7.8</v>
      </c>
    </row>
    <row r="1419" spans="1:14" x14ac:dyDescent="0.25">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row>
    <row r="1420" spans="1:14" x14ac:dyDescent="0.25">
      <c r="A1420" s="1">
        <v>45338</v>
      </c>
      <c r="B1420" t="s">
        <v>14</v>
      </c>
      <c r="C1420" t="s">
        <v>21</v>
      </c>
      <c r="D1420" t="s">
        <v>30</v>
      </c>
      <c r="E1420" t="s">
        <v>26</v>
      </c>
      <c r="F1420">
        <v>180069</v>
      </c>
      <c r="G1420">
        <v>5780</v>
      </c>
      <c r="H1420">
        <v>3.2099999999999997E-2</v>
      </c>
      <c r="I1420">
        <v>1.47</v>
      </c>
      <c r="J1420">
        <v>8496.6</v>
      </c>
      <c r="K1420">
        <v>272</v>
      </c>
      <c r="L1420">
        <v>31.24</v>
      </c>
      <c r="M1420">
        <v>74348.97</v>
      </c>
      <c r="N1420">
        <v>8.75</v>
      </c>
    </row>
    <row r="1421" spans="1:14" x14ac:dyDescent="0.25">
      <c r="A1421" s="1">
        <v>45562</v>
      </c>
      <c r="B1421" t="s">
        <v>28</v>
      </c>
      <c r="C1421" t="s">
        <v>24</v>
      </c>
      <c r="D1421" t="s">
        <v>16</v>
      </c>
      <c r="E1421" t="s">
        <v>23</v>
      </c>
      <c r="F1421">
        <v>155354</v>
      </c>
      <c r="G1421">
        <v>3371</v>
      </c>
      <c r="H1421">
        <v>2.1700000000000001E-2</v>
      </c>
      <c r="I1421">
        <v>1.27</v>
      </c>
      <c r="J1421">
        <v>4281.17</v>
      </c>
      <c r="K1421">
        <v>100</v>
      </c>
      <c r="L1421">
        <v>42.81</v>
      </c>
      <c r="M1421">
        <v>7916.95</v>
      </c>
      <c r="N1421">
        <v>1.85</v>
      </c>
    </row>
    <row r="1422" spans="1:14" x14ac:dyDescent="0.25">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row>
    <row r="1423" spans="1:14" x14ac:dyDescent="0.25">
      <c r="A1423" s="1">
        <v>45302</v>
      </c>
      <c r="B1423" t="s">
        <v>18</v>
      </c>
      <c r="C1423" t="s">
        <v>29</v>
      </c>
      <c r="D1423" t="s">
        <v>16</v>
      </c>
      <c r="E1423" t="s">
        <v>20</v>
      </c>
      <c r="F1423">
        <v>146587</v>
      </c>
      <c r="G1423">
        <v>5995</v>
      </c>
      <c r="H1423">
        <v>4.0899999999999999E-2</v>
      </c>
      <c r="I1423">
        <v>1.52</v>
      </c>
      <c r="J1423">
        <v>9112.4</v>
      </c>
      <c r="K1423">
        <v>161</v>
      </c>
      <c r="L1423">
        <v>56.6</v>
      </c>
      <c r="M1423">
        <v>27684.26</v>
      </c>
      <c r="N1423">
        <v>3.04</v>
      </c>
    </row>
    <row r="1424" spans="1:14" x14ac:dyDescent="0.25">
      <c r="A1424" s="1">
        <v>45380</v>
      </c>
      <c r="B1424" t="s">
        <v>14</v>
      </c>
      <c r="C1424" t="s">
        <v>29</v>
      </c>
      <c r="D1424" t="s">
        <v>22</v>
      </c>
      <c r="E1424" t="s">
        <v>23</v>
      </c>
      <c r="F1424">
        <v>79843</v>
      </c>
      <c r="G1424">
        <v>2427</v>
      </c>
      <c r="H1424">
        <v>3.04E-2</v>
      </c>
      <c r="I1424">
        <v>1.43</v>
      </c>
      <c r="J1424">
        <v>3470.61</v>
      </c>
      <c r="K1424">
        <v>127</v>
      </c>
      <c r="L1424">
        <v>27.33</v>
      </c>
      <c r="M1424">
        <v>27833.99</v>
      </c>
      <c r="N1424">
        <v>8.02</v>
      </c>
    </row>
    <row r="1425" spans="1:14" x14ac:dyDescent="0.25">
      <c r="A1425" s="1">
        <v>45576</v>
      </c>
      <c r="B1425" t="s">
        <v>28</v>
      </c>
      <c r="C1425" t="s">
        <v>21</v>
      </c>
      <c r="D1425" t="s">
        <v>25</v>
      </c>
      <c r="E1425" t="s">
        <v>27</v>
      </c>
      <c r="F1425">
        <v>128245</v>
      </c>
      <c r="G1425">
        <v>2949</v>
      </c>
      <c r="H1425">
        <v>2.3E-2</v>
      </c>
      <c r="I1425">
        <v>1.59</v>
      </c>
      <c r="J1425">
        <v>4688.91</v>
      </c>
      <c r="K1425">
        <v>85</v>
      </c>
      <c r="L1425">
        <v>55.16</v>
      </c>
      <c r="M1425">
        <v>8616.7199999999993</v>
      </c>
      <c r="N1425">
        <v>1.84</v>
      </c>
    </row>
    <row r="1426" spans="1:14" x14ac:dyDescent="0.25">
      <c r="A1426" s="1">
        <v>45561</v>
      </c>
      <c r="B1426" t="s">
        <v>14</v>
      </c>
      <c r="C1426" t="s">
        <v>24</v>
      </c>
      <c r="D1426" t="s">
        <v>16</v>
      </c>
      <c r="E1426" t="s">
        <v>32</v>
      </c>
      <c r="F1426">
        <v>161252</v>
      </c>
      <c r="G1426">
        <v>8046</v>
      </c>
      <c r="H1426">
        <v>4.99E-2</v>
      </c>
      <c r="I1426">
        <v>3.05</v>
      </c>
      <c r="J1426">
        <v>24540.3</v>
      </c>
      <c r="K1426">
        <v>550</v>
      </c>
      <c r="L1426">
        <v>44.62</v>
      </c>
      <c r="M1426">
        <v>130994.6</v>
      </c>
      <c r="N1426">
        <v>5.34</v>
      </c>
    </row>
    <row r="1427" spans="1:14" x14ac:dyDescent="0.25">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row>
    <row r="1428" spans="1:14" x14ac:dyDescent="0.25">
      <c r="A1428" s="1">
        <v>45436</v>
      </c>
      <c r="B1428" t="s">
        <v>28</v>
      </c>
      <c r="C1428" t="s">
        <v>21</v>
      </c>
      <c r="D1428" t="s">
        <v>25</v>
      </c>
      <c r="E1428" t="s">
        <v>26</v>
      </c>
      <c r="F1428">
        <v>22139</v>
      </c>
      <c r="G1428">
        <v>458</v>
      </c>
      <c r="H1428">
        <v>2.07E-2</v>
      </c>
      <c r="I1428">
        <v>0.43</v>
      </c>
      <c r="J1428">
        <v>196.94</v>
      </c>
      <c r="K1428">
        <v>8</v>
      </c>
      <c r="L1428">
        <v>24.62</v>
      </c>
      <c r="M1428">
        <v>2367.39</v>
      </c>
      <c r="N1428">
        <v>12.02</v>
      </c>
    </row>
    <row r="1429" spans="1:14" x14ac:dyDescent="0.25">
      <c r="A1429" s="1">
        <v>45399</v>
      </c>
      <c r="B1429" t="s">
        <v>28</v>
      </c>
      <c r="C1429" t="s">
        <v>24</v>
      </c>
      <c r="D1429" t="s">
        <v>25</v>
      </c>
      <c r="E1429" t="s">
        <v>31</v>
      </c>
      <c r="F1429">
        <v>30618</v>
      </c>
      <c r="G1429">
        <v>719</v>
      </c>
      <c r="H1429">
        <v>2.35E-2</v>
      </c>
      <c r="I1429">
        <v>1.27</v>
      </c>
      <c r="J1429">
        <v>913.13</v>
      </c>
      <c r="K1429">
        <v>40</v>
      </c>
      <c r="L1429">
        <v>22.83</v>
      </c>
      <c r="M1429">
        <v>6289.61</v>
      </c>
      <c r="N1429">
        <v>6.89</v>
      </c>
    </row>
    <row r="1430" spans="1:14" x14ac:dyDescent="0.25">
      <c r="A1430" s="1">
        <v>45638</v>
      </c>
      <c r="B1430" t="s">
        <v>14</v>
      </c>
      <c r="C1430" t="s">
        <v>15</v>
      </c>
      <c r="D1430" t="s">
        <v>22</v>
      </c>
      <c r="E1430" t="s">
        <v>27</v>
      </c>
      <c r="F1430">
        <v>78606</v>
      </c>
      <c r="G1430">
        <v>3914</v>
      </c>
      <c r="H1430">
        <v>4.9799999999999997E-2</v>
      </c>
      <c r="I1430">
        <v>1.23</v>
      </c>
      <c r="J1430">
        <v>4814.22</v>
      </c>
      <c r="K1430">
        <v>88</v>
      </c>
      <c r="L1430">
        <v>54.71</v>
      </c>
      <c r="M1430">
        <v>6101.96</v>
      </c>
      <c r="N1430">
        <v>1.27</v>
      </c>
    </row>
    <row r="1431" spans="1:14" x14ac:dyDescent="0.25">
      <c r="A1431" s="1">
        <v>45344</v>
      </c>
      <c r="B1431" t="s">
        <v>14</v>
      </c>
      <c r="C1431" t="s">
        <v>29</v>
      </c>
      <c r="D1431" t="s">
        <v>25</v>
      </c>
      <c r="E1431" t="s">
        <v>26</v>
      </c>
      <c r="F1431">
        <v>31885</v>
      </c>
      <c r="G1431">
        <v>1613</v>
      </c>
      <c r="H1431">
        <v>5.0599999999999999E-2</v>
      </c>
      <c r="I1431">
        <v>1.01</v>
      </c>
      <c r="J1431">
        <v>1629.13</v>
      </c>
      <c r="K1431">
        <v>67</v>
      </c>
      <c r="L1431">
        <v>24.32</v>
      </c>
      <c r="M1431">
        <v>19023.45</v>
      </c>
      <c r="N1431">
        <v>11.68</v>
      </c>
    </row>
    <row r="1432" spans="1:14" x14ac:dyDescent="0.25">
      <c r="A1432" s="1">
        <v>45522</v>
      </c>
      <c r="B1432" t="s">
        <v>18</v>
      </c>
      <c r="C1432" t="s">
        <v>24</v>
      </c>
      <c r="D1432" t="s">
        <v>19</v>
      </c>
      <c r="E1432" t="s">
        <v>27</v>
      </c>
      <c r="F1432">
        <v>11713</v>
      </c>
      <c r="G1432">
        <v>334</v>
      </c>
      <c r="H1432">
        <v>2.86E-2</v>
      </c>
      <c r="I1432">
        <v>1.46</v>
      </c>
      <c r="J1432">
        <v>487.64</v>
      </c>
      <c r="K1432">
        <v>13</v>
      </c>
      <c r="L1432">
        <v>37.51</v>
      </c>
      <c r="M1432">
        <v>2344.33</v>
      </c>
      <c r="N1432">
        <v>4.8099999999999996</v>
      </c>
    </row>
    <row r="1433" spans="1:14" x14ac:dyDescent="0.25">
      <c r="A1433" s="1">
        <v>45386</v>
      </c>
      <c r="B1433" t="s">
        <v>28</v>
      </c>
      <c r="C1433" t="s">
        <v>24</v>
      </c>
      <c r="D1433" t="s">
        <v>30</v>
      </c>
      <c r="E1433" t="s">
        <v>20</v>
      </c>
      <c r="F1433">
        <v>26637</v>
      </c>
      <c r="G1433">
        <v>479</v>
      </c>
      <c r="H1433">
        <v>1.7999999999999999E-2</v>
      </c>
      <c r="I1433">
        <v>0.83</v>
      </c>
      <c r="J1433">
        <v>397.57</v>
      </c>
      <c r="K1433">
        <v>35</v>
      </c>
      <c r="L1433">
        <v>11.36</v>
      </c>
      <c r="M1433">
        <v>1488.52</v>
      </c>
      <c r="N1433">
        <v>3.74</v>
      </c>
    </row>
    <row r="1434" spans="1:14" x14ac:dyDescent="0.25">
      <c r="A1434" s="1">
        <v>45503</v>
      </c>
      <c r="B1434" t="s">
        <v>14</v>
      </c>
      <c r="C1434" t="s">
        <v>29</v>
      </c>
      <c r="D1434" t="s">
        <v>19</v>
      </c>
      <c r="E1434" t="s">
        <v>31</v>
      </c>
      <c r="F1434">
        <v>44387</v>
      </c>
      <c r="G1434">
        <v>1886</v>
      </c>
      <c r="H1434">
        <v>4.2500000000000003E-2</v>
      </c>
      <c r="I1434">
        <v>2.81</v>
      </c>
      <c r="J1434">
        <v>5299.66</v>
      </c>
      <c r="K1434">
        <v>112</v>
      </c>
      <c r="L1434">
        <v>47.32</v>
      </c>
      <c r="M1434">
        <v>16115.2</v>
      </c>
      <c r="N1434">
        <v>3.04</v>
      </c>
    </row>
    <row r="1435" spans="1:14" x14ac:dyDescent="0.25">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row>
    <row r="1436" spans="1:14" x14ac:dyDescent="0.25">
      <c r="A1436" s="1">
        <v>45559</v>
      </c>
      <c r="B1436" t="s">
        <v>18</v>
      </c>
      <c r="C1436" t="s">
        <v>15</v>
      </c>
      <c r="D1436" t="s">
        <v>19</v>
      </c>
      <c r="E1436" t="s">
        <v>20</v>
      </c>
      <c r="F1436">
        <v>31727</v>
      </c>
      <c r="G1436">
        <v>2233</v>
      </c>
      <c r="H1436">
        <v>7.0400000000000004E-2</v>
      </c>
      <c r="I1436">
        <v>0.46</v>
      </c>
      <c r="J1436">
        <v>1027.18</v>
      </c>
      <c r="K1436">
        <v>74</v>
      </c>
      <c r="L1436">
        <v>13.88</v>
      </c>
      <c r="M1436">
        <v>9946.57</v>
      </c>
      <c r="N1436">
        <v>9.68</v>
      </c>
    </row>
    <row r="1437" spans="1:14" x14ac:dyDescent="0.25">
      <c r="A1437" s="1">
        <v>45527</v>
      </c>
      <c r="B1437" t="s">
        <v>28</v>
      </c>
      <c r="C1437" t="s">
        <v>24</v>
      </c>
      <c r="D1437" t="s">
        <v>25</v>
      </c>
      <c r="E1437" t="s">
        <v>26</v>
      </c>
      <c r="F1437">
        <v>154676</v>
      </c>
      <c r="G1437">
        <v>1624</v>
      </c>
      <c r="H1437">
        <v>1.0500000000000001E-2</v>
      </c>
      <c r="I1437">
        <v>1.69</v>
      </c>
      <c r="J1437">
        <v>2744.56</v>
      </c>
      <c r="K1437">
        <v>26</v>
      </c>
      <c r="L1437">
        <v>105.56</v>
      </c>
      <c r="M1437">
        <v>1813.36</v>
      </c>
      <c r="N1437">
        <v>0.66</v>
      </c>
    </row>
    <row r="1438" spans="1:14" x14ac:dyDescent="0.25">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row>
    <row r="1439" spans="1:14" x14ac:dyDescent="0.25">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row>
    <row r="1440" spans="1:14" x14ac:dyDescent="0.25">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row>
    <row r="1441" spans="1:14" x14ac:dyDescent="0.25">
      <c r="A1441" s="1">
        <v>45345</v>
      </c>
      <c r="B1441" t="s">
        <v>14</v>
      </c>
      <c r="C1441" t="s">
        <v>15</v>
      </c>
      <c r="D1441" t="s">
        <v>16</v>
      </c>
      <c r="E1441" t="s">
        <v>23</v>
      </c>
      <c r="F1441">
        <v>21198</v>
      </c>
      <c r="G1441">
        <v>703</v>
      </c>
      <c r="H1441">
        <v>3.32E-2</v>
      </c>
      <c r="I1441">
        <v>1.96</v>
      </c>
      <c r="J1441">
        <v>1377.88</v>
      </c>
      <c r="K1441">
        <v>28</v>
      </c>
      <c r="L1441">
        <v>49.21</v>
      </c>
      <c r="M1441">
        <v>6226.83</v>
      </c>
      <c r="N1441">
        <v>4.5199999999999996</v>
      </c>
    </row>
    <row r="1442" spans="1:14" x14ac:dyDescent="0.25">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row>
    <row r="1443" spans="1:14" x14ac:dyDescent="0.25">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row>
    <row r="1444" spans="1:14" x14ac:dyDescent="0.25">
      <c r="A1444" s="1">
        <v>45366</v>
      </c>
      <c r="B1444" t="s">
        <v>14</v>
      </c>
      <c r="C1444" t="s">
        <v>29</v>
      </c>
      <c r="D1444" t="s">
        <v>22</v>
      </c>
      <c r="E1444" t="s">
        <v>31</v>
      </c>
      <c r="F1444">
        <v>157270</v>
      </c>
      <c r="G1444">
        <v>5535</v>
      </c>
      <c r="H1444">
        <v>3.5200000000000002E-2</v>
      </c>
      <c r="I1444">
        <v>1</v>
      </c>
      <c r="J1444">
        <v>5535</v>
      </c>
      <c r="K1444">
        <v>356</v>
      </c>
      <c r="L1444">
        <v>15.55</v>
      </c>
      <c r="M1444">
        <v>86412.59</v>
      </c>
      <c r="N1444">
        <v>15.61</v>
      </c>
    </row>
    <row r="1445" spans="1:14" x14ac:dyDescent="0.25">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row>
    <row r="1446" spans="1:14" x14ac:dyDescent="0.25">
      <c r="A1446" s="1">
        <v>45378</v>
      </c>
      <c r="B1446" t="s">
        <v>28</v>
      </c>
      <c r="C1446" t="s">
        <v>21</v>
      </c>
      <c r="D1446" t="s">
        <v>16</v>
      </c>
      <c r="E1446" t="s">
        <v>26</v>
      </c>
      <c r="F1446">
        <v>94786</v>
      </c>
      <c r="G1446">
        <v>2682</v>
      </c>
      <c r="H1446">
        <v>2.8299999999999999E-2</v>
      </c>
      <c r="I1446">
        <v>1.5</v>
      </c>
      <c r="J1446">
        <v>4023</v>
      </c>
      <c r="K1446">
        <v>155</v>
      </c>
      <c r="L1446">
        <v>25.95</v>
      </c>
      <c r="M1446">
        <v>6510.51</v>
      </c>
      <c r="N1446">
        <v>1.62</v>
      </c>
    </row>
    <row r="1447" spans="1:14" x14ac:dyDescent="0.25">
      <c r="A1447" s="1">
        <v>45407</v>
      </c>
      <c r="B1447" t="s">
        <v>28</v>
      </c>
      <c r="C1447" t="s">
        <v>29</v>
      </c>
      <c r="D1447" t="s">
        <v>30</v>
      </c>
      <c r="E1447" t="s">
        <v>32</v>
      </c>
      <c r="F1447">
        <v>144895</v>
      </c>
      <c r="G1447">
        <v>2158</v>
      </c>
      <c r="H1447">
        <v>1.49E-2</v>
      </c>
      <c r="I1447">
        <v>1.92</v>
      </c>
      <c r="J1447">
        <v>4143.3599999999997</v>
      </c>
      <c r="K1447">
        <v>151</v>
      </c>
      <c r="L1447">
        <v>27.44</v>
      </c>
      <c r="M1447">
        <v>25541.81</v>
      </c>
      <c r="N1447">
        <v>6.16</v>
      </c>
    </row>
    <row r="1448" spans="1:14" x14ac:dyDescent="0.25">
      <c r="A1448" s="1">
        <v>45636</v>
      </c>
      <c r="B1448" t="s">
        <v>28</v>
      </c>
      <c r="C1448" t="s">
        <v>29</v>
      </c>
      <c r="D1448" t="s">
        <v>16</v>
      </c>
      <c r="E1448" t="s">
        <v>26</v>
      </c>
      <c r="F1448">
        <v>57996</v>
      </c>
      <c r="G1448">
        <v>1705</v>
      </c>
      <c r="H1448">
        <v>2.9399999999999999E-2</v>
      </c>
      <c r="I1448">
        <v>2.04</v>
      </c>
      <c r="J1448">
        <v>3478.2</v>
      </c>
      <c r="K1448">
        <v>127</v>
      </c>
      <c r="L1448">
        <v>27.39</v>
      </c>
      <c r="M1448">
        <v>26935.06</v>
      </c>
      <c r="N1448">
        <v>7.74</v>
      </c>
    </row>
    <row r="1449" spans="1:14" x14ac:dyDescent="0.25">
      <c r="A1449" s="1">
        <v>45537</v>
      </c>
      <c r="B1449" t="s">
        <v>14</v>
      </c>
      <c r="C1449" t="s">
        <v>24</v>
      </c>
      <c r="D1449" t="s">
        <v>22</v>
      </c>
      <c r="E1449" t="s">
        <v>27</v>
      </c>
      <c r="F1449">
        <v>154631</v>
      </c>
      <c r="G1449">
        <v>4793</v>
      </c>
      <c r="H1449">
        <v>3.1E-2</v>
      </c>
      <c r="I1449">
        <v>3.14</v>
      </c>
      <c r="J1449">
        <v>15050.02</v>
      </c>
      <c r="K1449">
        <v>155</v>
      </c>
      <c r="L1449">
        <v>97.1</v>
      </c>
      <c r="M1449">
        <v>15403.3</v>
      </c>
      <c r="N1449">
        <v>1.02</v>
      </c>
    </row>
    <row r="1450" spans="1:14" x14ac:dyDescent="0.25">
      <c r="A1450" s="1">
        <v>45350</v>
      </c>
      <c r="B1450" t="s">
        <v>28</v>
      </c>
      <c r="C1450" t="s">
        <v>21</v>
      </c>
      <c r="D1450" t="s">
        <v>25</v>
      </c>
      <c r="E1450" t="s">
        <v>26</v>
      </c>
      <c r="F1450">
        <v>56209</v>
      </c>
      <c r="G1450">
        <v>1405</v>
      </c>
      <c r="H1450">
        <v>2.5000000000000001E-2</v>
      </c>
      <c r="I1450">
        <v>2.39</v>
      </c>
      <c r="J1450">
        <v>3357.95</v>
      </c>
      <c r="K1450">
        <v>94</v>
      </c>
      <c r="L1450">
        <v>35.72</v>
      </c>
      <c r="M1450">
        <v>20195.05</v>
      </c>
      <c r="N1450">
        <v>6.01</v>
      </c>
    </row>
    <row r="1451" spans="1:14" x14ac:dyDescent="0.25">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row>
    <row r="1452" spans="1:14" x14ac:dyDescent="0.25">
      <c r="A1452" s="1">
        <v>45545</v>
      </c>
      <c r="B1452" t="s">
        <v>14</v>
      </c>
      <c r="C1452" t="s">
        <v>21</v>
      </c>
      <c r="D1452" t="s">
        <v>16</v>
      </c>
      <c r="E1452" t="s">
        <v>31</v>
      </c>
      <c r="F1452">
        <v>46583</v>
      </c>
      <c r="G1452">
        <v>2319</v>
      </c>
      <c r="H1452">
        <v>4.9799999999999997E-2</v>
      </c>
      <c r="I1452">
        <v>2.76</v>
      </c>
      <c r="J1452">
        <v>6400.44</v>
      </c>
      <c r="K1452">
        <v>50</v>
      </c>
      <c r="L1452">
        <v>128.01</v>
      </c>
      <c r="M1452">
        <v>11413.39</v>
      </c>
      <c r="N1452">
        <v>1.78</v>
      </c>
    </row>
    <row r="1453" spans="1:14" x14ac:dyDescent="0.25">
      <c r="A1453" s="1">
        <v>45360</v>
      </c>
      <c r="B1453" t="s">
        <v>28</v>
      </c>
      <c r="C1453" t="s">
        <v>29</v>
      </c>
      <c r="D1453" t="s">
        <v>30</v>
      </c>
      <c r="E1453" t="s">
        <v>27</v>
      </c>
      <c r="F1453">
        <v>17438</v>
      </c>
      <c r="G1453">
        <v>371</v>
      </c>
      <c r="H1453">
        <v>2.1299999999999999E-2</v>
      </c>
      <c r="I1453">
        <v>1.63</v>
      </c>
      <c r="J1453">
        <v>604.73</v>
      </c>
      <c r="K1453">
        <v>19</v>
      </c>
      <c r="L1453">
        <v>31.83</v>
      </c>
      <c r="M1453">
        <v>902.7</v>
      </c>
      <c r="N1453">
        <v>1.49</v>
      </c>
    </row>
    <row r="1454" spans="1:14" x14ac:dyDescent="0.25">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row>
    <row r="1455" spans="1:14" x14ac:dyDescent="0.25">
      <c r="A1455" s="1">
        <v>45543</v>
      </c>
      <c r="B1455" t="s">
        <v>28</v>
      </c>
      <c r="C1455" t="s">
        <v>24</v>
      </c>
      <c r="D1455" t="s">
        <v>19</v>
      </c>
      <c r="E1455" t="s">
        <v>26</v>
      </c>
      <c r="F1455">
        <v>151730</v>
      </c>
      <c r="G1455">
        <v>2063</v>
      </c>
      <c r="H1455">
        <v>1.3599999999999999E-2</v>
      </c>
      <c r="I1455">
        <v>0.74</v>
      </c>
      <c r="J1455">
        <v>1526.62</v>
      </c>
      <c r="K1455">
        <v>32</v>
      </c>
      <c r="L1455">
        <v>47.71</v>
      </c>
      <c r="M1455">
        <v>6146.93</v>
      </c>
      <c r="N1455">
        <v>4.03</v>
      </c>
    </row>
    <row r="1456" spans="1:14" x14ac:dyDescent="0.25">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row>
    <row r="1457" spans="1:14" x14ac:dyDescent="0.25">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row>
    <row r="1458" spans="1:14" x14ac:dyDescent="0.25">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row>
    <row r="1459" spans="1:14" x14ac:dyDescent="0.25">
      <c r="A1459" s="1">
        <v>45356</v>
      </c>
      <c r="B1459" t="s">
        <v>28</v>
      </c>
      <c r="C1459" t="s">
        <v>15</v>
      </c>
      <c r="D1459" t="s">
        <v>22</v>
      </c>
      <c r="E1459" t="s">
        <v>23</v>
      </c>
      <c r="F1459">
        <v>88904</v>
      </c>
      <c r="G1459">
        <v>1724</v>
      </c>
      <c r="H1459">
        <v>1.9400000000000001E-2</v>
      </c>
      <c r="I1459">
        <v>1</v>
      </c>
      <c r="J1459">
        <v>1724</v>
      </c>
      <c r="K1459">
        <v>59</v>
      </c>
      <c r="L1459">
        <v>29.22</v>
      </c>
      <c r="M1459">
        <v>8894.16</v>
      </c>
      <c r="N1459">
        <v>5.16</v>
      </c>
    </row>
    <row r="1460" spans="1:14" x14ac:dyDescent="0.25">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row>
    <row r="1461" spans="1:14" x14ac:dyDescent="0.25">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row>
    <row r="1462" spans="1:14" x14ac:dyDescent="0.25">
      <c r="A1462" s="1">
        <v>45393</v>
      </c>
      <c r="B1462" t="s">
        <v>28</v>
      </c>
      <c r="C1462" t="s">
        <v>21</v>
      </c>
      <c r="D1462" t="s">
        <v>16</v>
      </c>
      <c r="E1462" t="s">
        <v>23</v>
      </c>
      <c r="F1462">
        <v>5209</v>
      </c>
      <c r="G1462">
        <v>198</v>
      </c>
      <c r="H1462">
        <v>3.8100000000000002E-2</v>
      </c>
      <c r="I1462">
        <v>0.7</v>
      </c>
      <c r="J1462">
        <v>138.6</v>
      </c>
      <c r="K1462">
        <v>3</v>
      </c>
      <c r="L1462">
        <v>46.2</v>
      </c>
      <c r="M1462">
        <v>490.6</v>
      </c>
      <c r="N1462">
        <v>3.54</v>
      </c>
    </row>
    <row r="1463" spans="1:14" x14ac:dyDescent="0.25">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row>
    <row r="1464" spans="1:14" x14ac:dyDescent="0.25">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row>
    <row r="1465" spans="1:14" x14ac:dyDescent="0.25">
      <c r="A1465" s="1">
        <v>45321</v>
      </c>
      <c r="B1465" t="s">
        <v>14</v>
      </c>
      <c r="C1465" t="s">
        <v>21</v>
      </c>
      <c r="D1465" t="s">
        <v>25</v>
      </c>
      <c r="E1465" t="s">
        <v>32</v>
      </c>
      <c r="F1465">
        <v>89052</v>
      </c>
      <c r="G1465">
        <v>2591</v>
      </c>
      <c r="H1465">
        <v>2.9100000000000001E-2</v>
      </c>
      <c r="I1465">
        <v>3.66</v>
      </c>
      <c r="J1465">
        <v>9483.06</v>
      </c>
      <c r="K1465">
        <v>190</v>
      </c>
      <c r="L1465">
        <v>49.91</v>
      </c>
      <c r="M1465">
        <v>12653.72</v>
      </c>
      <c r="N1465">
        <v>1.33</v>
      </c>
    </row>
    <row r="1466" spans="1:14" x14ac:dyDescent="0.25">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row>
    <row r="1467" spans="1:14" x14ac:dyDescent="0.25">
      <c r="A1467" s="1">
        <v>45561</v>
      </c>
      <c r="B1467" t="s">
        <v>28</v>
      </c>
      <c r="C1467" t="s">
        <v>24</v>
      </c>
      <c r="D1467" t="s">
        <v>30</v>
      </c>
      <c r="E1467" t="s">
        <v>20</v>
      </c>
      <c r="F1467">
        <v>185419</v>
      </c>
      <c r="G1467">
        <v>7750</v>
      </c>
      <c r="H1467">
        <v>4.1799999999999997E-2</v>
      </c>
      <c r="I1467">
        <v>1.38</v>
      </c>
      <c r="J1467">
        <v>10695</v>
      </c>
      <c r="K1467">
        <v>400</v>
      </c>
      <c r="L1467">
        <v>26.74</v>
      </c>
      <c r="M1467">
        <v>13470.33</v>
      </c>
      <c r="N1467">
        <v>1.26</v>
      </c>
    </row>
    <row r="1468" spans="1:14" x14ac:dyDescent="0.25">
      <c r="A1468" s="1">
        <v>45470</v>
      </c>
      <c r="B1468" t="s">
        <v>14</v>
      </c>
      <c r="C1468" t="s">
        <v>29</v>
      </c>
      <c r="D1468" t="s">
        <v>19</v>
      </c>
      <c r="E1468" t="s">
        <v>17</v>
      </c>
      <c r="F1468">
        <v>36391</v>
      </c>
      <c r="G1468">
        <v>1684</v>
      </c>
      <c r="H1468">
        <v>4.6300000000000001E-2</v>
      </c>
      <c r="I1468">
        <v>3.59</v>
      </c>
      <c r="J1468">
        <v>6045.56</v>
      </c>
      <c r="K1468">
        <v>18</v>
      </c>
      <c r="L1468">
        <v>335.86</v>
      </c>
      <c r="M1468">
        <v>4868.51</v>
      </c>
      <c r="N1468">
        <v>0.81</v>
      </c>
    </row>
    <row r="1469" spans="1:14" x14ac:dyDescent="0.25">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row>
    <row r="1470" spans="1:14" x14ac:dyDescent="0.25">
      <c r="A1470" s="1">
        <v>45497</v>
      </c>
      <c r="B1470" t="s">
        <v>14</v>
      </c>
      <c r="C1470" t="s">
        <v>21</v>
      </c>
      <c r="D1470" t="s">
        <v>30</v>
      </c>
      <c r="E1470" t="s">
        <v>20</v>
      </c>
      <c r="F1470">
        <v>146656</v>
      </c>
      <c r="G1470">
        <v>5719</v>
      </c>
      <c r="H1470">
        <v>3.9E-2</v>
      </c>
      <c r="I1470">
        <v>1.75</v>
      </c>
      <c r="J1470">
        <v>10008.25</v>
      </c>
      <c r="K1470">
        <v>357</v>
      </c>
      <c r="L1470">
        <v>28.03</v>
      </c>
      <c r="M1470">
        <v>62250.35</v>
      </c>
      <c r="N1470">
        <v>6.22</v>
      </c>
    </row>
    <row r="1471" spans="1:14" x14ac:dyDescent="0.25">
      <c r="A1471" s="1">
        <v>45437</v>
      </c>
      <c r="B1471" t="s">
        <v>14</v>
      </c>
      <c r="C1471" t="s">
        <v>29</v>
      </c>
      <c r="D1471" t="s">
        <v>16</v>
      </c>
      <c r="E1471" t="s">
        <v>26</v>
      </c>
      <c r="F1471">
        <v>116972</v>
      </c>
      <c r="G1471">
        <v>6269</v>
      </c>
      <c r="H1471">
        <v>5.3600000000000002E-2</v>
      </c>
      <c r="I1471">
        <v>2.83</v>
      </c>
      <c r="J1471">
        <v>17741.27</v>
      </c>
      <c r="K1471">
        <v>83</v>
      </c>
      <c r="L1471">
        <v>213.75</v>
      </c>
      <c r="M1471">
        <v>8852.61</v>
      </c>
      <c r="N1471">
        <v>0.5</v>
      </c>
    </row>
    <row r="1472" spans="1:14" x14ac:dyDescent="0.25">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row>
    <row r="1473" spans="1:14" x14ac:dyDescent="0.25">
      <c r="A1473" s="1">
        <v>45641</v>
      </c>
      <c r="B1473" t="s">
        <v>28</v>
      </c>
      <c r="C1473" t="s">
        <v>24</v>
      </c>
      <c r="D1473" t="s">
        <v>25</v>
      </c>
      <c r="E1473" t="s">
        <v>20</v>
      </c>
      <c r="F1473">
        <v>125759</v>
      </c>
      <c r="G1473">
        <v>2804</v>
      </c>
      <c r="H1473">
        <v>2.23E-2</v>
      </c>
      <c r="I1473">
        <v>1.75</v>
      </c>
      <c r="J1473">
        <v>4907</v>
      </c>
      <c r="K1473">
        <v>164</v>
      </c>
      <c r="L1473">
        <v>29.92</v>
      </c>
      <c r="M1473">
        <v>46752.65</v>
      </c>
      <c r="N1473">
        <v>9.5299999999999994</v>
      </c>
    </row>
    <row r="1474" spans="1:14" x14ac:dyDescent="0.25">
      <c r="A1474" s="1">
        <v>45375</v>
      </c>
      <c r="B1474" t="s">
        <v>14</v>
      </c>
      <c r="C1474" t="s">
        <v>24</v>
      </c>
      <c r="D1474" t="s">
        <v>19</v>
      </c>
      <c r="E1474" t="s">
        <v>17</v>
      </c>
      <c r="F1474">
        <v>26529</v>
      </c>
      <c r="G1474">
        <v>1106</v>
      </c>
      <c r="H1474">
        <v>4.1700000000000001E-2</v>
      </c>
      <c r="I1474">
        <v>1.78</v>
      </c>
      <c r="J1474">
        <v>1968.68</v>
      </c>
      <c r="K1474">
        <v>78</v>
      </c>
      <c r="L1474">
        <v>25.24</v>
      </c>
      <c r="M1474">
        <v>2995.39</v>
      </c>
      <c r="N1474">
        <v>1.52</v>
      </c>
    </row>
    <row r="1475" spans="1:14" x14ac:dyDescent="0.25">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row>
    <row r="1476" spans="1:14" x14ac:dyDescent="0.25">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row>
    <row r="1477" spans="1:14" x14ac:dyDescent="0.25">
      <c r="A1477" s="1">
        <v>45648</v>
      </c>
      <c r="B1477" t="s">
        <v>28</v>
      </c>
      <c r="C1477" t="s">
        <v>24</v>
      </c>
      <c r="D1477" t="s">
        <v>19</v>
      </c>
      <c r="E1477" t="s">
        <v>20</v>
      </c>
      <c r="F1477">
        <v>49522</v>
      </c>
      <c r="G1477">
        <v>1554</v>
      </c>
      <c r="H1477">
        <v>3.1399999999999997E-2</v>
      </c>
      <c r="I1477">
        <v>1.71</v>
      </c>
      <c r="J1477">
        <v>2657.34</v>
      </c>
      <c r="K1477">
        <v>23</v>
      </c>
      <c r="L1477">
        <v>115.54</v>
      </c>
      <c r="M1477">
        <v>1909.73</v>
      </c>
      <c r="N1477">
        <v>0.72</v>
      </c>
    </row>
    <row r="1478" spans="1:14" x14ac:dyDescent="0.25">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row>
    <row r="1479" spans="1:14" x14ac:dyDescent="0.25">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row>
    <row r="1480" spans="1:14" x14ac:dyDescent="0.25">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row>
    <row r="1481" spans="1:14" x14ac:dyDescent="0.25">
      <c r="A1481" s="1">
        <v>45464</v>
      </c>
      <c r="B1481" t="s">
        <v>18</v>
      </c>
      <c r="C1481" t="s">
        <v>29</v>
      </c>
      <c r="D1481" t="s">
        <v>19</v>
      </c>
      <c r="E1481" t="s">
        <v>27</v>
      </c>
      <c r="F1481">
        <v>102519</v>
      </c>
      <c r="G1481">
        <v>4285</v>
      </c>
      <c r="H1481">
        <v>4.1799999999999997E-2</v>
      </c>
      <c r="I1481">
        <v>1.2</v>
      </c>
      <c r="J1481">
        <v>5142</v>
      </c>
      <c r="K1481">
        <v>137</v>
      </c>
      <c r="L1481">
        <v>37.53</v>
      </c>
      <c r="M1481">
        <v>26733.75</v>
      </c>
      <c r="N1481">
        <v>5.2</v>
      </c>
    </row>
    <row r="1482" spans="1:14" x14ac:dyDescent="0.25">
      <c r="A1482" s="1">
        <v>45541</v>
      </c>
      <c r="B1482" t="s">
        <v>14</v>
      </c>
      <c r="C1482" t="s">
        <v>24</v>
      </c>
      <c r="D1482" t="s">
        <v>22</v>
      </c>
      <c r="E1482" t="s">
        <v>26</v>
      </c>
      <c r="F1482">
        <v>36092</v>
      </c>
      <c r="G1482">
        <v>1050</v>
      </c>
      <c r="H1482">
        <v>2.9100000000000001E-2</v>
      </c>
      <c r="I1482">
        <v>3.68</v>
      </c>
      <c r="J1482">
        <v>3864</v>
      </c>
      <c r="K1482">
        <v>34</v>
      </c>
      <c r="L1482">
        <v>113.65</v>
      </c>
      <c r="M1482">
        <v>1685.69</v>
      </c>
      <c r="N1482">
        <v>0.44</v>
      </c>
    </row>
    <row r="1483" spans="1:14" x14ac:dyDescent="0.25">
      <c r="A1483" s="1">
        <v>45536</v>
      </c>
      <c r="B1483" t="s">
        <v>18</v>
      </c>
      <c r="C1483" t="s">
        <v>21</v>
      </c>
      <c r="D1483" t="s">
        <v>19</v>
      </c>
      <c r="E1483" t="s">
        <v>32</v>
      </c>
      <c r="F1483">
        <v>6628</v>
      </c>
      <c r="G1483">
        <v>261</v>
      </c>
      <c r="H1483">
        <v>3.95E-2</v>
      </c>
      <c r="I1483">
        <v>1.28</v>
      </c>
      <c r="J1483">
        <v>334.08</v>
      </c>
      <c r="K1483">
        <v>11</v>
      </c>
      <c r="L1483">
        <v>30.37</v>
      </c>
      <c r="M1483">
        <v>2224.48</v>
      </c>
      <c r="N1483">
        <v>6.66</v>
      </c>
    </row>
    <row r="1484" spans="1:14" x14ac:dyDescent="0.25">
      <c r="A1484" s="1">
        <v>45374</v>
      </c>
      <c r="B1484" t="s">
        <v>28</v>
      </c>
      <c r="C1484" t="s">
        <v>21</v>
      </c>
      <c r="D1484" t="s">
        <v>25</v>
      </c>
      <c r="E1484" t="s">
        <v>20</v>
      </c>
      <c r="F1484">
        <v>28593</v>
      </c>
      <c r="G1484">
        <v>694</v>
      </c>
      <c r="H1484">
        <v>2.4299999999999999E-2</v>
      </c>
      <c r="I1484">
        <v>1.58</v>
      </c>
      <c r="J1484">
        <v>1096.52</v>
      </c>
      <c r="K1484">
        <v>7</v>
      </c>
      <c r="L1484">
        <v>156.65</v>
      </c>
      <c r="M1484">
        <v>2098</v>
      </c>
      <c r="N1484">
        <v>1.91</v>
      </c>
    </row>
    <row r="1485" spans="1:14" x14ac:dyDescent="0.25">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row>
    <row r="1486" spans="1:14" x14ac:dyDescent="0.25">
      <c r="A1486" s="1">
        <v>45518</v>
      </c>
      <c r="B1486" t="s">
        <v>28</v>
      </c>
      <c r="C1486" t="s">
        <v>15</v>
      </c>
      <c r="D1486" t="s">
        <v>16</v>
      </c>
      <c r="E1486" t="s">
        <v>23</v>
      </c>
      <c r="F1486">
        <v>25930</v>
      </c>
      <c r="G1486">
        <v>609</v>
      </c>
      <c r="H1486">
        <v>2.35E-2</v>
      </c>
      <c r="I1486">
        <v>0.55000000000000004</v>
      </c>
      <c r="J1486">
        <v>334.95</v>
      </c>
      <c r="K1486">
        <v>7</v>
      </c>
      <c r="L1486">
        <v>47.85</v>
      </c>
      <c r="M1486">
        <v>509.29</v>
      </c>
      <c r="N1486">
        <v>1.52</v>
      </c>
    </row>
    <row r="1487" spans="1:14" x14ac:dyDescent="0.25">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row>
    <row r="1488" spans="1:14" x14ac:dyDescent="0.25">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row>
    <row r="1489" spans="1:14" x14ac:dyDescent="0.25">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row>
    <row r="1490" spans="1:14" x14ac:dyDescent="0.25">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row>
    <row r="1491" spans="1:14" x14ac:dyDescent="0.25">
      <c r="A1491" s="1">
        <v>45656</v>
      </c>
      <c r="B1491" t="s">
        <v>14</v>
      </c>
      <c r="C1491" t="s">
        <v>15</v>
      </c>
      <c r="D1491" t="s">
        <v>22</v>
      </c>
      <c r="E1491" t="s">
        <v>20</v>
      </c>
      <c r="F1491">
        <v>63738</v>
      </c>
      <c r="G1491">
        <v>1306</v>
      </c>
      <c r="H1491">
        <v>2.0500000000000001E-2</v>
      </c>
      <c r="I1491">
        <v>0.93</v>
      </c>
      <c r="J1491">
        <v>1214.58</v>
      </c>
      <c r="K1491">
        <v>87</v>
      </c>
      <c r="L1491">
        <v>13.96</v>
      </c>
      <c r="M1491">
        <v>16951.52</v>
      </c>
      <c r="N1491">
        <v>13.96</v>
      </c>
    </row>
    <row r="1492" spans="1:14" x14ac:dyDescent="0.25">
      <c r="A1492" s="1">
        <v>45350</v>
      </c>
      <c r="B1492" t="s">
        <v>14</v>
      </c>
      <c r="C1492" t="s">
        <v>15</v>
      </c>
      <c r="D1492" t="s">
        <v>16</v>
      </c>
      <c r="E1492" t="s">
        <v>31</v>
      </c>
      <c r="F1492">
        <v>28267</v>
      </c>
      <c r="G1492">
        <v>1769</v>
      </c>
      <c r="H1492">
        <v>6.2600000000000003E-2</v>
      </c>
      <c r="I1492">
        <v>2.59</v>
      </c>
      <c r="J1492">
        <v>4581.71</v>
      </c>
      <c r="K1492">
        <v>33</v>
      </c>
      <c r="L1492">
        <v>138.84</v>
      </c>
      <c r="M1492">
        <v>1968.12</v>
      </c>
      <c r="N1492">
        <v>0.43</v>
      </c>
    </row>
    <row r="1493" spans="1:14" x14ac:dyDescent="0.25">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row>
    <row r="1494" spans="1:14" x14ac:dyDescent="0.25">
      <c r="A1494" s="1">
        <v>45313</v>
      </c>
      <c r="B1494" t="s">
        <v>18</v>
      </c>
      <c r="C1494" t="s">
        <v>29</v>
      </c>
      <c r="D1494" t="s">
        <v>22</v>
      </c>
      <c r="E1494" t="s">
        <v>27</v>
      </c>
      <c r="F1494">
        <v>120409</v>
      </c>
      <c r="G1494">
        <v>8356</v>
      </c>
      <c r="H1494">
        <v>6.9400000000000003E-2</v>
      </c>
      <c r="I1494">
        <v>0.96</v>
      </c>
      <c r="J1494">
        <v>8021.76</v>
      </c>
      <c r="K1494">
        <v>663</v>
      </c>
      <c r="L1494">
        <v>12.1</v>
      </c>
      <c r="M1494">
        <v>50787.7</v>
      </c>
      <c r="N1494">
        <v>6.33</v>
      </c>
    </row>
    <row r="1495" spans="1:14" x14ac:dyDescent="0.25">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row>
    <row r="1496" spans="1:14" x14ac:dyDescent="0.25">
      <c r="A1496" s="1">
        <v>45511</v>
      </c>
      <c r="B1496" t="s">
        <v>28</v>
      </c>
      <c r="C1496" t="s">
        <v>15</v>
      </c>
      <c r="D1496" t="s">
        <v>22</v>
      </c>
      <c r="E1496" t="s">
        <v>17</v>
      </c>
      <c r="F1496">
        <v>96360</v>
      </c>
      <c r="G1496">
        <v>3247</v>
      </c>
      <c r="H1496">
        <v>3.3700000000000001E-2</v>
      </c>
      <c r="I1496">
        <v>0.43</v>
      </c>
      <c r="J1496">
        <v>1396.21</v>
      </c>
      <c r="K1496">
        <v>211</v>
      </c>
      <c r="L1496">
        <v>6.62</v>
      </c>
      <c r="M1496">
        <v>50567.51</v>
      </c>
      <c r="N1496">
        <v>36.22</v>
      </c>
    </row>
    <row r="1497" spans="1:14" x14ac:dyDescent="0.25">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row>
    <row r="1498" spans="1:14" x14ac:dyDescent="0.25">
      <c r="A1498" s="1">
        <v>45579</v>
      </c>
      <c r="B1498" t="s">
        <v>14</v>
      </c>
      <c r="C1498" t="s">
        <v>24</v>
      </c>
      <c r="D1498" t="s">
        <v>30</v>
      </c>
      <c r="E1498" t="s">
        <v>26</v>
      </c>
      <c r="F1498">
        <v>34036</v>
      </c>
      <c r="G1498">
        <v>2086</v>
      </c>
      <c r="H1498">
        <v>6.13E-2</v>
      </c>
      <c r="I1498">
        <v>3.45</v>
      </c>
      <c r="J1498">
        <v>7196.7</v>
      </c>
      <c r="K1498">
        <v>110</v>
      </c>
      <c r="L1498">
        <v>65.42</v>
      </c>
      <c r="M1498">
        <v>21503.08</v>
      </c>
      <c r="N1498">
        <v>2.99</v>
      </c>
    </row>
    <row r="1499" spans="1:14" x14ac:dyDescent="0.25">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row>
    <row r="1500" spans="1:14" x14ac:dyDescent="0.25">
      <c r="A1500" s="1">
        <v>45448</v>
      </c>
      <c r="B1500" t="s">
        <v>28</v>
      </c>
      <c r="C1500" t="s">
        <v>24</v>
      </c>
      <c r="D1500" t="s">
        <v>19</v>
      </c>
      <c r="E1500" t="s">
        <v>20</v>
      </c>
      <c r="F1500">
        <v>98276</v>
      </c>
      <c r="G1500">
        <v>2368</v>
      </c>
      <c r="H1500">
        <v>2.41E-2</v>
      </c>
      <c r="I1500">
        <v>1.41</v>
      </c>
      <c r="J1500">
        <v>3338.88</v>
      </c>
      <c r="K1500">
        <v>115</v>
      </c>
      <c r="L1500">
        <v>29.03</v>
      </c>
      <c r="M1500">
        <v>21637.86</v>
      </c>
      <c r="N1500">
        <v>6.48</v>
      </c>
    </row>
    <row r="1501" spans="1:14" x14ac:dyDescent="0.25">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row>
    <row r="1502" spans="1:14" x14ac:dyDescent="0.25">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row>
    <row r="1503" spans="1:14" x14ac:dyDescent="0.25">
      <c r="A1503" s="1">
        <v>45644</v>
      </c>
      <c r="B1503" t="s">
        <v>14</v>
      </c>
      <c r="C1503" t="s">
        <v>21</v>
      </c>
      <c r="D1503" t="s">
        <v>22</v>
      </c>
      <c r="E1503" t="s">
        <v>31</v>
      </c>
      <c r="F1503">
        <v>184982</v>
      </c>
      <c r="G1503">
        <v>4772</v>
      </c>
      <c r="H1503">
        <v>2.58E-2</v>
      </c>
      <c r="I1503">
        <v>3.08</v>
      </c>
      <c r="J1503">
        <v>14697.76</v>
      </c>
      <c r="K1503">
        <v>141</v>
      </c>
      <c r="L1503">
        <v>104.24</v>
      </c>
      <c r="M1503">
        <v>26098.46</v>
      </c>
      <c r="N1503">
        <v>1.78</v>
      </c>
    </row>
    <row r="1504" spans="1:14" x14ac:dyDescent="0.25">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row>
    <row r="1505" spans="1:14" x14ac:dyDescent="0.25">
      <c r="A1505" s="1">
        <v>45448</v>
      </c>
      <c r="B1505" t="s">
        <v>14</v>
      </c>
      <c r="C1505" t="s">
        <v>21</v>
      </c>
      <c r="D1505" t="s">
        <v>19</v>
      </c>
      <c r="E1505" t="s">
        <v>17</v>
      </c>
      <c r="F1505">
        <v>109148</v>
      </c>
      <c r="G1505">
        <v>3951</v>
      </c>
      <c r="H1505">
        <v>3.6200000000000003E-2</v>
      </c>
      <c r="I1505">
        <v>1.79</v>
      </c>
      <c r="J1505">
        <v>7072.29</v>
      </c>
      <c r="K1505">
        <v>249</v>
      </c>
      <c r="L1505">
        <v>28.4</v>
      </c>
      <c r="M1505">
        <v>56329.34</v>
      </c>
      <c r="N1505">
        <v>7.96</v>
      </c>
    </row>
    <row r="1506" spans="1:14" x14ac:dyDescent="0.25">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row>
    <row r="1507" spans="1:14" x14ac:dyDescent="0.25">
      <c r="A1507" s="1">
        <v>45409</v>
      </c>
      <c r="B1507" t="s">
        <v>28</v>
      </c>
      <c r="C1507" t="s">
        <v>21</v>
      </c>
      <c r="D1507" t="s">
        <v>19</v>
      </c>
      <c r="E1507" t="s">
        <v>17</v>
      </c>
      <c r="F1507">
        <v>173001</v>
      </c>
      <c r="G1507">
        <v>3477</v>
      </c>
      <c r="H1507">
        <v>2.01E-2</v>
      </c>
      <c r="I1507">
        <v>0.95</v>
      </c>
      <c r="J1507">
        <v>3303.15</v>
      </c>
      <c r="K1507">
        <v>51</v>
      </c>
      <c r="L1507">
        <v>64.77</v>
      </c>
      <c r="M1507">
        <v>11186.61</v>
      </c>
      <c r="N1507">
        <v>3.39</v>
      </c>
    </row>
    <row r="1508" spans="1:14" x14ac:dyDescent="0.25">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row>
    <row r="1509" spans="1:14" x14ac:dyDescent="0.25">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row>
    <row r="1510" spans="1:14" x14ac:dyDescent="0.25">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row>
    <row r="1511" spans="1:14" x14ac:dyDescent="0.25">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row>
    <row r="1512" spans="1:14" x14ac:dyDescent="0.25">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row>
    <row r="1513" spans="1:14" x14ac:dyDescent="0.25">
      <c r="A1513" s="1">
        <v>45456</v>
      </c>
      <c r="B1513" t="s">
        <v>14</v>
      </c>
      <c r="C1513" t="s">
        <v>24</v>
      </c>
      <c r="D1513" t="s">
        <v>30</v>
      </c>
      <c r="E1513" t="s">
        <v>31</v>
      </c>
      <c r="F1513">
        <v>141455</v>
      </c>
      <c r="G1513">
        <v>2673</v>
      </c>
      <c r="H1513">
        <v>1.89E-2</v>
      </c>
      <c r="I1513">
        <v>2.82</v>
      </c>
      <c r="J1513">
        <v>7537.86</v>
      </c>
      <c r="K1513">
        <v>122</v>
      </c>
      <c r="L1513">
        <v>61.79</v>
      </c>
      <c r="M1513">
        <v>19810.32</v>
      </c>
      <c r="N1513">
        <v>2.63</v>
      </c>
    </row>
    <row r="1514" spans="1:14" x14ac:dyDescent="0.25">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row>
    <row r="1515" spans="1:14" x14ac:dyDescent="0.25">
      <c r="A1515" s="1">
        <v>45408</v>
      </c>
      <c r="B1515" t="s">
        <v>28</v>
      </c>
      <c r="C1515" t="s">
        <v>15</v>
      </c>
      <c r="D1515" t="s">
        <v>30</v>
      </c>
      <c r="E1515" t="s">
        <v>26</v>
      </c>
      <c r="F1515">
        <v>26845</v>
      </c>
      <c r="G1515">
        <v>528</v>
      </c>
      <c r="H1515">
        <v>1.9699999999999999E-2</v>
      </c>
      <c r="I1515">
        <v>2.08</v>
      </c>
      <c r="J1515">
        <v>1098.24</v>
      </c>
      <c r="K1515">
        <v>11</v>
      </c>
      <c r="L1515">
        <v>99.84</v>
      </c>
      <c r="M1515">
        <v>1590.52</v>
      </c>
      <c r="N1515">
        <v>1.45</v>
      </c>
    </row>
    <row r="1516" spans="1:14" x14ac:dyDescent="0.25">
      <c r="A1516" s="1">
        <v>45570</v>
      </c>
      <c r="B1516" t="s">
        <v>14</v>
      </c>
      <c r="C1516" t="s">
        <v>21</v>
      </c>
      <c r="D1516" t="s">
        <v>16</v>
      </c>
      <c r="E1516" t="s">
        <v>23</v>
      </c>
      <c r="F1516">
        <v>92332</v>
      </c>
      <c r="G1516">
        <v>5336</v>
      </c>
      <c r="H1516">
        <v>5.7799999999999997E-2</v>
      </c>
      <c r="I1516">
        <v>0.94</v>
      </c>
      <c r="J1516">
        <v>5015.84</v>
      </c>
      <c r="K1516">
        <v>213</v>
      </c>
      <c r="L1516">
        <v>23.55</v>
      </c>
      <c r="M1516">
        <v>39347.29</v>
      </c>
      <c r="N1516">
        <v>7.84</v>
      </c>
    </row>
    <row r="1517" spans="1:14" x14ac:dyDescent="0.25">
      <c r="A1517" s="1">
        <v>45540</v>
      </c>
      <c r="B1517" t="s">
        <v>14</v>
      </c>
      <c r="C1517" t="s">
        <v>15</v>
      </c>
      <c r="D1517" t="s">
        <v>30</v>
      </c>
      <c r="E1517" t="s">
        <v>31</v>
      </c>
      <c r="F1517">
        <v>90953</v>
      </c>
      <c r="G1517">
        <v>4365</v>
      </c>
      <c r="H1517">
        <v>4.8000000000000001E-2</v>
      </c>
      <c r="I1517">
        <v>3.04</v>
      </c>
      <c r="J1517">
        <v>13269.6</v>
      </c>
      <c r="K1517">
        <v>73</v>
      </c>
      <c r="L1517">
        <v>181.78</v>
      </c>
      <c r="M1517">
        <v>19836.75</v>
      </c>
      <c r="N1517">
        <v>1.49</v>
      </c>
    </row>
    <row r="1518" spans="1:14" x14ac:dyDescent="0.25">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row>
    <row r="1519" spans="1:14" x14ac:dyDescent="0.25">
      <c r="A1519" s="1">
        <v>45394</v>
      </c>
      <c r="B1519" t="s">
        <v>14</v>
      </c>
      <c r="C1519" t="s">
        <v>15</v>
      </c>
      <c r="D1519" t="s">
        <v>22</v>
      </c>
      <c r="E1519" t="s">
        <v>17</v>
      </c>
      <c r="F1519">
        <v>57632</v>
      </c>
      <c r="G1519">
        <v>1256</v>
      </c>
      <c r="H1519">
        <v>2.18E-2</v>
      </c>
      <c r="I1519">
        <v>1.75</v>
      </c>
      <c r="J1519">
        <v>2198</v>
      </c>
      <c r="K1519">
        <v>20</v>
      </c>
      <c r="L1519">
        <v>109.9</v>
      </c>
      <c r="M1519">
        <v>1647.61</v>
      </c>
      <c r="N1519">
        <v>0.75</v>
      </c>
    </row>
    <row r="1520" spans="1:14" x14ac:dyDescent="0.25">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row>
    <row r="1521" spans="1:14" x14ac:dyDescent="0.25">
      <c r="A1521" s="1">
        <v>45433</v>
      </c>
      <c r="B1521" t="s">
        <v>14</v>
      </c>
      <c r="C1521" t="s">
        <v>21</v>
      </c>
      <c r="D1521" t="s">
        <v>25</v>
      </c>
      <c r="E1521" t="s">
        <v>26</v>
      </c>
      <c r="F1521">
        <v>30343</v>
      </c>
      <c r="G1521">
        <v>743</v>
      </c>
      <c r="H1521">
        <v>2.4500000000000001E-2</v>
      </c>
      <c r="I1521">
        <v>3.05</v>
      </c>
      <c r="J1521">
        <v>2266.15</v>
      </c>
      <c r="K1521">
        <v>39</v>
      </c>
      <c r="L1521">
        <v>58.11</v>
      </c>
      <c r="M1521">
        <v>7450.31</v>
      </c>
      <c r="N1521">
        <v>3.29</v>
      </c>
    </row>
    <row r="1522" spans="1:14" x14ac:dyDescent="0.25">
      <c r="A1522" s="1">
        <v>45527</v>
      </c>
      <c r="B1522" t="s">
        <v>28</v>
      </c>
      <c r="C1522" t="s">
        <v>29</v>
      </c>
      <c r="D1522" t="s">
        <v>25</v>
      </c>
      <c r="E1522" t="s">
        <v>26</v>
      </c>
      <c r="F1522">
        <v>6903</v>
      </c>
      <c r="G1522">
        <v>225</v>
      </c>
      <c r="H1522">
        <v>3.2599999999999997E-2</v>
      </c>
      <c r="I1522">
        <v>1.92</v>
      </c>
      <c r="J1522">
        <v>432</v>
      </c>
      <c r="K1522">
        <v>7</v>
      </c>
      <c r="L1522">
        <v>61.71</v>
      </c>
      <c r="M1522">
        <v>513.46</v>
      </c>
      <c r="N1522">
        <v>1.19</v>
      </c>
    </row>
    <row r="1523" spans="1:14" x14ac:dyDescent="0.25">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row>
    <row r="1524" spans="1:14" x14ac:dyDescent="0.25">
      <c r="A1524" s="1">
        <v>45513</v>
      </c>
      <c r="B1524" t="s">
        <v>28</v>
      </c>
      <c r="C1524" t="s">
        <v>24</v>
      </c>
      <c r="D1524" t="s">
        <v>22</v>
      </c>
      <c r="E1524" t="s">
        <v>31</v>
      </c>
      <c r="F1524">
        <v>25704</v>
      </c>
      <c r="G1524">
        <v>616</v>
      </c>
      <c r="H1524">
        <v>2.4E-2</v>
      </c>
      <c r="I1524">
        <v>1</v>
      </c>
      <c r="J1524">
        <v>616</v>
      </c>
      <c r="K1524">
        <v>18</v>
      </c>
      <c r="L1524">
        <v>34.22</v>
      </c>
      <c r="M1524">
        <v>2381.36</v>
      </c>
      <c r="N1524">
        <v>3.87</v>
      </c>
    </row>
    <row r="1525" spans="1:14" x14ac:dyDescent="0.25">
      <c r="A1525" s="1">
        <v>45443</v>
      </c>
      <c r="B1525" t="s">
        <v>14</v>
      </c>
      <c r="C1525" t="s">
        <v>29</v>
      </c>
      <c r="D1525" t="s">
        <v>22</v>
      </c>
      <c r="E1525" t="s">
        <v>26</v>
      </c>
      <c r="F1525">
        <v>18696</v>
      </c>
      <c r="G1525">
        <v>327</v>
      </c>
      <c r="H1525">
        <v>1.7500000000000002E-2</v>
      </c>
      <c r="I1525">
        <v>2.61</v>
      </c>
      <c r="J1525">
        <v>853.47</v>
      </c>
      <c r="K1525">
        <v>8</v>
      </c>
      <c r="L1525">
        <v>106.68</v>
      </c>
      <c r="M1525">
        <v>1284.99</v>
      </c>
      <c r="N1525">
        <v>1.51</v>
      </c>
    </row>
    <row r="1526" spans="1:14" x14ac:dyDescent="0.25">
      <c r="A1526" s="1">
        <v>45338</v>
      </c>
      <c r="B1526" t="s">
        <v>28</v>
      </c>
      <c r="C1526" t="s">
        <v>21</v>
      </c>
      <c r="D1526" t="s">
        <v>19</v>
      </c>
      <c r="E1526" t="s">
        <v>20</v>
      </c>
      <c r="F1526">
        <v>165408</v>
      </c>
      <c r="G1526">
        <v>1670</v>
      </c>
      <c r="H1526">
        <v>1.01E-2</v>
      </c>
      <c r="I1526">
        <v>1.3</v>
      </c>
      <c r="J1526">
        <v>2171</v>
      </c>
      <c r="K1526">
        <v>80</v>
      </c>
      <c r="L1526">
        <v>27.14</v>
      </c>
      <c r="M1526">
        <v>9561</v>
      </c>
      <c r="N1526">
        <v>4.4000000000000004</v>
      </c>
    </row>
    <row r="1527" spans="1:14" x14ac:dyDescent="0.25">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row>
    <row r="1528" spans="1:14" x14ac:dyDescent="0.25">
      <c r="A1528" s="1">
        <v>45541</v>
      </c>
      <c r="B1528" t="s">
        <v>28</v>
      </c>
      <c r="C1528" t="s">
        <v>29</v>
      </c>
      <c r="D1528" t="s">
        <v>19</v>
      </c>
      <c r="E1528" t="s">
        <v>23</v>
      </c>
      <c r="F1528">
        <v>71247</v>
      </c>
      <c r="G1528">
        <v>1888</v>
      </c>
      <c r="H1528">
        <v>2.6499999999999999E-2</v>
      </c>
      <c r="I1528">
        <v>0.47</v>
      </c>
      <c r="J1528">
        <v>887.36</v>
      </c>
      <c r="K1528">
        <v>57</v>
      </c>
      <c r="L1528">
        <v>15.57</v>
      </c>
      <c r="M1528">
        <v>9045.86</v>
      </c>
      <c r="N1528">
        <v>10.19</v>
      </c>
    </row>
    <row r="1529" spans="1:14" x14ac:dyDescent="0.25">
      <c r="A1529" s="1">
        <v>45393</v>
      </c>
      <c r="B1529" t="s">
        <v>18</v>
      </c>
      <c r="C1529" t="s">
        <v>15</v>
      </c>
      <c r="D1529" t="s">
        <v>16</v>
      </c>
      <c r="E1529" t="s">
        <v>17</v>
      </c>
      <c r="F1529">
        <v>132294</v>
      </c>
      <c r="G1529">
        <v>7527</v>
      </c>
      <c r="H1529">
        <v>5.6899999999999999E-2</v>
      </c>
      <c r="I1529">
        <v>0.9</v>
      </c>
      <c r="J1529">
        <v>6774.3</v>
      </c>
      <c r="K1529">
        <v>262</v>
      </c>
      <c r="L1529">
        <v>25.86</v>
      </c>
      <c r="M1529">
        <v>50030.33</v>
      </c>
      <c r="N1529">
        <v>7.39</v>
      </c>
    </row>
    <row r="1530" spans="1:14" x14ac:dyDescent="0.25">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row>
    <row r="1531" spans="1:14" x14ac:dyDescent="0.25">
      <c r="A1531" s="1">
        <v>45649</v>
      </c>
      <c r="B1531" t="s">
        <v>14</v>
      </c>
      <c r="C1531" t="s">
        <v>15</v>
      </c>
      <c r="D1531" t="s">
        <v>22</v>
      </c>
      <c r="E1531" t="s">
        <v>20</v>
      </c>
      <c r="F1531">
        <v>186232</v>
      </c>
      <c r="G1531">
        <v>9292</v>
      </c>
      <c r="H1531">
        <v>4.99E-2</v>
      </c>
      <c r="I1531">
        <v>2.4</v>
      </c>
      <c r="J1531">
        <v>22300.799999999999</v>
      </c>
      <c r="K1531">
        <v>265</v>
      </c>
      <c r="L1531">
        <v>84.15</v>
      </c>
      <c r="M1531">
        <v>67766.02</v>
      </c>
      <c r="N1531">
        <v>3.04</v>
      </c>
    </row>
    <row r="1532" spans="1:14" x14ac:dyDescent="0.25">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row>
    <row r="1533" spans="1:14" x14ac:dyDescent="0.25">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row>
    <row r="1534" spans="1:14" x14ac:dyDescent="0.25">
      <c r="A1534" s="1">
        <v>45387</v>
      </c>
      <c r="B1534" t="s">
        <v>14</v>
      </c>
      <c r="C1534" t="s">
        <v>29</v>
      </c>
      <c r="D1534" t="s">
        <v>22</v>
      </c>
      <c r="E1534" t="s">
        <v>32</v>
      </c>
      <c r="F1534">
        <v>91814</v>
      </c>
      <c r="G1534">
        <v>2607</v>
      </c>
      <c r="H1534">
        <v>2.8400000000000002E-2</v>
      </c>
      <c r="I1534">
        <v>2.48</v>
      </c>
      <c r="J1534">
        <v>6465.36</v>
      </c>
      <c r="K1534">
        <v>129</v>
      </c>
      <c r="L1534">
        <v>50.12</v>
      </c>
      <c r="M1534">
        <v>25405.84</v>
      </c>
      <c r="N1534">
        <v>3.93</v>
      </c>
    </row>
    <row r="1535" spans="1:14" x14ac:dyDescent="0.25">
      <c r="A1535" s="1">
        <v>45375</v>
      </c>
      <c r="B1535" t="s">
        <v>14</v>
      </c>
      <c r="C1535" t="s">
        <v>29</v>
      </c>
      <c r="D1535" t="s">
        <v>19</v>
      </c>
      <c r="E1535" t="s">
        <v>32</v>
      </c>
      <c r="F1535">
        <v>96087</v>
      </c>
      <c r="G1535">
        <v>3238</v>
      </c>
      <c r="H1535">
        <v>3.3700000000000001E-2</v>
      </c>
      <c r="I1535">
        <v>3.04</v>
      </c>
      <c r="J1535">
        <v>9843.52</v>
      </c>
      <c r="K1535">
        <v>45</v>
      </c>
      <c r="L1535">
        <v>218.74</v>
      </c>
      <c r="M1535">
        <v>7783</v>
      </c>
      <c r="N1535">
        <v>0.79</v>
      </c>
    </row>
    <row r="1536" spans="1:14" x14ac:dyDescent="0.25">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row>
    <row r="1537" spans="1:14" x14ac:dyDescent="0.25">
      <c r="A1537" s="1">
        <v>45392</v>
      </c>
      <c r="B1537" t="s">
        <v>28</v>
      </c>
      <c r="C1537" t="s">
        <v>29</v>
      </c>
      <c r="D1537" t="s">
        <v>25</v>
      </c>
      <c r="E1537" t="s">
        <v>31</v>
      </c>
      <c r="F1537">
        <v>36411</v>
      </c>
      <c r="G1537">
        <v>873</v>
      </c>
      <c r="H1537">
        <v>2.4E-2</v>
      </c>
      <c r="I1537">
        <v>2.0299999999999998</v>
      </c>
      <c r="J1537">
        <v>1772.19</v>
      </c>
      <c r="K1537">
        <v>47</v>
      </c>
      <c r="L1537">
        <v>37.71</v>
      </c>
      <c r="M1537">
        <v>13565.96</v>
      </c>
      <c r="N1537">
        <v>7.65</v>
      </c>
    </row>
    <row r="1538" spans="1:14" x14ac:dyDescent="0.25">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row>
    <row r="1539" spans="1:14" x14ac:dyDescent="0.25">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row>
    <row r="1540" spans="1:14" x14ac:dyDescent="0.25">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row>
    <row r="1541" spans="1:14" x14ac:dyDescent="0.25">
      <c r="A1541" s="1">
        <v>45310</v>
      </c>
      <c r="B1541" t="s">
        <v>18</v>
      </c>
      <c r="C1541" t="s">
        <v>15</v>
      </c>
      <c r="D1541" t="s">
        <v>30</v>
      </c>
      <c r="E1541" t="s">
        <v>23</v>
      </c>
      <c r="F1541">
        <v>179561</v>
      </c>
      <c r="G1541">
        <v>8600</v>
      </c>
      <c r="H1541">
        <v>4.7899999999999998E-2</v>
      </c>
      <c r="I1541">
        <v>1.44</v>
      </c>
      <c r="J1541">
        <v>12384</v>
      </c>
      <c r="K1541">
        <v>212</v>
      </c>
      <c r="L1541">
        <v>58.42</v>
      </c>
      <c r="M1541">
        <v>34386.07</v>
      </c>
      <c r="N1541">
        <v>2.78</v>
      </c>
    </row>
    <row r="1542" spans="1:14" x14ac:dyDescent="0.25">
      <c r="A1542" s="1">
        <v>45546</v>
      </c>
      <c r="B1542" t="s">
        <v>14</v>
      </c>
      <c r="C1542" t="s">
        <v>15</v>
      </c>
      <c r="D1542" t="s">
        <v>19</v>
      </c>
      <c r="E1542" t="s">
        <v>17</v>
      </c>
      <c r="F1542">
        <v>100381</v>
      </c>
      <c r="G1542">
        <v>5691</v>
      </c>
      <c r="H1542">
        <v>5.67E-2</v>
      </c>
      <c r="I1542">
        <v>0.83</v>
      </c>
      <c r="J1542">
        <v>4723.53</v>
      </c>
      <c r="K1542">
        <v>321</v>
      </c>
      <c r="L1542">
        <v>14.72</v>
      </c>
      <c r="M1542">
        <v>58283.85</v>
      </c>
      <c r="N1542">
        <v>12.34</v>
      </c>
    </row>
    <row r="1543" spans="1:14" x14ac:dyDescent="0.25">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row>
    <row r="1544" spans="1:14" x14ac:dyDescent="0.25">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row>
    <row r="1545" spans="1:14" x14ac:dyDescent="0.25">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row>
    <row r="1546" spans="1:14" x14ac:dyDescent="0.25">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row>
    <row r="1547" spans="1:14" x14ac:dyDescent="0.25">
      <c r="A1547" s="1">
        <v>45328</v>
      </c>
      <c r="B1547" t="s">
        <v>18</v>
      </c>
      <c r="C1547" t="s">
        <v>21</v>
      </c>
      <c r="D1547" t="s">
        <v>30</v>
      </c>
      <c r="E1547" t="s">
        <v>27</v>
      </c>
      <c r="F1547">
        <v>48475</v>
      </c>
      <c r="G1547">
        <v>3160</v>
      </c>
      <c r="H1547">
        <v>6.5199999999999994E-2</v>
      </c>
      <c r="I1547">
        <v>0.76</v>
      </c>
      <c r="J1547">
        <v>2401.6</v>
      </c>
      <c r="K1547">
        <v>124</v>
      </c>
      <c r="L1547">
        <v>19.37</v>
      </c>
      <c r="M1547">
        <v>19990.89</v>
      </c>
      <c r="N1547">
        <v>8.32</v>
      </c>
    </row>
    <row r="1548" spans="1:14" x14ac:dyDescent="0.25">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row>
    <row r="1549" spans="1:14" x14ac:dyDescent="0.25">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row>
    <row r="1550" spans="1:14" x14ac:dyDescent="0.25">
      <c r="A1550" s="1">
        <v>45313</v>
      </c>
      <c r="B1550" t="s">
        <v>14</v>
      </c>
      <c r="C1550" t="s">
        <v>24</v>
      </c>
      <c r="D1550" t="s">
        <v>16</v>
      </c>
      <c r="E1550" t="s">
        <v>32</v>
      </c>
      <c r="F1550">
        <v>153953</v>
      </c>
      <c r="G1550">
        <v>5095</v>
      </c>
      <c r="H1550">
        <v>3.3099999999999997E-2</v>
      </c>
      <c r="I1550">
        <v>2.86</v>
      </c>
      <c r="J1550">
        <v>14571.7</v>
      </c>
      <c r="K1550">
        <v>110</v>
      </c>
      <c r="L1550">
        <v>132.47</v>
      </c>
      <c r="M1550">
        <v>30634.7</v>
      </c>
      <c r="N1550">
        <v>2.1</v>
      </c>
    </row>
    <row r="1551" spans="1:14" x14ac:dyDescent="0.25">
      <c r="A1551" s="1">
        <v>45542</v>
      </c>
      <c r="B1551" t="s">
        <v>28</v>
      </c>
      <c r="C1551" t="s">
        <v>21</v>
      </c>
      <c r="D1551" t="s">
        <v>22</v>
      </c>
      <c r="E1551" t="s">
        <v>26</v>
      </c>
      <c r="F1551">
        <v>142135</v>
      </c>
      <c r="G1551">
        <v>2387</v>
      </c>
      <c r="H1551">
        <v>1.6799999999999999E-2</v>
      </c>
      <c r="I1551">
        <v>1.92</v>
      </c>
      <c r="J1551">
        <v>4583.04</v>
      </c>
      <c r="K1551">
        <v>98</v>
      </c>
      <c r="L1551">
        <v>46.77</v>
      </c>
      <c r="M1551">
        <v>25385.35</v>
      </c>
      <c r="N1551">
        <v>5.54</v>
      </c>
    </row>
    <row r="1552" spans="1:14" x14ac:dyDescent="0.25">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row>
    <row r="1553" spans="1:14" x14ac:dyDescent="0.25">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row>
    <row r="1554" spans="1:14" x14ac:dyDescent="0.25">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row>
    <row r="1555" spans="1:14" x14ac:dyDescent="0.25">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row>
    <row r="1556" spans="1:14" x14ac:dyDescent="0.25">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row>
    <row r="1557" spans="1:14" x14ac:dyDescent="0.25">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row>
    <row r="1558" spans="1:14" x14ac:dyDescent="0.25">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row>
    <row r="1559" spans="1:14" x14ac:dyDescent="0.25">
      <c r="A1559" s="1">
        <v>45471</v>
      </c>
      <c r="B1559" t="s">
        <v>14</v>
      </c>
      <c r="C1559" t="s">
        <v>15</v>
      </c>
      <c r="D1559" t="s">
        <v>30</v>
      </c>
      <c r="E1559" t="s">
        <v>23</v>
      </c>
      <c r="F1559">
        <v>78532</v>
      </c>
      <c r="G1559">
        <v>4735</v>
      </c>
      <c r="H1559">
        <v>6.0299999999999999E-2</v>
      </c>
      <c r="I1559">
        <v>2.82</v>
      </c>
      <c r="J1559">
        <v>13352.7</v>
      </c>
      <c r="K1559">
        <v>310</v>
      </c>
      <c r="L1559">
        <v>43.07</v>
      </c>
      <c r="M1559">
        <v>45765.16</v>
      </c>
      <c r="N1559">
        <v>3.43</v>
      </c>
    </row>
    <row r="1560" spans="1:14" x14ac:dyDescent="0.25">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row>
    <row r="1561" spans="1:14" x14ac:dyDescent="0.25">
      <c r="A1561" s="1">
        <v>45319</v>
      </c>
      <c r="B1561" t="s">
        <v>28</v>
      </c>
      <c r="C1561" t="s">
        <v>29</v>
      </c>
      <c r="D1561" t="s">
        <v>22</v>
      </c>
      <c r="E1561" t="s">
        <v>27</v>
      </c>
      <c r="F1561">
        <v>93966</v>
      </c>
      <c r="G1561">
        <v>2104</v>
      </c>
      <c r="H1561">
        <v>2.24E-2</v>
      </c>
      <c r="I1561">
        <v>0.97</v>
      </c>
      <c r="J1561">
        <v>2040.88</v>
      </c>
      <c r="K1561">
        <v>157</v>
      </c>
      <c r="L1561">
        <v>13</v>
      </c>
      <c r="M1561">
        <v>6975.9</v>
      </c>
      <c r="N1561">
        <v>3.42</v>
      </c>
    </row>
    <row r="1562" spans="1:14" x14ac:dyDescent="0.25">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row>
    <row r="1563" spans="1:14" x14ac:dyDescent="0.25">
      <c r="A1563" s="1">
        <v>45312</v>
      </c>
      <c r="B1563" t="s">
        <v>14</v>
      </c>
      <c r="C1563" t="s">
        <v>29</v>
      </c>
      <c r="D1563" t="s">
        <v>22</v>
      </c>
      <c r="E1563" t="s">
        <v>32</v>
      </c>
      <c r="F1563">
        <v>154239</v>
      </c>
      <c r="G1563">
        <v>7465</v>
      </c>
      <c r="H1563">
        <v>4.8399999999999999E-2</v>
      </c>
      <c r="I1563">
        <v>3.2</v>
      </c>
      <c r="J1563">
        <v>23888</v>
      </c>
      <c r="K1563">
        <v>484</v>
      </c>
      <c r="L1563">
        <v>49.36</v>
      </c>
      <c r="M1563">
        <v>25632.04</v>
      </c>
      <c r="N1563">
        <v>1.07</v>
      </c>
    </row>
    <row r="1564" spans="1:14" x14ac:dyDescent="0.25">
      <c r="A1564" s="1">
        <v>45387</v>
      </c>
      <c r="B1564" t="s">
        <v>28</v>
      </c>
      <c r="C1564" t="s">
        <v>21</v>
      </c>
      <c r="D1564" t="s">
        <v>16</v>
      </c>
      <c r="E1564" t="s">
        <v>17</v>
      </c>
      <c r="F1564">
        <v>103576</v>
      </c>
      <c r="G1564">
        <v>1263</v>
      </c>
      <c r="H1564">
        <v>1.2200000000000001E-2</v>
      </c>
      <c r="I1564">
        <v>0.47</v>
      </c>
      <c r="J1564">
        <v>593.61</v>
      </c>
      <c r="K1564">
        <v>22</v>
      </c>
      <c r="L1564">
        <v>26.98</v>
      </c>
      <c r="M1564">
        <v>5190.25</v>
      </c>
      <c r="N1564">
        <v>8.74</v>
      </c>
    </row>
    <row r="1565" spans="1:14" x14ac:dyDescent="0.25">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row>
    <row r="1566" spans="1:14" x14ac:dyDescent="0.25">
      <c r="A1566" s="1">
        <v>45593</v>
      </c>
      <c r="B1566" t="s">
        <v>14</v>
      </c>
      <c r="C1566" t="s">
        <v>15</v>
      </c>
      <c r="D1566" t="s">
        <v>30</v>
      </c>
      <c r="E1566" t="s">
        <v>23</v>
      </c>
      <c r="F1566">
        <v>104456</v>
      </c>
      <c r="G1566">
        <v>6403</v>
      </c>
      <c r="H1566">
        <v>6.13E-2</v>
      </c>
      <c r="I1566">
        <v>2.11</v>
      </c>
      <c r="J1566">
        <v>13510.33</v>
      </c>
      <c r="K1566">
        <v>440</v>
      </c>
      <c r="L1566">
        <v>30.71</v>
      </c>
      <c r="M1566">
        <v>111130.68</v>
      </c>
      <c r="N1566">
        <v>8.23</v>
      </c>
    </row>
    <row r="1567" spans="1:14" x14ac:dyDescent="0.25">
      <c r="A1567" s="1">
        <v>45577</v>
      </c>
      <c r="B1567" t="s">
        <v>28</v>
      </c>
      <c r="C1567" t="s">
        <v>29</v>
      </c>
      <c r="D1567" t="s">
        <v>25</v>
      </c>
      <c r="E1567" t="s">
        <v>17</v>
      </c>
      <c r="F1567">
        <v>173307</v>
      </c>
      <c r="G1567">
        <v>3292</v>
      </c>
      <c r="H1567">
        <v>1.9E-2</v>
      </c>
      <c r="I1567">
        <v>1.03</v>
      </c>
      <c r="J1567">
        <v>3390.76</v>
      </c>
      <c r="K1567">
        <v>74</v>
      </c>
      <c r="L1567">
        <v>45.82</v>
      </c>
      <c r="M1567">
        <v>21574.44</v>
      </c>
      <c r="N1567">
        <v>6.36</v>
      </c>
    </row>
    <row r="1568" spans="1:14" x14ac:dyDescent="0.25">
      <c r="A1568" s="1">
        <v>45361</v>
      </c>
      <c r="B1568" t="s">
        <v>14</v>
      </c>
      <c r="C1568" t="s">
        <v>29</v>
      </c>
      <c r="D1568" t="s">
        <v>16</v>
      </c>
      <c r="E1568" t="s">
        <v>32</v>
      </c>
      <c r="F1568">
        <v>197459</v>
      </c>
      <c r="G1568">
        <v>5667</v>
      </c>
      <c r="H1568">
        <v>2.87E-2</v>
      </c>
      <c r="I1568">
        <v>3.56</v>
      </c>
      <c r="J1568">
        <v>20174.52</v>
      </c>
      <c r="K1568">
        <v>105</v>
      </c>
      <c r="L1568">
        <v>192.14</v>
      </c>
      <c r="M1568">
        <v>17723.39</v>
      </c>
      <c r="N1568">
        <v>0.88</v>
      </c>
    </row>
    <row r="1569" spans="1:14" x14ac:dyDescent="0.25">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row>
    <row r="1570" spans="1:14" x14ac:dyDescent="0.25">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row>
    <row r="1571" spans="1:14" x14ac:dyDescent="0.25">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row>
    <row r="1572" spans="1:14" x14ac:dyDescent="0.25">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row>
    <row r="1573" spans="1:14" x14ac:dyDescent="0.25">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row>
    <row r="1574" spans="1:14" x14ac:dyDescent="0.25">
      <c r="A1574" s="1">
        <v>45575</v>
      </c>
      <c r="B1574" t="s">
        <v>28</v>
      </c>
      <c r="C1574" t="s">
        <v>21</v>
      </c>
      <c r="D1574" t="s">
        <v>30</v>
      </c>
      <c r="E1574" t="s">
        <v>27</v>
      </c>
      <c r="F1574">
        <v>188552</v>
      </c>
      <c r="G1574">
        <v>6373</v>
      </c>
      <c r="H1574">
        <v>3.3799999999999997E-2</v>
      </c>
      <c r="I1574">
        <v>0.65</v>
      </c>
      <c r="J1574">
        <v>4142.45</v>
      </c>
      <c r="K1574">
        <v>129</v>
      </c>
      <c r="L1574">
        <v>32.11</v>
      </c>
      <c r="M1574">
        <v>8973.49</v>
      </c>
      <c r="N1574">
        <v>2.17</v>
      </c>
    </row>
    <row r="1575" spans="1:14" x14ac:dyDescent="0.25">
      <c r="A1575" s="1">
        <v>45550</v>
      </c>
      <c r="B1575" t="s">
        <v>14</v>
      </c>
      <c r="C1575" t="s">
        <v>21</v>
      </c>
      <c r="D1575" t="s">
        <v>30</v>
      </c>
      <c r="E1575" t="s">
        <v>27</v>
      </c>
      <c r="F1575">
        <v>136460</v>
      </c>
      <c r="G1575">
        <v>4462</v>
      </c>
      <c r="H1575">
        <v>3.27E-2</v>
      </c>
      <c r="I1575">
        <v>0.88</v>
      </c>
      <c r="J1575">
        <v>3926.56</v>
      </c>
      <c r="K1575">
        <v>322</v>
      </c>
      <c r="L1575">
        <v>12.19</v>
      </c>
      <c r="M1575">
        <v>59937.98</v>
      </c>
      <c r="N1575">
        <v>15.26</v>
      </c>
    </row>
    <row r="1576" spans="1:14" x14ac:dyDescent="0.25">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row>
    <row r="1577" spans="1:14" x14ac:dyDescent="0.25">
      <c r="A1577" s="1">
        <v>45397</v>
      </c>
      <c r="B1577" t="s">
        <v>28</v>
      </c>
      <c r="C1577" t="s">
        <v>21</v>
      </c>
      <c r="D1577" t="s">
        <v>25</v>
      </c>
      <c r="E1577" t="s">
        <v>31</v>
      </c>
      <c r="F1577">
        <v>28359</v>
      </c>
      <c r="G1577">
        <v>612</v>
      </c>
      <c r="H1577">
        <v>2.1600000000000001E-2</v>
      </c>
      <c r="I1577">
        <v>0.75</v>
      </c>
      <c r="J1577">
        <v>459</v>
      </c>
      <c r="K1577">
        <v>30</v>
      </c>
      <c r="L1577">
        <v>15.3</v>
      </c>
      <c r="M1577">
        <v>6591.07</v>
      </c>
      <c r="N1577">
        <v>14.36</v>
      </c>
    </row>
    <row r="1578" spans="1:14" x14ac:dyDescent="0.25">
      <c r="A1578" s="1">
        <v>45471</v>
      </c>
      <c r="B1578" t="s">
        <v>28</v>
      </c>
      <c r="C1578" t="s">
        <v>15</v>
      </c>
      <c r="D1578" t="s">
        <v>30</v>
      </c>
      <c r="E1578" t="s">
        <v>23</v>
      </c>
      <c r="F1578">
        <v>81759</v>
      </c>
      <c r="G1578">
        <v>1316</v>
      </c>
      <c r="H1578">
        <v>1.61E-2</v>
      </c>
      <c r="I1578">
        <v>0.9</v>
      </c>
      <c r="J1578">
        <v>1184.4000000000001</v>
      </c>
      <c r="K1578">
        <v>46</v>
      </c>
      <c r="L1578">
        <v>25.75</v>
      </c>
      <c r="M1578">
        <v>6171.89</v>
      </c>
      <c r="N1578">
        <v>5.21</v>
      </c>
    </row>
    <row r="1579" spans="1:14" x14ac:dyDescent="0.25">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row>
    <row r="1580" spans="1:14" x14ac:dyDescent="0.25">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row>
    <row r="1581" spans="1:14" x14ac:dyDescent="0.25">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row>
    <row r="1582" spans="1:14" x14ac:dyDescent="0.25">
      <c r="A1582" s="1">
        <v>45444</v>
      </c>
      <c r="B1582" t="s">
        <v>18</v>
      </c>
      <c r="C1582" t="s">
        <v>24</v>
      </c>
      <c r="D1582" t="s">
        <v>22</v>
      </c>
      <c r="E1582" t="s">
        <v>27</v>
      </c>
      <c r="F1582">
        <v>52368</v>
      </c>
      <c r="G1582">
        <v>3351</v>
      </c>
      <c r="H1582">
        <v>6.4000000000000001E-2</v>
      </c>
      <c r="I1582">
        <v>0.61</v>
      </c>
      <c r="J1582">
        <v>2044.11</v>
      </c>
      <c r="K1582">
        <v>117</v>
      </c>
      <c r="L1582">
        <v>17.47</v>
      </c>
      <c r="M1582">
        <v>12829.28</v>
      </c>
      <c r="N1582">
        <v>6.28</v>
      </c>
    </row>
    <row r="1583" spans="1:14" x14ac:dyDescent="0.25">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row>
    <row r="1584" spans="1:14" x14ac:dyDescent="0.25">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row>
    <row r="1585" spans="1:14" x14ac:dyDescent="0.25">
      <c r="A1585" s="1">
        <v>45512</v>
      </c>
      <c r="B1585" t="s">
        <v>18</v>
      </c>
      <c r="C1585" t="s">
        <v>15</v>
      </c>
      <c r="D1585" t="s">
        <v>30</v>
      </c>
      <c r="E1585" t="s">
        <v>26</v>
      </c>
      <c r="F1585">
        <v>43635</v>
      </c>
      <c r="G1585">
        <v>2469</v>
      </c>
      <c r="H1585">
        <v>5.6599999999999998E-2</v>
      </c>
      <c r="I1585">
        <v>1.21</v>
      </c>
      <c r="J1585">
        <v>2987.49</v>
      </c>
      <c r="K1585">
        <v>133</v>
      </c>
      <c r="L1585">
        <v>22.46</v>
      </c>
      <c r="M1585">
        <v>19667.27</v>
      </c>
      <c r="N1585">
        <v>6.58</v>
      </c>
    </row>
    <row r="1586" spans="1:14" x14ac:dyDescent="0.25">
      <c r="A1586" s="1">
        <v>45512</v>
      </c>
      <c r="B1586" t="s">
        <v>28</v>
      </c>
      <c r="C1586" t="s">
        <v>15</v>
      </c>
      <c r="D1586" t="s">
        <v>19</v>
      </c>
      <c r="E1586" t="s">
        <v>31</v>
      </c>
      <c r="F1586">
        <v>164074</v>
      </c>
      <c r="G1586">
        <v>6152</v>
      </c>
      <c r="H1586">
        <v>3.7499999999999999E-2</v>
      </c>
      <c r="I1586">
        <v>0.95</v>
      </c>
      <c r="J1586">
        <v>5844.4</v>
      </c>
      <c r="K1586">
        <v>360</v>
      </c>
      <c r="L1586">
        <v>16.23</v>
      </c>
      <c r="M1586">
        <v>47241.24</v>
      </c>
      <c r="N1586">
        <v>8.08</v>
      </c>
    </row>
    <row r="1587" spans="1:14" x14ac:dyDescent="0.25">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row>
    <row r="1588" spans="1:14" x14ac:dyDescent="0.25">
      <c r="A1588" s="1">
        <v>45600</v>
      </c>
      <c r="B1588" t="s">
        <v>28</v>
      </c>
      <c r="C1588" t="s">
        <v>29</v>
      </c>
      <c r="D1588" t="s">
        <v>19</v>
      </c>
      <c r="E1588" t="s">
        <v>31</v>
      </c>
      <c r="F1588">
        <v>177443</v>
      </c>
      <c r="G1588">
        <v>4400</v>
      </c>
      <c r="H1588">
        <v>2.4799999999999999E-2</v>
      </c>
      <c r="I1588">
        <v>2.17</v>
      </c>
      <c r="J1588">
        <v>9548</v>
      </c>
      <c r="K1588">
        <v>231</v>
      </c>
      <c r="L1588">
        <v>41.33</v>
      </c>
      <c r="M1588">
        <v>43094.26</v>
      </c>
      <c r="N1588">
        <v>4.51</v>
      </c>
    </row>
    <row r="1589" spans="1:14" x14ac:dyDescent="0.25">
      <c r="A1589" s="1">
        <v>45402</v>
      </c>
      <c r="B1589" t="s">
        <v>18</v>
      </c>
      <c r="C1589" t="s">
        <v>24</v>
      </c>
      <c r="D1589" t="s">
        <v>19</v>
      </c>
      <c r="E1589" t="s">
        <v>17</v>
      </c>
      <c r="F1589">
        <v>141268</v>
      </c>
      <c r="G1589">
        <v>7402</v>
      </c>
      <c r="H1589">
        <v>5.2400000000000002E-2</v>
      </c>
      <c r="I1589">
        <v>1.24</v>
      </c>
      <c r="J1589">
        <v>9178.48</v>
      </c>
      <c r="K1589">
        <v>335</v>
      </c>
      <c r="L1589">
        <v>27.4</v>
      </c>
      <c r="M1589">
        <v>31326.97</v>
      </c>
      <c r="N1589">
        <v>3.41</v>
      </c>
    </row>
    <row r="1590" spans="1:14" x14ac:dyDescent="0.25">
      <c r="A1590" s="1">
        <v>45438</v>
      </c>
      <c r="B1590" t="s">
        <v>18</v>
      </c>
      <c r="C1590" t="s">
        <v>29</v>
      </c>
      <c r="D1590" t="s">
        <v>19</v>
      </c>
      <c r="E1590" t="s">
        <v>26</v>
      </c>
      <c r="F1590">
        <v>145631</v>
      </c>
      <c r="G1590">
        <v>4194</v>
      </c>
      <c r="H1590">
        <v>2.8799999999999999E-2</v>
      </c>
      <c r="I1590">
        <v>0.84</v>
      </c>
      <c r="J1590">
        <v>3522.96</v>
      </c>
      <c r="K1590">
        <v>59</v>
      </c>
      <c r="L1590">
        <v>59.71</v>
      </c>
      <c r="M1590">
        <v>15427.34</v>
      </c>
      <c r="N1590">
        <v>4.38</v>
      </c>
    </row>
    <row r="1591" spans="1:14" x14ac:dyDescent="0.25">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row>
    <row r="1592" spans="1:14" x14ac:dyDescent="0.25">
      <c r="A1592" s="1">
        <v>45609</v>
      </c>
      <c r="B1592" t="s">
        <v>18</v>
      </c>
      <c r="C1592" t="s">
        <v>21</v>
      </c>
      <c r="D1592" t="s">
        <v>22</v>
      </c>
      <c r="E1592" t="s">
        <v>20</v>
      </c>
      <c r="F1592">
        <v>72145</v>
      </c>
      <c r="G1592">
        <v>3058</v>
      </c>
      <c r="H1592">
        <v>4.24E-2</v>
      </c>
      <c r="I1592">
        <v>0.77</v>
      </c>
      <c r="J1592">
        <v>2354.66</v>
      </c>
      <c r="K1592">
        <v>78</v>
      </c>
      <c r="L1592">
        <v>30.19</v>
      </c>
      <c r="M1592">
        <v>7543.67</v>
      </c>
      <c r="N1592">
        <v>3.2</v>
      </c>
    </row>
    <row r="1593" spans="1:14" x14ac:dyDescent="0.25">
      <c r="A1593" s="1">
        <v>45355</v>
      </c>
      <c r="B1593" t="s">
        <v>28</v>
      </c>
      <c r="C1593" t="s">
        <v>21</v>
      </c>
      <c r="D1593" t="s">
        <v>25</v>
      </c>
      <c r="E1593" t="s">
        <v>17</v>
      </c>
      <c r="F1593">
        <v>113447</v>
      </c>
      <c r="G1593">
        <v>1826</v>
      </c>
      <c r="H1593">
        <v>1.61E-2</v>
      </c>
      <c r="I1593">
        <v>1.73</v>
      </c>
      <c r="J1593">
        <v>3158.98</v>
      </c>
      <c r="K1593">
        <v>24</v>
      </c>
      <c r="L1593">
        <v>131.62</v>
      </c>
      <c r="M1593">
        <v>4477.79</v>
      </c>
      <c r="N1593">
        <v>1.42</v>
      </c>
    </row>
    <row r="1594" spans="1:14" x14ac:dyDescent="0.25">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row>
    <row r="1595" spans="1:14" x14ac:dyDescent="0.25">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row>
    <row r="1596" spans="1:14" x14ac:dyDescent="0.25">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row>
    <row r="1597" spans="1:14" x14ac:dyDescent="0.25">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row>
    <row r="1598" spans="1:14" x14ac:dyDescent="0.25">
      <c r="A1598" s="1">
        <v>45387</v>
      </c>
      <c r="B1598" t="s">
        <v>18</v>
      </c>
      <c r="C1598" t="s">
        <v>24</v>
      </c>
      <c r="D1598" t="s">
        <v>22</v>
      </c>
      <c r="E1598" t="s">
        <v>17</v>
      </c>
      <c r="F1598">
        <v>184065</v>
      </c>
      <c r="G1598">
        <v>6350</v>
      </c>
      <c r="H1598">
        <v>3.4500000000000003E-2</v>
      </c>
      <c r="I1598">
        <v>1.34</v>
      </c>
      <c r="J1598">
        <v>8509</v>
      </c>
      <c r="K1598">
        <v>273</v>
      </c>
      <c r="L1598">
        <v>31.17</v>
      </c>
      <c r="M1598">
        <v>39093.51</v>
      </c>
      <c r="N1598">
        <v>4.59</v>
      </c>
    </row>
    <row r="1599" spans="1:14" x14ac:dyDescent="0.25">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row>
    <row r="1600" spans="1:14" x14ac:dyDescent="0.25">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row>
    <row r="1601" spans="1:14" x14ac:dyDescent="0.25">
      <c r="A1601" s="1">
        <v>45544</v>
      </c>
      <c r="B1601" t="s">
        <v>14</v>
      </c>
      <c r="C1601" t="s">
        <v>29</v>
      </c>
      <c r="D1601" t="s">
        <v>25</v>
      </c>
      <c r="E1601" t="s">
        <v>31</v>
      </c>
      <c r="F1601">
        <v>28068</v>
      </c>
      <c r="G1601">
        <v>990</v>
      </c>
      <c r="H1601">
        <v>3.5299999999999998E-2</v>
      </c>
      <c r="I1601">
        <v>1.01</v>
      </c>
      <c r="J1601">
        <v>999.9</v>
      </c>
      <c r="K1601">
        <v>28</v>
      </c>
      <c r="L1601">
        <v>35.71</v>
      </c>
      <c r="M1601">
        <v>5661.1</v>
      </c>
      <c r="N1601">
        <v>5.66</v>
      </c>
    </row>
    <row r="1602" spans="1:14" x14ac:dyDescent="0.25">
      <c r="A1602" s="1">
        <v>45374</v>
      </c>
      <c r="B1602" t="s">
        <v>18</v>
      </c>
      <c r="C1602" t="s">
        <v>15</v>
      </c>
      <c r="D1602" t="s">
        <v>22</v>
      </c>
      <c r="E1602" t="s">
        <v>23</v>
      </c>
      <c r="F1602">
        <v>131385</v>
      </c>
      <c r="G1602">
        <v>6910</v>
      </c>
      <c r="H1602">
        <v>5.2600000000000001E-2</v>
      </c>
      <c r="I1602">
        <v>0.34</v>
      </c>
      <c r="J1602">
        <v>2349.4</v>
      </c>
      <c r="K1602">
        <v>206</v>
      </c>
      <c r="L1602">
        <v>11.4</v>
      </c>
      <c r="M1602">
        <v>6729.96</v>
      </c>
      <c r="N1602">
        <v>2.86</v>
      </c>
    </row>
    <row r="1603" spans="1:14" x14ac:dyDescent="0.25">
      <c r="A1603" s="1">
        <v>45428</v>
      </c>
      <c r="B1603" t="s">
        <v>18</v>
      </c>
      <c r="C1603" t="s">
        <v>15</v>
      </c>
      <c r="D1603" t="s">
        <v>19</v>
      </c>
      <c r="E1603" t="s">
        <v>17</v>
      </c>
      <c r="F1603">
        <v>77882</v>
      </c>
      <c r="G1603">
        <v>3029</v>
      </c>
      <c r="H1603">
        <v>3.8899999999999997E-2</v>
      </c>
      <c r="I1603">
        <v>0.47</v>
      </c>
      <c r="J1603">
        <v>1423.63</v>
      </c>
      <c r="K1603">
        <v>228</v>
      </c>
      <c r="L1603">
        <v>6.24</v>
      </c>
      <c r="M1603">
        <v>44433.62</v>
      </c>
      <c r="N1603">
        <v>31.21</v>
      </c>
    </row>
    <row r="1604" spans="1:14" x14ac:dyDescent="0.25">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row>
    <row r="1605" spans="1:14" x14ac:dyDescent="0.25">
      <c r="A1605" s="1">
        <v>45498</v>
      </c>
      <c r="B1605" t="s">
        <v>28</v>
      </c>
      <c r="C1605" t="s">
        <v>24</v>
      </c>
      <c r="D1605" t="s">
        <v>30</v>
      </c>
      <c r="E1605" t="s">
        <v>31</v>
      </c>
      <c r="F1605">
        <v>186775</v>
      </c>
      <c r="G1605">
        <v>2409</v>
      </c>
      <c r="H1605">
        <v>1.29E-2</v>
      </c>
      <c r="I1605">
        <v>0.69</v>
      </c>
      <c r="J1605">
        <v>1662.21</v>
      </c>
      <c r="K1605">
        <v>107</v>
      </c>
      <c r="L1605">
        <v>15.53</v>
      </c>
      <c r="M1605">
        <v>10079.709999999999</v>
      </c>
      <c r="N1605">
        <v>6.06</v>
      </c>
    </row>
    <row r="1606" spans="1:14" x14ac:dyDescent="0.25">
      <c r="A1606" s="1">
        <v>45397</v>
      </c>
      <c r="B1606" t="s">
        <v>14</v>
      </c>
      <c r="C1606" t="s">
        <v>21</v>
      </c>
      <c r="D1606" t="s">
        <v>16</v>
      </c>
      <c r="E1606" t="s">
        <v>31</v>
      </c>
      <c r="F1606">
        <v>57328</v>
      </c>
      <c r="G1606">
        <v>2161</v>
      </c>
      <c r="H1606">
        <v>3.7699999999999997E-2</v>
      </c>
      <c r="I1606">
        <v>1.53</v>
      </c>
      <c r="J1606">
        <v>3306.33</v>
      </c>
      <c r="K1606">
        <v>99</v>
      </c>
      <c r="L1606">
        <v>33.4</v>
      </c>
      <c r="M1606">
        <v>17903.97</v>
      </c>
      <c r="N1606">
        <v>5.42</v>
      </c>
    </row>
    <row r="1607" spans="1:14" x14ac:dyDescent="0.25">
      <c r="A1607" s="1">
        <v>45344</v>
      </c>
      <c r="B1607" t="s">
        <v>14</v>
      </c>
      <c r="C1607" t="s">
        <v>21</v>
      </c>
      <c r="D1607" t="s">
        <v>25</v>
      </c>
      <c r="E1607" t="s">
        <v>31</v>
      </c>
      <c r="F1607">
        <v>87570</v>
      </c>
      <c r="G1607">
        <v>3415</v>
      </c>
      <c r="H1607">
        <v>3.9E-2</v>
      </c>
      <c r="I1607">
        <v>2.57</v>
      </c>
      <c r="J1607">
        <v>8776.5499999999993</v>
      </c>
      <c r="K1607">
        <v>236</v>
      </c>
      <c r="L1607">
        <v>37.19</v>
      </c>
      <c r="M1607">
        <v>46705.85</v>
      </c>
      <c r="N1607">
        <v>5.32</v>
      </c>
    </row>
    <row r="1608" spans="1:14" x14ac:dyDescent="0.25">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row>
    <row r="1609" spans="1:14" x14ac:dyDescent="0.25">
      <c r="A1609" s="1">
        <v>45600</v>
      </c>
      <c r="B1609" t="s">
        <v>14</v>
      </c>
      <c r="C1609" t="s">
        <v>29</v>
      </c>
      <c r="D1609" t="s">
        <v>25</v>
      </c>
      <c r="E1609" t="s">
        <v>32</v>
      </c>
      <c r="F1609">
        <v>91861</v>
      </c>
      <c r="G1609">
        <v>2535</v>
      </c>
      <c r="H1609">
        <v>2.76E-2</v>
      </c>
      <c r="I1609">
        <v>1.24</v>
      </c>
      <c r="J1609">
        <v>3143.4</v>
      </c>
      <c r="K1609">
        <v>137</v>
      </c>
      <c r="L1609">
        <v>22.94</v>
      </c>
      <c r="M1609">
        <v>8299.82</v>
      </c>
      <c r="N1609">
        <v>2.64</v>
      </c>
    </row>
    <row r="1610" spans="1:14" x14ac:dyDescent="0.25">
      <c r="A1610" s="1">
        <v>45447</v>
      </c>
      <c r="B1610" t="s">
        <v>28</v>
      </c>
      <c r="C1610" t="s">
        <v>15</v>
      </c>
      <c r="D1610" t="s">
        <v>30</v>
      </c>
      <c r="E1610" t="s">
        <v>32</v>
      </c>
      <c r="F1610">
        <v>16920</v>
      </c>
      <c r="G1610">
        <v>389</v>
      </c>
      <c r="H1610">
        <v>2.3E-2</v>
      </c>
      <c r="I1610">
        <v>1.23</v>
      </c>
      <c r="J1610">
        <v>478.47</v>
      </c>
      <c r="K1610">
        <v>15</v>
      </c>
      <c r="L1610">
        <v>31.9</v>
      </c>
      <c r="M1610">
        <v>3222.58</v>
      </c>
      <c r="N1610">
        <v>6.74</v>
      </c>
    </row>
    <row r="1611" spans="1:14" x14ac:dyDescent="0.25">
      <c r="A1611" s="1">
        <v>45520</v>
      </c>
      <c r="B1611" t="s">
        <v>28</v>
      </c>
      <c r="C1611" t="s">
        <v>24</v>
      </c>
      <c r="D1611" t="s">
        <v>22</v>
      </c>
      <c r="E1611" t="s">
        <v>31</v>
      </c>
      <c r="F1611">
        <v>117421</v>
      </c>
      <c r="G1611">
        <v>3428</v>
      </c>
      <c r="H1611">
        <v>2.92E-2</v>
      </c>
      <c r="I1611">
        <v>0.61</v>
      </c>
      <c r="J1611">
        <v>2091.08</v>
      </c>
      <c r="K1611">
        <v>99</v>
      </c>
      <c r="L1611">
        <v>21.12</v>
      </c>
      <c r="M1611">
        <v>25079.21</v>
      </c>
      <c r="N1611">
        <v>11.99</v>
      </c>
    </row>
    <row r="1612" spans="1:14" x14ac:dyDescent="0.25">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row>
    <row r="1613" spans="1:14" x14ac:dyDescent="0.25">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row>
    <row r="1614" spans="1:14" x14ac:dyDescent="0.25">
      <c r="A1614" s="1">
        <v>45501</v>
      </c>
      <c r="B1614" t="s">
        <v>14</v>
      </c>
      <c r="C1614" t="s">
        <v>29</v>
      </c>
      <c r="D1614" t="s">
        <v>16</v>
      </c>
      <c r="E1614" t="s">
        <v>27</v>
      </c>
      <c r="F1614">
        <v>35702</v>
      </c>
      <c r="G1614">
        <v>999</v>
      </c>
      <c r="H1614">
        <v>2.8000000000000001E-2</v>
      </c>
      <c r="I1614">
        <v>1.58</v>
      </c>
      <c r="J1614">
        <v>1578.42</v>
      </c>
      <c r="K1614">
        <v>15</v>
      </c>
      <c r="L1614">
        <v>105.23</v>
      </c>
      <c r="M1614">
        <v>2820.45</v>
      </c>
      <c r="N1614">
        <v>1.79</v>
      </c>
    </row>
    <row r="1615" spans="1:14" x14ac:dyDescent="0.25">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row>
    <row r="1616" spans="1:14" x14ac:dyDescent="0.25">
      <c r="A1616" s="1">
        <v>45453</v>
      </c>
      <c r="B1616" t="s">
        <v>14</v>
      </c>
      <c r="C1616" t="s">
        <v>15</v>
      </c>
      <c r="D1616" t="s">
        <v>30</v>
      </c>
      <c r="E1616" t="s">
        <v>17</v>
      </c>
      <c r="F1616">
        <v>119235</v>
      </c>
      <c r="G1616">
        <v>5258</v>
      </c>
      <c r="H1616">
        <v>4.41E-2</v>
      </c>
      <c r="I1616">
        <v>1.1000000000000001</v>
      </c>
      <c r="J1616">
        <v>5783.8</v>
      </c>
      <c r="K1616">
        <v>141</v>
      </c>
      <c r="L1616">
        <v>41.02</v>
      </c>
      <c r="M1616">
        <v>24150.02</v>
      </c>
      <c r="N1616">
        <v>4.18</v>
      </c>
    </row>
    <row r="1617" spans="1:14" x14ac:dyDescent="0.25">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row>
    <row r="1618" spans="1:14" x14ac:dyDescent="0.25">
      <c r="A1618" s="1">
        <v>45642</v>
      </c>
      <c r="B1618" t="s">
        <v>18</v>
      </c>
      <c r="C1618" t="s">
        <v>21</v>
      </c>
      <c r="D1618" t="s">
        <v>16</v>
      </c>
      <c r="E1618" t="s">
        <v>23</v>
      </c>
      <c r="F1618">
        <v>27584</v>
      </c>
      <c r="G1618">
        <v>1561</v>
      </c>
      <c r="H1618">
        <v>5.6599999999999998E-2</v>
      </c>
      <c r="I1618">
        <v>0.94</v>
      </c>
      <c r="J1618">
        <v>1467.34</v>
      </c>
      <c r="K1618">
        <v>93</v>
      </c>
      <c r="L1618">
        <v>15.78</v>
      </c>
      <c r="M1618">
        <v>19425.98</v>
      </c>
      <c r="N1618">
        <v>13.24</v>
      </c>
    </row>
    <row r="1619" spans="1:14" x14ac:dyDescent="0.25">
      <c r="A1619" s="1">
        <v>45437</v>
      </c>
      <c r="B1619" t="s">
        <v>14</v>
      </c>
      <c r="C1619" t="s">
        <v>24</v>
      </c>
      <c r="D1619" t="s">
        <v>25</v>
      </c>
      <c r="E1619" t="s">
        <v>26</v>
      </c>
      <c r="F1619">
        <v>194928</v>
      </c>
      <c r="G1619">
        <v>9161</v>
      </c>
      <c r="H1619">
        <v>4.7E-2</v>
      </c>
      <c r="I1619">
        <v>1.88</v>
      </c>
      <c r="J1619">
        <v>17222.68</v>
      </c>
      <c r="K1619">
        <v>571</v>
      </c>
      <c r="L1619">
        <v>30.16</v>
      </c>
      <c r="M1619">
        <v>17839.23</v>
      </c>
      <c r="N1619">
        <v>1.04</v>
      </c>
    </row>
    <row r="1620" spans="1:14" x14ac:dyDescent="0.25">
      <c r="A1620" s="1">
        <v>45591</v>
      </c>
      <c r="B1620" t="s">
        <v>14</v>
      </c>
      <c r="C1620" t="s">
        <v>15</v>
      </c>
      <c r="D1620" t="s">
        <v>30</v>
      </c>
      <c r="E1620" t="s">
        <v>32</v>
      </c>
      <c r="F1620">
        <v>90349</v>
      </c>
      <c r="G1620">
        <v>5420</v>
      </c>
      <c r="H1620">
        <v>0.06</v>
      </c>
      <c r="I1620">
        <v>3.02</v>
      </c>
      <c r="J1620">
        <v>16368.4</v>
      </c>
      <c r="K1620">
        <v>105</v>
      </c>
      <c r="L1620">
        <v>155.88999999999999</v>
      </c>
      <c r="M1620">
        <v>16913.07</v>
      </c>
      <c r="N1620">
        <v>1.03</v>
      </c>
    </row>
    <row r="1621" spans="1:14" x14ac:dyDescent="0.25">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row>
    <row r="1622" spans="1:14" x14ac:dyDescent="0.25">
      <c r="A1622" s="1">
        <v>45510</v>
      </c>
      <c r="B1622" t="s">
        <v>14</v>
      </c>
      <c r="C1622" t="s">
        <v>29</v>
      </c>
      <c r="D1622" t="s">
        <v>22</v>
      </c>
      <c r="E1622" t="s">
        <v>23</v>
      </c>
      <c r="F1622">
        <v>54158</v>
      </c>
      <c r="G1622">
        <v>3374</v>
      </c>
      <c r="H1622">
        <v>6.2300000000000001E-2</v>
      </c>
      <c r="I1622">
        <v>0.81</v>
      </c>
      <c r="J1622">
        <v>2732.94</v>
      </c>
      <c r="K1622">
        <v>55</v>
      </c>
      <c r="L1622">
        <v>49.69</v>
      </c>
      <c r="M1622">
        <v>5839.17</v>
      </c>
      <c r="N1622">
        <v>2.14</v>
      </c>
    </row>
    <row r="1623" spans="1:14" x14ac:dyDescent="0.25">
      <c r="A1623" s="1">
        <v>45293</v>
      </c>
      <c r="B1623" t="s">
        <v>28</v>
      </c>
      <c r="C1623" t="s">
        <v>29</v>
      </c>
      <c r="D1623" t="s">
        <v>25</v>
      </c>
      <c r="E1623" t="s">
        <v>20</v>
      </c>
      <c r="F1623">
        <v>143485</v>
      </c>
      <c r="G1623">
        <v>3945</v>
      </c>
      <c r="H1623">
        <v>2.75E-2</v>
      </c>
      <c r="I1623">
        <v>0.71</v>
      </c>
      <c r="J1623">
        <v>2800.95</v>
      </c>
      <c r="K1623">
        <v>187</v>
      </c>
      <c r="L1623">
        <v>14.98</v>
      </c>
      <c r="M1623">
        <v>30765.32</v>
      </c>
      <c r="N1623">
        <v>10.98</v>
      </c>
    </row>
    <row r="1624" spans="1:14" x14ac:dyDescent="0.25">
      <c r="A1624" s="1">
        <v>45340</v>
      </c>
      <c r="B1624" t="s">
        <v>14</v>
      </c>
      <c r="C1624" t="s">
        <v>21</v>
      </c>
      <c r="D1624" t="s">
        <v>16</v>
      </c>
      <c r="E1624" t="s">
        <v>27</v>
      </c>
      <c r="F1624">
        <v>165470</v>
      </c>
      <c r="G1624">
        <v>4136</v>
      </c>
      <c r="H1624">
        <v>2.5000000000000001E-2</v>
      </c>
      <c r="I1624">
        <v>0.82</v>
      </c>
      <c r="J1624">
        <v>3391.52</v>
      </c>
      <c r="K1624">
        <v>56</v>
      </c>
      <c r="L1624">
        <v>60.56</v>
      </c>
      <c r="M1624">
        <v>12113.24</v>
      </c>
      <c r="N1624">
        <v>3.57</v>
      </c>
    </row>
    <row r="1625" spans="1:14" x14ac:dyDescent="0.25">
      <c r="A1625" s="1">
        <v>45423</v>
      </c>
      <c r="B1625" t="s">
        <v>28</v>
      </c>
      <c r="C1625" t="s">
        <v>15</v>
      </c>
      <c r="D1625" t="s">
        <v>19</v>
      </c>
      <c r="E1625" t="s">
        <v>23</v>
      </c>
      <c r="F1625">
        <v>112596</v>
      </c>
      <c r="G1625">
        <v>2668</v>
      </c>
      <c r="H1625">
        <v>2.3699999999999999E-2</v>
      </c>
      <c r="I1625">
        <v>1.2</v>
      </c>
      <c r="J1625">
        <v>3201.6</v>
      </c>
      <c r="K1625">
        <v>39</v>
      </c>
      <c r="L1625">
        <v>82.09</v>
      </c>
      <c r="M1625">
        <v>10899.61</v>
      </c>
      <c r="N1625">
        <v>3.4</v>
      </c>
    </row>
    <row r="1626" spans="1:14" x14ac:dyDescent="0.25">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row>
    <row r="1627" spans="1:14" x14ac:dyDescent="0.25">
      <c r="A1627" s="1">
        <v>45468</v>
      </c>
      <c r="B1627" t="s">
        <v>14</v>
      </c>
      <c r="C1627" t="s">
        <v>29</v>
      </c>
      <c r="D1627" t="s">
        <v>22</v>
      </c>
      <c r="E1627" t="s">
        <v>17</v>
      </c>
      <c r="F1627">
        <v>162454</v>
      </c>
      <c r="G1627">
        <v>4337</v>
      </c>
      <c r="H1627">
        <v>2.6700000000000002E-2</v>
      </c>
      <c r="I1627">
        <v>1.57</v>
      </c>
      <c r="J1627">
        <v>6809.09</v>
      </c>
      <c r="K1627">
        <v>329</v>
      </c>
      <c r="L1627">
        <v>20.7</v>
      </c>
      <c r="M1627">
        <v>13568.06</v>
      </c>
      <c r="N1627">
        <v>1.99</v>
      </c>
    </row>
    <row r="1628" spans="1:14" x14ac:dyDescent="0.25">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row>
    <row r="1629" spans="1:14" x14ac:dyDescent="0.25">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row>
    <row r="1630" spans="1:14" x14ac:dyDescent="0.25">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row>
    <row r="1631" spans="1:14" x14ac:dyDescent="0.25">
      <c r="A1631" s="1">
        <v>45438</v>
      </c>
      <c r="B1631" t="s">
        <v>14</v>
      </c>
      <c r="C1631" t="s">
        <v>15</v>
      </c>
      <c r="D1631" t="s">
        <v>16</v>
      </c>
      <c r="E1631" t="s">
        <v>17</v>
      </c>
      <c r="F1631">
        <v>88442</v>
      </c>
      <c r="G1631">
        <v>2485</v>
      </c>
      <c r="H1631">
        <v>2.81E-2</v>
      </c>
      <c r="I1631">
        <v>2.89</v>
      </c>
      <c r="J1631">
        <v>7181.65</v>
      </c>
      <c r="K1631">
        <v>69</v>
      </c>
      <c r="L1631">
        <v>104.08</v>
      </c>
      <c r="M1631">
        <v>12989.18</v>
      </c>
      <c r="N1631">
        <v>1.81</v>
      </c>
    </row>
    <row r="1632" spans="1:14" x14ac:dyDescent="0.25">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row>
    <row r="1633" spans="1:14" x14ac:dyDescent="0.25">
      <c r="A1633" s="1">
        <v>45580</v>
      </c>
      <c r="B1633" t="s">
        <v>28</v>
      </c>
      <c r="C1633" t="s">
        <v>15</v>
      </c>
      <c r="D1633" t="s">
        <v>25</v>
      </c>
      <c r="E1633" t="s">
        <v>20</v>
      </c>
      <c r="F1633">
        <v>30392</v>
      </c>
      <c r="G1633">
        <v>1325</v>
      </c>
      <c r="H1633">
        <v>4.36E-2</v>
      </c>
      <c r="I1633">
        <v>1.31</v>
      </c>
      <c r="J1633">
        <v>1735.75</v>
      </c>
      <c r="K1633">
        <v>101</v>
      </c>
      <c r="L1633">
        <v>17.190000000000001</v>
      </c>
      <c r="M1633">
        <v>3539.63</v>
      </c>
      <c r="N1633">
        <v>2.04</v>
      </c>
    </row>
    <row r="1634" spans="1:14" x14ac:dyDescent="0.25">
      <c r="A1634" s="1">
        <v>45422</v>
      </c>
      <c r="B1634" t="s">
        <v>14</v>
      </c>
      <c r="C1634" t="s">
        <v>21</v>
      </c>
      <c r="D1634" t="s">
        <v>30</v>
      </c>
      <c r="E1634" t="s">
        <v>31</v>
      </c>
      <c r="F1634">
        <v>94412</v>
      </c>
      <c r="G1634">
        <v>4786</v>
      </c>
      <c r="H1634">
        <v>5.0700000000000002E-2</v>
      </c>
      <c r="I1634">
        <v>1.29</v>
      </c>
      <c r="J1634">
        <v>6173.94</v>
      </c>
      <c r="K1634">
        <v>343</v>
      </c>
      <c r="L1634">
        <v>18</v>
      </c>
      <c r="M1634">
        <v>93767.6</v>
      </c>
      <c r="N1634">
        <v>15.19</v>
      </c>
    </row>
    <row r="1635" spans="1:14" x14ac:dyDescent="0.25">
      <c r="A1635" s="1">
        <v>45433</v>
      </c>
      <c r="B1635" t="s">
        <v>14</v>
      </c>
      <c r="C1635" t="s">
        <v>21</v>
      </c>
      <c r="D1635" t="s">
        <v>19</v>
      </c>
      <c r="E1635" t="s">
        <v>20</v>
      </c>
      <c r="F1635">
        <v>56305</v>
      </c>
      <c r="G1635">
        <v>1644</v>
      </c>
      <c r="H1635">
        <v>2.92E-2</v>
      </c>
      <c r="I1635">
        <v>1.65</v>
      </c>
      <c r="J1635">
        <v>2712.6</v>
      </c>
      <c r="K1635">
        <v>126</v>
      </c>
      <c r="L1635">
        <v>21.53</v>
      </c>
      <c r="M1635">
        <v>24269.48</v>
      </c>
      <c r="N1635">
        <v>8.9499999999999993</v>
      </c>
    </row>
    <row r="1636" spans="1:14" x14ac:dyDescent="0.25">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row>
    <row r="1637" spans="1:14" x14ac:dyDescent="0.25">
      <c r="A1637" s="1">
        <v>45652</v>
      </c>
      <c r="B1637" t="s">
        <v>28</v>
      </c>
      <c r="C1637" t="s">
        <v>29</v>
      </c>
      <c r="D1637" t="s">
        <v>19</v>
      </c>
      <c r="E1637" t="s">
        <v>32</v>
      </c>
      <c r="F1637">
        <v>27169</v>
      </c>
      <c r="G1637">
        <v>546</v>
      </c>
      <c r="H1637">
        <v>2.01E-2</v>
      </c>
      <c r="I1637">
        <v>1.08</v>
      </c>
      <c r="J1637">
        <v>589.67999999999995</v>
      </c>
      <c r="K1637">
        <v>15</v>
      </c>
      <c r="L1637">
        <v>39.31</v>
      </c>
      <c r="M1637">
        <v>1578.78</v>
      </c>
      <c r="N1637">
        <v>2.68</v>
      </c>
    </row>
    <row r="1638" spans="1:14" x14ac:dyDescent="0.25">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row>
    <row r="1639" spans="1:14" x14ac:dyDescent="0.25">
      <c r="A1639" s="1">
        <v>45491</v>
      </c>
      <c r="B1639" t="s">
        <v>14</v>
      </c>
      <c r="C1639" t="s">
        <v>24</v>
      </c>
      <c r="D1639" t="s">
        <v>16</v>
      </c>
      <c r="E1639" t="s">
        <v>23</v>
      </c>
      <c r="F1639">
        <v>20797</v>
      </c>
      <c r="G1639">
        <v>846</v>
      </c>
      <c r="H1639">
        <v>4.07E-2</v>
      </c>
      <c r="I1639">
        <v>1.08</v>
      </c>
      <c r="J1639">
        <v>913.68</v>
      </c>
      <c r="K1639">
        <v>56</v>
      </c>
      <c r="L1639">
        <v>16.32</v>
      </c>
      <c r="M1639">
        <v>11660.97</v>
      </c>
      <c r="N1639">
        <v>12.76</v>
      </c>
    </row>
    <row r="1640" spans="1:14" x14ac:dyDescent="0.25">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row>
    <row r="1641" spans="1:14" x14ac:dyDescent="0.25">
      <c r="A1641" s="1">
        <v>45446</v>
      </c>
      <c r="B1641" t="s">
        <v>18</v>
      </c>
      <c r="C1641" t="s">
        <v>24</v>
      </c>
      <c r="D1641" t="s">
        <v>30</v>
      </c>
      <c r="E1641" t="s">
        <v>27</v>
      </c>
      <c r="F1641">
        <v>77726</v>
      </c>
      <c r="G1641">
        <v>2557</v>
      </c>
      <c r="H1641">
        <v>3.2899999999999999E-2</v>
      </c>
      <c r="I1641">
        <v>0.49</v>
      </c>
      <c r="J1641">
        <v>1252.93</v>
      </c>
      <c r="K1641">
        <v>37</v>
      </c>
      <c r="L1641">
        <v>33.86</v>
      </c>
      <c r="M1641">
        <v>2932.31</v>
      </c>
      <c r="N1641">
        <v>2.34</v>
      </c>
    </row>
    <row r="1642" spans="1:14" x14ac:dyDescent="0.25">
      <c r="A1642" s="1">
        <v>45361</v>
      </c>
      <c r="B1642" t="s">
        <v>28</v>
      </c>
      <c r="C1642" t="s">
        <v>15</v>
      </c>
      <c r="D1642" t="s">
        <v>19</v>
      </c>
      <c r="E1642" t="s">
        <v>32</v>
      </c>
      <c r="F1642">
        <v>23123</v>
      </c>
      <c r="G1642">
        <v>286</v>
      </c>
      <c r="H1642">
        <v>1.24E-2</v>
      </c>
      <c r="I1642">
        <v>1.21</v>
      </c>
      <c r="J1642">
        <v>346.06</v>
      </c>
      <c r="K1642">
        <v>3</v>
      </c>
      <c r="L1642">
        <v>115.35</v>
      </c>
      <c r="M1642">
        <v>585.70000000000005</v>
      </c>
      <c r="N1642">
        <v>1.69</v>
      </c>
    </row>
    <row r="1643" spans="1:14" x14ac:dyDescent="0.25">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row>
    <row r="1644" spans="1:14" x14ac:dyDescent="0.25">
      <c r="A1644" s="1">
        <v>45429</v>
      </c>
      <c r="B1644" t="s">
        <v>14</v>
      </c>
      <c r="C1644" t="s">
        <v>15</v>
      </c>
      <c r="D1644" t="s">
        <v>22</v>
      </c>
      <c r="E1644" t="s">
        <v>23</v>
      </c>
      <c r="F1644">
        <v>159251</v>
      </c>
      <c r="G1644">
        <v>9172</v>
      </c>
      <c r="H1644">
        <v>5.7599999999999998E-2</v>
      </c>
      <c r="I1644">
        <v>2.84</v>
      </c>
      <c r="J1644">
        <v>26048.48</v>
      </c>
      <c r="K1644">
        <v>407</v>
      </c>
      <c r="L1644">
        <v>64</v>
      </c>
      <c r="M1644">
        <v>30602.6</v>
      </c>
      <c r="N1644">
        <v>1.17</v>
      </c>
    </row>
    <row r="1645" spans="1:14" x14ac:dyDescent="0.25">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row>
    <row r="1646" spans="1:14" x14ac:dyDescent="0.25">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row>
    <row r="1647" spans="1:14" x14ac:dyDescent="0.25">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row>
    <row r="1648" spans="1:14" x14ac:dyDescent="0.25">
      <c r="A1648" s="1">
        <v>45538</v>
      </c>
      <c r="B1648" t="s">
        <v>18</v>
      </c>
      <c r="C1648" t="s">
        <v>21</v>
      </c>
      <c r="D1648" t="s">
        <v>25</v>
      </c>
      <c r="E1648" t="s">
        <v>17</v>
      </c>
      <c r="F1648">
        <v>64222</v>
      </c>
      <c r="G1648">
        <v>2067</v>
      </c>
      <c r="H1648">
        <v>3.2199999999999999E-2</v>
      </c>
      <c r="I1648">
        <v>1.89</v>
      </c>
      <c r="J1648">
        <v>3906.63</v>
      </c>
      <c r="K1648">
        <v>68</v>
      </c>
      <c r="L1648">
        <v>57.45</v>
      </c>
      <c r="M1648">
        <v>14851.97</v>
      </c>
      <c r="N1648">
        <v>3.8</v>
      </c>
    </row>
    <row r="1649" spans="1:14" x14ac:dyDescent="0.25">
      <c r="A1649" s="1">
        <v>45481</v>
      </c>
      <c r="B1649" t="s">
        <v>18</v>
      </c>
      <c r="C1649" t="s">
        <v>24</v>
      </c>
      <c r="D1649" t="s">
        <v>22</v>
      </c>
      <c r="E1649" t="s">
        <v>31</v>
      </c>
      <c r="F1649">
        <v>116739</v>
      </c>
      <c r="G1649">
        <v>4319</v>
      </c>
      <c r="H1649">
        <v>3.6999999999999998E-2</v>
      </c>
      <c r="I1649">
        <v>0.34</v>
      </c>
      <c r="J1649">
        <v>1468.46</v>
      </c>
      <c r="K1649">
        <v>306</v>
      </c>
      <c r="L1649">
        <v>4.8</v>
      </c>
      <c r="M1649">
        <v>46873.98</v>
      </c>
      <c r="N1649">
        <v>31.92</v>
      </c>
    </row>
    <row r="1650" spans="1:14" x14ac:dyDescent="0.25">
      <c r="A1650" s="1">
        <v>45656</v>
      </c>
      <c r="B1650" t="s">
        <v>28</v>
      </c>
      <c r="C1650" t="s">
        <v>24</v>
      </c>
      <c r="D1650" t="s">
        <v>22</v>
      </c>
      <c r="E1650" t="s">
        <v>23</v>
      </c>
      <c r="F1650">
        <v>50869</v>
      </c>
      <c r="G1650">
        <v>890</v>
      </c>
      <c r="H1650">
        <v>1.7500000000000002E-2</v>
      </c>
      <c r="I1650">
        <v>1.08</v>
      </c>
      <c r="J1650">
        <v>961.2</v>
      </c>
      <c r="K1650">
        <v>61</v>
      </c>
      <c r="L1650">
        <v>15.76</v>
      </c>
      <c r="M1650">
        <v>16803.54</v>
      </c>
      <c r="N1650">
        <v>17.48</v>
      </c>
    </row>
    <row r="1651" spans="1:14" x14ac:dyDescent="0.25">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row>
    <row r="1652" spans="1:14" x14ac:dyDescent="0.25">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row>
    <row r="1653" spans="1:14" x14ac:dyDescent="0.25">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row>
    <row r="1654" spans="1:14" x14ac:dyDescent="0.25">
      <c r="A1654" s="1">
        <v>45457</v>
      </c>
      <c r="B1654" t="s">
        <v>14</v>
      </c>
      <c r="C1654" t="s">
        <v>21</v>
      </c>
      <c r="D1654" t="s">
        <v>19</v>
      </c>
      <c r="E1654" t="s">
        <v>23</v>
      </c>
      <c r="F1654">
        <v>40306</v>
      </c>
      <c r="G1654">
        <v>1176</v>
      </c>
      <c r="H1654">
        <v>2.92E-2</v>
      </c>
      <c r="I1654">
        <v>0.85</v>
      </c>
      <c r="J1654">
        <v>999.6</v>
      </c>
      <c r="K1654">
        <v>41</v>
      </c>
      <c r="L1654">
        <v>24.38</v>
      </c>
      <c r="M1654">
        <v>11838.48</v>
      </c>
      <c r="N1654">
        <v>11.84</v>
      </c>
    </row>
    <row r="1655" spans="1:14" x14ac:dyDescent="0.25">
      <c r="A1655" s="1">
        <v>45351</v>
      </c>
      <c r="B1655" t="s">
        <v>18</v>
      </c>
      <c r="C1655" t="s">
        <v>15</v>
      </c>
      <c r="D1655" t="s">
        <v>16</v>
      </c>
      <c r="E1655" t="s">
        <v>27</v>
      </c>
      <c r="F1655">
        <v>138025</v>
      </c>
      <c r="G1655">
        <v>9192</v>
      </c>
      <c r="H1655">
        <v>6.6600000000000006E-2</v>
      </c>
      <c r="I1655">
        <v>0.64</v>
      </c>
      <c r="J1655">
        <v>5882.88</v>
      </c>
      <c r="K1655">
        <v>420</v>
      </c>
      <c r="L1655">
        <v>14.01</v>
      </c>
      <c r="M1655">
        <v>38810.35</v>
      </c>
      <c r="N1655">
        <v>6.6</v>
      </c>
    </row>
    <row r="1656" spans="1:14" x14ac:dyDescent="0.25">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row>
    <row r="1657" spans="1:14" x14ac:dyDescent="0.25">
      <c r="A1657" s="1">
        <v>45542</v>
      </c>
      <c r="B1657" t="s">
        <v>18</v>
      </c>
      <c r="C1657" t="s">
        <v>29</v>
      </c>
      <c r="D1657" t="s">
        <v>16</v>
      </c>
      <c r="E1657" t="s">
        <v>23</v>
      </c>
      <c r="F1657">
        <v>168297</v>
      </c>
      <c r="G1657">
        <v>10535</v>
      </c>
      <c r="H1657">
        <v>6.2600000000000003E-2</v>
      </c>
      <c r="I1657">
        <v>1.4</v>
      </c>
      <c r="J1657">
        <v>14749</v>
      </c>
      <c r="K1657">
        <v>561</v>
      </c>
      <c r="L1657">
        <v>26.29</v>
      </c>
      <c r="M1657">
        <v>30094.65</v>
      </c>
      <c r="N1657">
        <v>2.04</v>
      </c>
    </row>
    <row r="1658" spans="1:14" x14ac:dyDescent="0.25">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row>
    <row r="1659" spans="1:14" x14ac:dyDescent="0.25">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row>
    <row r="1660" spans="1:14" x14ac:dyDescent="0.25">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row>
    <row r="1661" spans="1:14" x14ac:dyDescent="0.25">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row>
    <row r="1662" spans="1:14" x14ac:dyDescent="0.25">
      <c r="A1662" s="1">
        <v>45467</v>
      </c>
      <c r="B1662" t="s">
        <v>28</v>
      </c>
      <c r="C1662" t="s">
        <v>21</v>
      </c>
      <c r="D1662" t="s">
        <v>22</v>
      </c>
      <c r="E1662" t="s">
        <v>31</v>
      </c>
      <c r="F1662">
        <v>93003</v>
      </c>
      <c r="G1662">
        <v>1283</v>
      </c>
      <c r="H1662">
        <v>1.38E-2</v>
      </c>
      <c r="I1662">
        <v>1.76</v>
      </c>
      <c r="J1662">
        <v>2258.08</v>
      </c>
      <c r="K1662">
        <v>49</v>
      </c>
      <c r="L1662">
        <v>46.08</v>
      </c>
      <c r="M1662">
        <v>1614.11</v>
      </c>
      <c r="N1662">
        <v>0.71</v>
      </c>
    </row>
    <row r="1663" spans="1:14" x14ac:dyDescent="0.25">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row>
    <row r="1664" spans="1:14" x14ac:dyDescent="0.25">
      <c r="A1664" s="1">
        <v>45434</v>
      </c>
      <c r="B1664" t="s">
        <v>28</v>
      </c>
      <c r="C1664" t="s">
        <v>29</v>
      </c>
      <c r="D1664" t="s">
        <v>25</v>
      </c>
      <c r="E1664" t="s">
        <v>23</v>
      </c>
      <c r="F1664">
        <v>165321</v>
      </c>
      <c r="G1664">
        <v>4447</v>
      </c>
      <c r="H1664">
        <v>2.69E-2</v>
      </c>
      <c r="I1664">
        <v>1.56</v>
      </c>
      <c r="J1664">
        <v>6937.32</v>
      </c>
      <c r="K1664">
        <v>301</v>
      </c>
      <c r="L1664">
        <v>23.05</v>
      </c>
      <c r="M1664">
        <v>23975.23</v>
      </c>
      <c r="N1664">
        <v>3.46</v>
      </c>
    </row>
    <row r="1665" spans="1:14" x14ac:dyDescent="0.25">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row>
    <row r="1666" spans="1:14" x14ac:dyDescent="0.25">
      <c r="A1666" s="1">
        <v>45349</v>
      </c>
      <c r="B1666" t="s">
        <v>18</v>
      </c>
      <c r="C1666" t="s">
        <v>29</v>
      </c>
      <c r="D1666" t="s">
        <v>30</v>
      </c>
      <c r="E1666" t="s">
        <v>26</v>
      </c>
      <c r="F1666">
        <v>7978</v>
      </c>
      <c r="G1666">
        <v>557</v>
      </c>
      <c r="H1666">
        <v>6.9900000000000004E-2</v>
      </c>
      <c r="I1666">
        <v>0.61</v>
      </c>
      <c r="J1666">
        <v>339.77</v>
      </c>
      <c r="K1666">
        <v>34</v>
      </c>
      <c r="L1666">
        <v>9.99</v>
      </c>
      <c r="M1666">
        <v>6686.61</v>
      </c>
      <c r="N1666">
        <v>19.68</v>
      </c>
    </row>
    <row r="1667" spans="1:14" x14ac:dyDescent="0.25">
      <c r="A1667" s="1">
        <v>45330</v>
      </c>
      <c r="B1667" t="s">
        <v>18</v>
      </c>
      <c r="C1667" t="s">
        <v>29</v>
      </c>
      <c r="D1667" t="s">
        <v>16</v>
      </c>
      <c r="E1667" t="s">
        <v>26</v>
      </c>
      <c r="F1667">
        <v>113994</v>
      </c>
      <c r="G1667">
        <v>4320</v>
      </c>
      <c r="H1667">
        <v>3.7900000000000003E-2</v>
      </c>
      <c r="I1667">
        <v>0.77</v>
      </c>
      <c r="J1667">
        <v>3326.4</v>
      </c>
      <c r="K1667">
        <v>142</v>
      </c>
      <c r="L1667">
        <v>23.43</v>
      </c>
      <c r="M1667">
        <v>25985.24</v>
      </c>
      <c r="N1667">
        <v>7.81</v>
      </c>
    </row>
    <row r="1668" spans="1:14" x14ac:dyDescent="0.25">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row>
    <row r="1669" spans="1:14" x14ac:dyDescent="0.25">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row>
    <row r="1670" spans="1:14" x14ac:dyDescent="0.25">
      <c r="A1670" s="1">
        <v>45490</v>
      </c>
      <c r="B1670" t="s">
        <v>14</v>
      </c>
      <c r="C1670" t="s">
        <v>24</v>
      </c>
      <c r="D1670" t="s">
        <v>22</v>
      </c>
      <c r="E1670" t="s">
        <v>17</v>
      </c>
      <c r="F1670">
        <v>99805</v>
      </c>
      <c r="G1670">
        <v>1936</v>
      </c>
      <c r="H1670">
        <v>1.9400000000000001E-2</v>
      </c>
      <c r="I1670">
        <v>1.4</v>
      </c>
      <c r="J1670">
        <v>2710.4</v>
      </c>
      <c r="K1670">
        <v>112</v>
      </c>
      <c r="L1670">
        <v>24.2</v>
      </c>
      <c r="M1670">
        <v>29346.97</v>
      </c>
      <c r="N1670">
        <v>10.83</v>
      </c>
    </row>
    <row r="1671" spans="1:14" x14ac:dyDescent="0.25">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row>
    <row r="1672" spans="1:14" x14ac:dyDescent="0.25">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row>
    <row r="1673" spans="1:14" x14ac:dyDescent="0.25">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row>
    <row r="1674" spans="1:14" x14ac:dyDescent="0.25">
      <c r="A1674" s="1">
        <v>45465</v>
      </c>
      <c r="B1674" t="s">
        <v>28</v>
      </c>
      <c r="C1674" t="s">
        <v>21</v>
      </c>
      <c r="D1674" t="s">
        <v>19</v>
      </c>
      <c r="E1674" t="s">
        <v>32</v>
      </c>
      <c r="F1674">
        <v>35398</v>
      </c>
      <c r="G1674">
        <v>1044</v>
      </c>
      <c r="H1674">
        <v>2.9499999999999998E-2</v>
      </c>
      <c r="I1674">
        <v>0.45</v>
      </c>
      <c r="J1674">
        <v>469.8</v>
      </c>
      <c r="K1674">
        <v>20</v>
      </c>
      <c r="L1674">
        <v>23.49</v>
      </c>
      <c r="M1674">
        <v>1596.24</v>
      </c>
      <c r="N1674">
        <v>3.4</v>
      </c>
    </row>
    <row r="1675" spans="1:14" x14ac:dyDescent="0.25">
      <c r="A1675" s="1">
        <v>45381</v>
      </c>
      <c r="B1675" t="s">
        <v>18</v>
      </c>
      <c r="C1675" t="s">
        <v>21</v>
      </c>
      <c r="D1675" t="s">
        <v>22</v>
      </c>
      <c r="E1675" t="s">
        <v>31</v>
      </c>
      <c r="F1675">
        <v>98386</v>
      </c>
      <c r="G1675">
        <v>7556</v>
      </c>
      <c r="H1675">
        <v>7.6799999999999993E-2</v>
      </c>
      <c r="I1675">
        <v>0.35</v>
      </c>
      <c r="J1675">
        <v>2644.6</v>
      </c>
      <c r="K1675">
        <v>385</v>
      </c>
      <c r="L1675">
        <v>6.87</v>
      </c>
      <c r="M1675">
        <v>43735.3</v>
      </c>
      <c r="N1675">
        <v>16.54</v>
      </c>
    </row>
    <row r="1676" spans="1:14" x14ac:dyDescent="0.25">
      <c r="A1676" s="1">
        <v>45510</v>
      </c>
      <c r="B1676" t="s">
        <v>28</v>
      </c>
      <c r="C1676" t="s">
        <v>21</v>
      </c>
      <c r="D1676" t="s">
        <v>30</v>
      </c>
      <c r="E1676" t="s">
        <v>27</v>
      </c>
      <c r="F1676">
        <v>70133</v>
      </c>
      <c r="G1676">
        <v>2293</v>
      </c>
      <c r="H1676">
        <v>3.27E-2</v>
      </c>
      <c r="I1676">
        <v>1.04</v>
      </c>
      <c r="J1676">
        <v>2384.7199999999998</v>
      </c>
      <c r="K1676">
        <v>75</v>
      </c>
      <c r="L1676">
        <v>31.8</v>
      </c>
      <c r="M1676">
        <v>14249.95</v>
      </c>
      <c r="N1676">
        <v>5.98</v>
      </c>
    </row>
    <row r="1677" spans="1:14" x14ac:dyDescent="0.25">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row>
    <row r="1678" spans="1:14" x14ac:dyDescent="0.25">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row>
    <row r="1679" spans="1:14" x14ac:dyDescent="0.25">
      <c r="A1679" s="1">
        <v>45394</v>
      </c>
      <c r="B1679" t="s">
        <v>28</v>
      </c>
      <c r="C1679" t="s">
        <v>15</v>
      </c>
      <c r="D1679" t="s">
        <v>22</v>
      </c>
      <c r="E1679" t="s">
        <v>32</v>
      </c>
      <c r="F1679">
        <v>73083</v>
      </c>
      <c r="G1679">
        <v>3040</v>
      </c>
      <c r="H1679">
        <v>4.1599999999999998E-2</v>
      </c>
      <c r="I1679">
        <v>0.6</v>
      </c>
      <c r="J1679">
        <v>1824</v>
      </c>
      <c r="K1679">
        <v>203</v>
      </c>
      <c r="L1679">
        <v>8.99</v>
      </c>
      <c r="M1679">
        <v>29701.35</v>
      </c>
      <c r="N1679">
        <v>16.28</v>
      </c>
    </row>
    <row r="1680" spans="1:14" x14ac:dyDescent="0.25">
      <c r="A1680" s="1">
        <v>45414</v>
      </c>
      <c r="B1680" t="s">
        <v>28</v>
      </c>
      <c r="C1680" t="s">
        <v>29</v>
      </c>
      <c r="D1680" t="s">
        <v>16</v>
      </c>
      <c r="E1680" t="s">
        <v>31</v>
      </c>
      <c r="F1680">
        <v>113889</v>
      </c>
      <c r="G1680">
        <v>4623</v>
      </c>
      <c r="H1680">
        <v>4.0599999999999997E-2</v>
      </c>
      <c r="I1680">
        <v>1.19</v>
      </c>
      <c r="J1680">
        <v>5501.37</v>
      </c>
      <c r="K1680">
        <v>362</v>
      </c>
      <c r="L1680">
        <v>15.2</v>
      </c>
      <c r="M1680">
        <v>19216.96</v>
      </c>
      <c r="N1680">
        <v>3.49</v>
      </c>
    </row>
    <row r="1681" spans="1:14" x14ac:dyDescent="0.25">
      <c r="A1681" s="1">
        <v>45466</v>
      </c>
      <c r="B1681" t="s">
        <v>28</v>
      </c>
      <c r="C1681" t="s">
        <v>15</v>
      </c>
      <c r="D1681" t="s">
        <v>22</v>
      </c>
      <c r="E1681" t="s">
        <v>32</v>
      </c>
      <c r="F1681">
        <v>57203</v>
      </c>
      <c r="G1681">
        <v>1029</v>
      </c>
      <c r="H1681">
        <v>1.7999999999999999E-2</v>
      </c>
      <c r="I1681">
        <v>0.87</v>
      </c>
      <c r="J1681">
        <v>895.23</v>
      </c>
      <c r="K1681">
        <v>11</v>
      </c>
      <c r="L1681">
        <v>81.38</v>
      </c>
      <c r="M1681">
        <v>1505.4</v>
      </c>
      <c r="N1681">
        <v>1.68</v>
      </c>
    </row>
    <row r="1682" spans="1:14" x14ac:dyDescent="0.25">
      <c r="A1682" s="1">
        <v>45485</v>
      </c>
      <c r="B1682" t="s">
        <v>18</v>
      </c>
      <c r="C1682" t="s">
        <v>29</v>
      </c>
      <c r="D1682" t="s">
        <v>25</v>
      </c>
      <c r="E1682" t="s">
        <v>17</v>
      </c>
      <c r="F1682">
        <v>36562</v>
      </c>
      <c r="G1682">
        <v>1257</v>
      </c>
      <c r="H1682">
        <v>3.44E-2</v>
      </c>
      <c r="I1682">
        <v>0.43</v>
      </c>
      <c r="J1682">
        <v>540.51</v>
      </c>
      <c r="K1682">
        <v>74</v>
      </c>
      <c r="L1682">
        <v>7.3</v>
      </c>
      <c r="M1682">
        <v>11838.52</v>
      </c>
      <c r="N1682">
        <v>21.9</v>
      </c>
    </row>
    <row r="1683" spans="1:14" x14ac:dyDescent="0.25">
      <c r="A1683" s="1">
        <v>45627</v>
      </c>
      <c r="B1683" t="s">
        <v>14</v>
      </c>
      <c r="C1683" t="s">
        <v>15</v>
      </c>
      <c r="D1683" t="s">
        <v>19</v>
      </c>
      <c r="E1683" t="s">
        <v>23</v>
      </c>
      <c r="F1683">
        <v>177256</v>
      </c>
      <c r="G1683">
        <v>4059</v>
      </c>
      <c r="H1683">
        <v>2.29E-2</v>
      </c>
      <c r="I1683">
        <v>2.19</v>
      </c>
      <c r="J1683">
        <v>8889.2099999999991</v>
      </c>
      <c r="K1683">
        <v>138</v>
      </c>
      <c r="L1683">
        <v>64.41</v>
      </c>
      <c r="M1683">
        <v>32140.46</v>
      </c>
      <c r="N1683">
        <v>3.62</v>
      </c>
    </row>
    <row r="1684" spans="1:14" x14ac:dyDescent="0.25">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row>
    <row r="1685" spans="1:14" x14ac:dyDescent="0.25">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row>
    <row r="1686" spans="1:14" x14ac:dyDescent="0.25">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row>
    <row r="1687" spans="1:14" x14ac:dyDescent="0.25">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row>
    <row r="1688" spans="1:14" x14ac:dyDescent="0.25">
      <c r="A1688" s="1">
        <v>45419</v>
      </c>
      <c r="B1688" t="s">
        <v>14</v>
      </c>
      <c r="C1688" t="s">
        <v>15</v>
      </c>
      <c r="D1688" t="s">
        <v>19</v>
      </c>
      <c r="E1688" t="s">
        <v>27</v>
      </c>
      <c r="F1688">
        <v>15589</v>
      </c>
      <c r="G1688">
        <v>285</v>
      </c>
      <c r="H1688">
        <v>1.83E-2</v>
      </c>
      <c r="I1688">
        <v>1.18</v>
      </c>
      <c r="J1688">
        <v>336.3</v>
      </c>
      <c r="K1688">
        <v>10</v>
      </c>
      <c r="L1688">
        <v>33.630000000000003</v>
      </c>
      <c r="M1688">
        <v>1359.76</v>
      </c>
      <c r="N1688">
        <v>4.04</v>
      </c>
    </row>
    <row r="1689" spans="1:14" x14ac:dyDescent="0.25">
      <c r="A1689" s="1">
        <v>45515</v>
      </c>
      <c r="B1689" t="s">
        <v>18</v>
      </c>
      <c r="C1689" t="s">
        <v>15</v>
      </c>
      <c r="D1689" t="s">
        <v>16</v>
      </c>
      <c r="E1689" t="s">
        <v>26</v>
      </c>
      <c r="F1689">
        <v>101411</v>
      </c>
      <c r="G1689">
        <v>9370</v>
      </c>
      <c r="H1689">
        <v>9.2399999999999996E-2</v>
      </c>
      <c r="I1689">
        <v>0.81</v>
      </c>
      <c r="J1689">
        <v>7589.7</v>
      </c>
      <c r="K1689">
        <v>523</v>
      </c>
      <c r="L1689">
        <v>14.51</v>
      </c>
      <c r="M1689">
        <v>26633.21</v>
      </c>
      <c r="N1689">
        <v>3.51</v>
      </c>
    </row>
    <row r="1690" spans="1:14" x14ac:dyDescent="0.25">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row>
    <row r="1691" spans="1:14" x14ac:dyDescent="0.25">
      <c r="A1691" s="1">
        <v>45478</v>
      </c>
      <c r="B1691" t="s">
        <v>28</v>
      </c>
      <c r="C1691" t="s">
        <v>24</v>
      </c>
      <c r="D1691" t="s">
        <v>22</v>
      </c>
      <c r="E1691" t="s">
        <v>20</v>
      </c>
      <c r="F1691">
        <v>42236</v>
      </c>
      <c r="G1691">
        <v>1013</v>
      </c>
      <c r="H1691">
        <v>2.4E-2</v>
      </c>
      <c r="I1691">
        <v>1.43</v>
      </c>
      <c r="J1691">
        <v>1448.59</v>
      </c>
      <c r="K1691">
        <v>29</v>
      </c>
      <c r="L1691">
        <v>49.95</v>
      </c>
      <c r="M1691">
        <v>4720.08</v>
      </c>
      <c r="N1691">
        <v>3.26</v>
      </c>
    </row>
    <row r="1692" spans="1:14" x14ac:dyDescent="0.25">
      <c r="A1692" s="1">
        <v>45435</v>
      </c>
      <c r="B1692" t="s">
        <v>28</v>
      </c>
      <c r="C1692" t="s">
        <v>24</v>
      </c>
      <c r="D1692" t="s">
        <v>30</v>
      </c>
      <c r="E1692" t="s">
        <v>27</v>
      </c>
      <c r="F1692">
        <v>75628</v>
      </c>
      <c r="G1692">
        <v>794</v>
      </c>
      <c r="H1692">
        <v>1.0500000000000001E-2</v>
      </c>
      <c r="I1692">
        <v>0.5</v>
      </c>
      <c r="J1692">
        <v>397</v>
      </c>
      <c r="K1692">
        <v>49</v>
      </c>
      <c r="L1692">
        <v>8.1</v>
      </c>
      <c r="M1692">
        <v>3639.22</v>
      </c>
      <c r="N1692">
        <v>9.17</v>
      </c>
    </row>
    <row r="1693" spans="1:14" x14ac:dyDescent="0.25">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row>
    <row r="1694" spans="1:14" x14ac:dyDescent="0.25">
      <c r="A1694" s="1">
        <v>45584</v>
      </c>
      <c r="B1694" t="s">
        <v>14</v>
      </c>
      <c r="C1694" t="s">
        <v>21</v>
      </c>
      <c r="D1694" t="s">
        <v>30</v>
      </c>
      <c r="E1694" t="s">
        <v>23</v>
      </c>
      <c r="F1694">
        <v>121465</v>
      </c>
      <c r="G1694">
        <v>5575</v>
      </c>
      <c r="H1694">
        <v>4.5900000000000003E-2</v>
      </c>
      <c r="I1694">
        <v>1.64</v>
      </c>
      <c r="J1694">
        <v>9143</v>
      </c>
      <c r="K1694">
        <v>273</v>
      </c>
      <c r="L1694">
        <v>33.49</v>
      </c>
      <c r="M1694">
        <v>28769.59</v>
      </c>
      <c r="N1694">
        <v>3.15</v>
      </c>
    </row>
    <row r="1695" spans="1:14" x14ac:dyDescent="0.25">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row>
    <row r="1696" spans="1:14" x14ac:dyDescent="0.25">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row>
    <row r="1697" spans="1:14" x14ac:dyDescent="0.25">
      <c r="A1697" s="1">
        <v>45483</v>
      </c>
      <c r="B1697" t="s">
        <v>14</v>
      </c>
      <c r="C1697" t="s">
        <v>24</v>
      </c>
      <c r="D1697" t="s">
        <v>25</v>
      </c>
      <c r="E1697" t="s">
        <v>23</v>
      </c>
      <c r="F1697">
        <v>73734</v>
      </c>
      <c r="G1697">
        <v>1990</v>
      </c>
      <c r="H1697">
        <v>2.7E-2</v>
      </c>
      <c r="I1697">
        <v>0.82</v>
      </c>
      <c r="J1697">
        <v>1631.8</v>
      </c>
      <c r="K1697">
        <v>143</v>
      </c>
      <c r="L1697">
        <v>11.41</v>
      </c>
      <c r="M1697">
        <v>16954.02</v>
      </c>
      <c r="N1697">
        <v>10.39</v>
      </c>
    </row>
    <row r="1698" spans="1:14" x14ac:dyDescent="0.25">
      <c r="A1698" s="1">
        <v>45361</v>
      </c>
      <c r="B1698" t="s">
        <v>28</v>
      </c>
      <c r="C1698" t="s">
        <v>24</v>
      </c>
      <c r="D1698" t="s">
        <v>30</v>
      </c>
      <c r="E1698" t="s">
        <v>27</v>
      </c>
      <c r="F1698">
        <v>149532</v>
      </c>
      <c r="G1698">
        <v>5069</v>
      </c>
      <c r="H1698">
        <v>3.39E-2</v>
      </c>
      <c r="I1698">
        <v>2.39</v>
      </c>
      <c r="J1698">
        <v>12114.91</v>
      </c>
      <c r="K1698">
        <v>397</v>
      </c>
      <c r="L1698">
        <v>30.52</v>
      </c>
      <c r="M1698">
        <v>95392.09</v>
      </c>
      <c r="N1698">
        <v>7.87</v>
      </c>
    </row>
    <row r="1699" spans="1:14" x14ac:dyDescent="0.25">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row>
    <row r="1700" spans="1:14" x14ac:dyDescent="0.25">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row>
    <row r="1701" spans="1:14" x14ac:dyDescent="0.25">
      <c r="A1701" s="1">
        <v>45360</v>
      </c>
      <c r="B1701" t="s">
        <v>28</v>
      </c>
      <c r="C1701" t="s">
        <v>21</v>
      </c>
      <c r="D1701" t="s">
        <v>25</v>
      </c>
      <c r="E1701" t="s">
        <v>32</v>
      </c>
      <c r="F1701">
        <v>79266</v>
      </c>
      <c r="G1701">
        <v>2425</v>
      </c>
      <c r="H1701">
        <v>3.0599999999999999E-2</v>
      </c>
      <c r="I1701">
        <v>0.72</v>
      </c>
      <c r="J1701">
        <v>1746</v>
      </c>
      <c r="K1701">
        <v>104</v>
      </c>
      <c r="L1701">
        <v>16.79</v>
      </c>
      <c r="M1701">
        <v>20287.27</v>
      </c>
      <c r="N1701">
        <v>11.62</v>
      </c>
    </row>
    <row r="1702" spans="1:14" x14ac:dyDescent="0.25">
      <c r="A1702" s="1">
        <v>45347</v>
      </c>
      <c r="B1702" t="s">
        <v>14</v>
      </c>
      <c r="C1702" t="s">
        <v>21</v>
      </c>
      <c r="D1702" t="s">
        <v>16</v>
      </c>
      <c r="E1702" t="s">
        <v>32</v>
      </c>
      <c r="F1702">
        <v>33695</v>
      </c>
      <c r="G1702">
        <v>1277</v>
      </c>
      <c r="H1702">
        <v>3.7900000000000003E-2</v>
      </c>
      <c r="I1702">
        <v>2.88</v>
      </c>
      <c r="J1702">
        <v>3677.76</v>
      </c>
      <c r="K1702">
        <v>89</v>
      </c>
      <c r="L1702">
        <v>41.32</v>
      </c>
      <c r="M1702">
        <v>25041.09</v>
      </c>
      <c r="N1702">
        <v>6.81</v>
      </c>
    </row>
    <row r="1703" spans="1:14" x14ac:dyDescent="0.25">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row>
    <row r="1704" spans="1:14" x14ac:dyDescent="0.25">
      <c r="A1704" s="1">
        <v>45598</v>
      </c>
      <c r="B1704" t="s">
        <v>14</v>
      </c>
      <c r="C1704" t="s">
        <v>15</v>
      </c>
      <c r="D1704" t="s">
        <v>22</v>
      </c>
      <c r="E1704" t="s">
        <v>31</v>
      </c>
      <c r="F1704">
        <v>26259</v>
      </c>
      <c r="G1704">
        <v>669</v>
      </c>
      <c r="H1704">
        <v>2.5499999999999998E-2</v>
      </c>
      <c r="I1704">
        <v>1.41</v>
      </c>
      <c r="J1704">
        <v>943.29</v>
      </c>
      <c r="K1704">
        <v>22</v>
      </c>
      <c r="L1704">
        <v>42.88</v>
      </c>
      <c r="M1704">
        <v>2731.41</v>
      </c>
      <c r="N1704">
        <v>2.9</v>
      </c>
    </row>
    <row r="1705" spans="1:14" x14ac:dyDescent="0.25">
      <c r="A1705" s="1">
        <v>45397</v>
      </c>
      <c r="B1705" t="s">
        <v>14</v>
      </c>
      <c r="C1705" t="s">
        <v>21</v>
      </c>
      <c r="D1705" t="s">
        <v>16</v>
      </c>
      <c r="E1705" t="s">
        <v>20</v>
      </c>
      <c r="F1705">
        <v>99447</v>
      </c>
      <c r="G1705">
        <v>5917</v>
      </c>
      <c r="H1705">
        <v>5.9499999999999997E-2</v>
      </c>
      <c r="I1705">
        <v>1.05</v>
      </c>
      <c r="J1705">
        <v>6212.85</v>
      </c>
      <c r="K1705">
        <v>195</v>
      </c>
      <c r="L1705">
        <v>31.86</v>
      </c>
      <c r="M1705">
        <v>28481.71</v>
      </c>
      <c r="N1705">
        <v>4.58</v>
      </c>
    </row>
    <row r="1706" spans="1:14" x14ac:dyDescent="0.25">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row>
    <row r="1707" spans="1:14" x14ac:dyDescent="0.25">
      <c r="A1707" s="1">
        <v>45355</v>
      </c>
      <c r="B1707" t="s">
        <v>28</v>
      </c>
      <c r="C1707" t="s">
        <v>21</v>
      </c>
      <c r="D1707" t="s">
        <v>22</v>
      </c>
      <c r="E1707" t="s">
        <v>23</v>
      </c>
      <c r="F1707">
        <v>180259</v>
      </c>
      <c r="G1707">
        <v>2072</v>
      </c>
      <c r="H1707">
        <v>1.15E-2</v>
      </c>
      <c r="I1707">
        <v>1.37</v>
      </c>
      <c r="J1707">
        <v>2838.64</v>
      </c>
      <c r="K1707">
        <v>136</v>
      </c>
      <c r="L1707">
        <v>20.87</v>
      </c>
      <c r="M1707">
        <v>10032.66</v>
      </c>
      <c r="N1707">
        <v>3.53</v>
      </c>
    </row>
    <row r="1708" spans="1:14" x14ac:dyDescent="0.25">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row>
    <row r="1709" spans="1:14" x14ac:dyDescent="0.25">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row>
    <row r="1710" spans="1:14" x14ac:dyDescent="0.25">
      <c r="A1710" s="1">
        <v>45634</v>
      </c>
      <c r="B1710" t="s">
        <v>14</v>
      </c>
      <c r="C1710" t="s">
        <v>15</v>
      </c>
      <c r="D1710" t="s">
        <v>25</v>
      </c>
      <c r="E1710" t="s">
        <v>20</v>
      </c>
      <c r="F1710">
        <v>78635</v>
      </c>
      <c r="G1710">
        <v>2587</v>
      </c>
      <c r="H1710">
        <v>3.2899999999999999E-2</v>
      </c>
      <c r="I1710">
        <v>2.35</v>
      </c>
      <c r="J1710">
        <v>6079.45</v>
      </c>
      <c r="K1710">
        <v>106</v>
      </c>
      <c r="L1710">
        <v>57.35</v>
      </c>
      <c r="M1710">
        <v>21303.72</v>
      </c>
      <c r="N1710">
        <v>3.5</v>
      </c>
    </row>
    <row r="1711" spans="1:14" x14ac:dyDescent="0.25">
      <c r="A1711" s="1">
        <v>45608</v>
      </c>
      <c r="B1711" t="s">
        <v>28</v>
      </c>
      <c r="C1711" t="s">
        <v>29</v>
      </c>
      <c r="D1711" t="s">
        <v>22</v>
      </c>
      <c r="E1711" t="s">
        <v>17</v>
      </c>
      <c r="F1711">
        <v>54031</v>
      </c>
      <c r="G1711">
        <v>2215</v>
      </c>
      <c r="H1711">
        <v>4.1000000000000002E-2</v>
      </c>
      <c r="I1711">
        <v>1.66</v>
      </c>
      <c r="J1711">
        <v>3676.9</v>
      </c>
      <c r="K1711">
        <v>157</v>
      </c>
      <c r="L1711">
        <v>23.42</v>
      </c>
      <c r="M1711">
        <v>22778.62</v>
      </c>
      <c r="N1711">
        <v>6.2</v>
      </c>
    </row>
    <row r="1712" spans="1:14" x14ac:dyDescent="0.25">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row>
    <row r="1713" spans="1:14" x14ac:dyDescent="0.25">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row>
    <row r="1714" spans="1:14" x14ac:dyDescent="0.25">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row>
    <row r="1715" spans="1:14" x14ac:dyDescent="0.25">
      <c r="A1715" s="1">
        <v>45649</v>
      </c>
      <c r="B1715" t="s">
        <v>14</v>
      </c>
      <c r="C1715" t="s">
        <v>15</v>
      </c>
      <c r="D1715" t="s">
        <v>30</v>
      </c>
      <c r="E1715" t="s">
        <v>23</v>
      </c>
      <c r="F1715">
        <v>148994</v>
      </c>
      <c r="G1715">
        <v>7509</v>
      </c>
      <c r="H1715">
        <v>5.04E-2</v>
      </c>
      <c r="I1715">
        <v>3.46</v>
      </c>
      <c r="J1715">
        <v>25981.14</v>
      </c>
      <c r="K1715">
        <v>588</v>
      </c>
      <c r="L1715">
        <v>44.19</v>
      </c>
      <c r="M1715">
        <v>82753.509999999995</v>
      </c>
      <c r="N1715">
        <v>3.19</v>
      </c>
    </row>
    <row r="1716" spans="1:14" x14ac:dyDescent="0.25">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row>
    <row r="1717" spans="1:14" x14ac:dyDescent="0.25">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row>
    <row r="1718" spans="1:14" x14ac:dyDescent="0.25">
      <c r="A1718" s="1">
        <v>45649</v>
      </c>
      <c r="B1718" t="s">
        <v>14</v>
      </c>
      <c r="C1718" t="s">
        <v>15</v>
      </c>
      <c r="D1718" t="s">
        <v>16</v>
      </c>
      <c r="E1718" t="s">
        <v>31</v>
      </c>
      <c r="F1718">
        <v>51986</v>
      </c>
      <c r="G1718">
        <v>1996</v>
      </c>
      <c r="H1718">
        <v>3.8399999999999997E-2</v>
      </c>
      <c r="I1718">
        <v>1.53</v>
      </c>
      <c r="J1718">
        <v>3053.88</v>
      </c>
      <c r="K1718">
        <v>82</v>
      </c>
      <c r="L1718">
        <v>37.24</v>
      </c>
      <c r="M1718">
        <v>20819.66</v>
      </c>
      <c r="N1718">
        <v>6.82</v>
      </c>
    </row>
    <row r="1719" spans="1:14" x14ac:dyDescent="0.25">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row>
    <row r="1720" spans="1:14" x14ac:dyDescent="0.25">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row>
    <row r="1721" spans="1:14" x14ac:dyDescent="0.25">
      <c r="A1721" s="1">
        <v>45311</v>
      </c>
      <c r="B1721" t="s">
        <v>18</v>
      </c>
      <c r="C1721" t="s">
        <v>21</v>
      </c>
      <c r="D1721" t="s">
        <v>16</v>
      </c>
      <c r="E1721" t="s">
        <v>23</v>
      </c>
      <c r="F1721">
        <v>153145</v>
      </c>
      <c r="G1721">
        <v>7197</v>
      </c>
      <c r="H1721">
        <v>4.7E-2</v>
      </c>
      <c r="I1721">
        <v>1.02</v>
      </c>
      <c r="J1721">
        <v>7340.94</v>
      </c>
      <c r="K1721">
        <v>89</v>
      </c>
      <c r="L1721">
        <v>82.48</v>
      </c>
      <c r="M1721">
        <v>6214.05</v>
      </c>
      <c r="N1721">
        <v>0.85</v>
      </c>
    </row>
    <row r="1722" spans="1:14" x14ac:dyDescent="0.25">
      <c r="A1722" s="1">
        <v>45358</v>
      </c>
      <c r="B1722" t="s">
        <v>14</v>
      </c>
      <c r="C1722" t="s">
        <v>24</v>
      </c>
      <c r="D1722" t="s">
        <v>30</v>
      </c>
      <c r="E1722" t="s">
        <v>23</v>
      </c>
      <c r="F1722">
        <v>20718</v>
      </c>
      <c r="G1722">
        <v>426</v>
      </c>
      <c r="H1722">
        <v>2.06E-2</v>
      </c>
      <c r="I1722">
        <v>2.65</v>
      </c>
      <c r="J1722">
        <v>1128.9000000000001</v>
      </c>
      <c r="K1722">
        <v>22</v>
      </c>
      <c r="L1722">
        <v>51.31</v>
      </c>
      <c r="M1722">
        <v>1505.14</v>
      </c>
      <c r="N1722">
        <v>1.33</v>
      </c>
    </row>
    <row r="1723" spans="1:14" x14ac:dyDescent="0.25">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row>
    <row r="1724" spans="1:14" x14ac:dyDescent="0.25">
      <c r="A1724" s="1">
        <v>45350</v>
      </c>
      <c r="B1724" t="s">
        <v>18</v>
      </c>
      <c r="C1724" t="s">
        <v>15</v>
      </c>
      <c r="D1724" t="s">
        <v>25</v>
      </c>
      <c r="E1724" t="s">
        <v>23</v>
      </c>
      <c r="F1724">
        <v>96045</v>
      </c>
      <c r="G1724">
        <v>5820</v>
      </c>
      <c r="H1724">
        <v>6.0600000000000001E-2</v>
      </c>
      <c r="I1724">
        <v>0.31</v>
      </c>
      <c r="J1724">
        <v>1804.2</v>
      </c>
      <c r="K1724">
        <v>235</v>
      </c>
      <c r="L1724">
        <v>7.68</v>
      </c>
      <c r="M1724">
        <v>47063.54</v>
      </c>
      <c r="N1724">
        <v>26.09</v>
      </c>
    </row>
    <row r="1725" spans="1:14" x14ac:dyDescent="0.25">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row>
    <row r="1726" spans="1:14" x14ac:dyDescent="0.25">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row>
    <row r="1727" spans="1:14" x14ac:dyDescent="0.25">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row>
    <row r="1728" spans="1:14" x14ac:dyDescent="0.25">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row>
    <row r="1729" spans="1:14" x14ac:dyDescent="0.25">
      <c r="A1729" s="1">
        <v>45518</v>
      </c>
      <c r="B1729" t="s">
        <v>28</v>
      </c>
      <c r="C1729" t="s">
        <v>21</v>
      </c>
      <c r="D1729" t="s">
        <v>30</v>
      </c>
      <c r="E1729" t="s">
        <v>17</v>
      </c>
      <c r="F1729">
        <v>108924</v>
      </c>
      <c r="G1729">
        <v>2134</v>
      </c>
      <c r="H1729">
        <v>1.9599999999999999E-2</v>
      </c>
      <c r="I1729">
        <v>0.41</v>
      </c>
      <c r="J1729">
        <v>874.94</v>
      </c>
      <c r="K1729">
        <v>85</v>
      </c>
      <c r="L1729">
        <v>10.29</v>
      </c>
      <c r="M1729">
        <v>7418.36</v>
      </c>
      <c r="N1729">
        <v>8.48</v>
      </c>
    </row>
    <row r="1730" spans="1:14" x14ac:dyDescent="0.25">
      <c r="A1730" s="1">
        <v>45381</v>
      </c>
      <c r="B1730" t="s">
        <v>14</v>
      </c>
      <c r="C1730" t="s">
        <v>15</v>
      </c>
      <c r="D1730" t="s">
        <v>25</v>
      </c>
      <c r="E1730" t="s">
        <v>26</v>
      </c>
      <c r="F1730">
        <v>66402</v>
      </c>
      <c r="G1730">
        <v>2695</v>
      </c>
      <c r="H1730">
        <v>4.0599999999999997E-2</v>
      </c>
      <c r="I1730">
        <v>1.86</v>
      </c>
      <c r="J1730">
        <v>5012.7</v>
      </c>
      <c r="K1730">
        <v>199</v>
      </c>
      <c r="L1730">
        <v>25.19</v>
      </c>
      <c r="M1730">
        <v>14266.46</v>
      </c>
      <c r="N1730">
        <v>2.85</v>
      </c>
    </row>
    <row r="1731" spans="1:14" x14ac:dyDescent="0.25">
      <c r="A1731" s="1">
        <v>45533</v>
      </c>
      <c r="B1731" t="s">
        <v>14</v>
      </c>
      <c r="C1731" t="s">
        <v>29</v>
      </c>
      <c r="D1731" t="s">
        <v>19</v>
      </c>
      <c r="E1731" t="s">
        <v>27</v>
      </c>
      <c r="F1731">
        <v>96676</v>
      </c>
      <c r="G1731">
        <v>5326</v>
      </c>
      <c r="H1731">
        <v>5.5100000000000003E-2</v>
      </c>
      <c r="I1731">
        <v>1.67</v>
      </c>
      <c r="J1731">
        <v>8894.42</v>
      </c>
      <c r="K1731">
        <v>355</v>
      </c>
      <c r="L1731">
        <v>25.05</v>
      </c>
      <c r="M1731">
        <v>14113.5</v>
      </c>
      <c r="N1731">
        <v>1.59</v>
      </c>
    </row>
    <row r="1732" spans="1:14" x14ac:dyDescent="0.25">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row>
    <row r="1733" spans="1:14" x14ac:dyDescent="0.25">
      <c r="A1733" s="1">
        <v>45381</v>
      </c>
      <c r="B1733" t="s">
        <v>14</v>
      </c>
      <c r="C1733" t="s">
        <v>15</v>
      </c>
      <c r="D1733" t="s">
        <v>25</v>
      </c>
      <c r="E1733" t="s">
        <v>20</v>
      </c>
      <c r="F1733">
        <v>23936</v>
      </c>
      <c r="G1733">
        <v>1211</v>
      </c>
      <c r="H1733">
        <v>5.0599999999999999E-2</v>
      </c>
      <c r="I1733">
        <v>2.7</v>
      </c>
      <c r="J1733">
        <v>3269.7</v>
      </c>
      <c r="K1733">
        <v>49</v>
      </c>
      <c r="L1733">
        <v>66.73</v>
      </c>
      <c r="M1733">
        <v>7236.18</v>
      </c>
      <c r="N1733">
        <v>2.21</v>
      </c>
    </row>
    <row r="1734" spans="1:14" x14ac:dyDescent="0.25">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row>
    <row r="1735" spans="1:14" x14ac:dyDescent="0.25">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row>
    <row r="1736" spans="1:14" x14ac:dyDescent="0.25">
      <c r="A1736" s="1">
        <v>45592</v>
      </c>
      <c r="B1736" t="s">
        <v>28</v>
      </c>
      <c r="C1736" t="s">
        <v>15</v>
      </c>
      <c r="D1736" t="s">
        <v>16</v>
      </c>
      <c r="E1736" t="s">
        <v>23</v>
      </c>
      <c r="F1736">
        <v>69385</v>
      </c>
      <c r="G1736">
        <v>2650</v>
      </c>
      <c r="H1736">
        <v>3.8199999999999998E-2</v>
      </c>
      <c r="I1736">
        <v>1.7</v>
      </c>
      <c r="J1736">
        <v>4505</v>
      </c>
      <c r="K1736">
        <v>160</v>
      </c>
      <c r="L1736">
        <v>28.16</v>
      </c>
      <c r="M1736">
        <v>32080.73</v>
      </c>
      <c r="N1736">
        <v>7.12</v>
      </c>
    </row>
    <row r="1737" spans="1:14" x14ac:dyDescent="0.25">
      <c r="A1737" s="1">
        <v>45409</v>
      </c>
      <c r="B1737" t="s">
        <v>18</v>
      </c>
      <c r="C1737" t="s">
        <v>21</v>
      </c>
      <c r="D1737" t="s">
        <v>22</v>
      </c>
      <c r="E1737" t="s">
        <v>32</v>
      </c>
      <c r="F1737">
        <v>89944</v>
      </c>
      <c r="G1737">
        <v>2644</v>
      </c>
      <c r="H1737">
        <v>2.9399999999999999E-2</v>
      </c>
      <c r="I1737">
        <v>0.31</v>
      </c>
      <c r="J1737">
        <v>819.64</v>
      </c>
      <c r="K1737">
        <v>80</v>
      </c>
      <c r="L1737">
        <v>10.25</v>
      </c>
      <c r="M1737">
        <v>12715.09</v>
      </c>
      <c r="N1737">
        <v>15.51</v>
      </c>
    </row>
    <row r="1738" spans="1:14" x14ac:dyDescent="0.25">
      <c r="A1738" s="1">
        <v>45385</v>
      </c>
      <c r="B1738" t="s">
        <v>28</v>
      </c>
      <c r="C1738" t="s">
        <v>15</v>
      </c>
      <c r="D1738" t="s">
        <v>25</v>
      </c>
      <c r="E1738" t="s">
        <v>31</v>
      </c>
      <c r="F1738">
        <v>62603</v>
      </c>
      <c r="G1738">
        <v>1396</v>
      </c>
      <c r="H1738">
        <v>2.23E-2</v>
      </c>
      <c r="I1738">
        <v>1.5</v>
      </c>
      <c r="J1738">
        <v>2094</v>
      </c>
      <c r="K1738">
        <v>17</v>
      </c>
      <c r="L1738">
        <v>123.18</v>
      </c>
      <c r="M1738">
        <v>2988.24</v>
      </c>
      <c r="N1738">
        <v>1.43</v>
      </c>
    </row>
    <row r="1739" spans="1:14" x14ac:dyDescent="0.25">
      <c r="A1739" s="1">
        <v>45301</v>
      </c>
      <c r="B1739" t="s">
        <v>28</v>
      </c>
      <c r="C1739" t="s">
        <v>24</v>
      </c>
      <c r="D1739" t="s">
        <v>19</v>
      </c>
      <c r="E1739" t="s">
        <v>23</v>
      </c>
      <c r="F1739">
        <v>62284</v>
      </c>
      <c r="G1739">
        <v>1413</v>
      </c>
      <c r="H1739">
        <v>2.2700000000000001E-2</v>
      </c>
      <c r="I1739">
        <v>1.06</v>
      </c>
      <c r="J1739">
        <v>1497.78</v>
      </c>
      <c r="K1739">
        <v>88</v>
      </c>
      <c r="L1739">
        <v>17.02</v>
      </c>
      <c r="M1739">
        <v>10561.64</v>
      </c>
      <c r="N1739">
        <v>7.05</v>
      </c>
    </row>
    <row r="1740" spans="1:14" x14ac:dyDescent="0.25">
      <c r="A1740" s="1">
        <v>45605</v>
      </c>
      <c r="B1740" t="s">
        <v>28</v>
      </c>
      <c r="C1740" t="s">
        <v>21</v>
      </c>
      <c r="D1740" t="s">
        <v>19</v>
      </c>
      <c r="E1740" t="s">
        <v>23</v>
      </c>
      <c r="F1740">
        <v>172812</v>
      </c>
      <c r="G1740">
        <v>2972</v>
      </c>
      <c r="H1740">
        <v>1.72E-2</v>
      </c>
      <c r="I1740">
        <v>0.99</v>
      </c>
      <c r="J1740">
        <v>2942.28</v>
      </c>
      <c r="K1740">
        <v>178</v>
      </c>
      <c r="L1740">
        <v>16.53</v>
      </c>
      <c r="M1740">
        <v>47180.83</v>
      </c>
      <c r="N1740">
        <v>16.04</v>
      </c>
    </row>
    <row r="1741" spans="1:14" x14ac:dyDescent="0.25">
      <c r="A1741" s="1">
        <v>45310</v>
      </c>
      <c r="B1741" t="s">
        <v>14</v>
      </c>
      <c r="C1741" t="s">
        <v>15</v>
      </c>
      <c r="D1741" t="s">
        <v>22</v>
      </c>
      <c r="E1741" t="s">
        <v>17</v>
      </c>
      <c r="F1741">
        <v>82764</v>
      </c>
      <c r="G1741">
        <v>2276</v>
      </c>
      <c r="H1741">
        <v>2.75E-2</v>
      </c>
      <c r="I1741">
        <v>0.91</v>
      </c>
      <c r="J1741">
        <v>2071.16</v>
      </c>
      <c r="K1741">
        <v>130</v>
      </c>
      <c r="L1741">
        <v>15.93</v>
      </c>
      <c r="M1741">
        <v>22792.2</v>
      </c>
      <c r="N1741">
        <v>11</v>
      </c>
    </row>
    <row r="1742" spans="1:14" x14ac:dyDescent="0.25">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row>
    <row r="1743" spans="1:14" x14ac:dyDescent="0.25">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row>
    <row r="1744" spans="1:14" x14ac:dyDescent="0.25">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row>
    <row r="1745" spans="1:14" x14ac:dyDescent="0.25">
      <c r="A1745" s="1">
        <v>45295</v>
      </c>
      <c r="B1745" t="s">
        <v>14</v>
      </c>
      <c r="C1745" t="s">
        <v>29</v>
      </c>
      <c r="D1745" t="s">
        <v>30</v>
      </c>
      <c r="E1745" t="s">
        <v>23</v>
      </c>
      <c r="F1745">
        <v>52897</v>
      </c>
      <c r="G1745">
        <v>1883</v>
      </c>
      <c r="H1745">
        <v>3.56E-2</v>
      </c>
      <c r="I1745">
        <v>2.77</v>
      </c>
      <c r="J1745">
        <v>5215.91</v>
      </c>
      <c r="K1745">
        <v>108</v>
      </c>
      <c r="L1745">
        <v>48.3</v>
      </c>
      <c r="M1745">
        <v>5473.28</v>
      </c>
      <c r="N1745">
        <v>1.05</v>
      </c>
    </row>
    <row r="1746" spans="1:14" x14ac:dyDescent="0.25">
      <c r="A1746" s="1">
        <v>45452</v>
      </c>
      <c r="B1746" t="s">
        <v>14</v>
      </c>
      <c r="C1746" t="s">
        <v>24</v>
      </c>
      <c r="D1746" t="s">
        <v>25</v>
      </c>
      <c r="E1746" t="s">
        <v>20</v>
      </c>
      <c r="F1746">
        <v>83334</v>
      </c>
      <c r="G1746">
        <v>3341</v>
      </c>
      <c r="H1746">
        <v>4.0099999999999997E-2</v>
      </c>
      <c r="I1746">
        <v>1.73</v>
      </c>
      <c r="J1746">
        <v>5779.93</v>
      </c>
      <c r="K1746">
        <v>256</v>
      </c>
      <c r="L1746">
        <v>22.58</v>
      </c>
      <c r="M1746">
        <v>32514.9</v>
      </c>
      <c r="N1746">
        <v>5.63</v>
      </c>
    </row>
    <row r="1747" spans="1:14" x14ac:dyDescent="0.25">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row>
    <row r="1748" spans="1:14" x14ac:dyDescent="0.25">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row>
    <row r="1749" spans="1:14" x14ac:dyDescent="0.25">
      <c r="A1749" s="1">
        <v>45483</v>
      </c>
      <c r="B1749" t="s">
        <v>14</v>
      </c>
      <c r="C1749" t="s">
        <v>21</v>
      </c>
      <c r="D1749" t="s">
        <v>25</v>
      </c>
      <c r="E1749" t="s">
        <v>23</v>
      </c>
      <c r="F1749">
        <v>158514</v>
      </c>
      <c r="G1749">
        <v>4565</v>
      </c>
      <c r="H1749">
        <v>2.8799999999999999E-2</v>
      </c>
      <c r="I1749">
        <v>2.14</v>
      </c>
      <c r="J1749">
        <v>9769.1</v>
      </c>
      <c r="K1749">
        <v>235</v>
      </c>
      <c r="L1749">
        <v>41.57</v>
      </c>
      <c r="M1749">
        <v>15388.32</v>
      </c>
      <c r="N1749">
        <v>1.58</v>
      </c>
    </row>
    <row r="1750" spans="1:14" x14ac:dyDescent="0.25">
      <c r="A1750" s="1">
        <v>45429</v>
      </c>
      <c r="B1750" t="s">
        <v>28</v>
      </c>
      <c r="C1750" t="s">
        <v>21</v>
      </c>
      <c r="D1750" t="s">
        <v>25</v>
      </c>
      <c r="E1750" t="s">
        <v>23</v>
      </c>
      <c r="F1750">
        <v>82948</v>
      </c>
      <c r="G1750">
        <v>2347</v>
      </c>
      <c r="H1750">
        <v>2.8299999999999999E-2</v>
      </c>
      <c r="I1750">
        <v>2.31</v>
      </c>
      <c r="J1750">
        <v>5421.57</v>
      </c>
      <c r="K1750">
        <v>65</v>
      </c>
      <c r="L1750">
        <v>83.41</v>
      </c>
      <c r="M1750">
        <v>10510.94</v>
      </c>
      <c r="N1750">
        <v>1.94</v>
      </c>
    </row>
    <row r="1751" spans="1:14" x14ac:dyDescent="0.25">
      <c r="A1751" s="1">
        <v>45324</v>
      </c>
      <c r="B1751" t="s">
        <v>14</v>
      </c>
      <c r="C1751" t="s">
        <v>21</v>
      </c>
      <c r="D1751" t="s">
        <v>25</v>
      </c>
      <c r="E1751" t="s">
        <v>27</v>
      </c>
      <c r="F1751">
        <v>44420</v>
      </c>
      <c r="G1751">
        <v>1066</v>
      </c>
      <c r="H1751">
        <v>2.4E-2</v>
      </c>
      <c r="I1751">
        <v>3.64</v>
      </c>
      <c r="J1751">
        <v>3880.24</v>
      </c>
      <c r="K1751">
        <v>44</v>
      </c>
      <c r="L1751">
        <v>88.19</v>
      </c>
      <c r="M1751">
        <v>2655.91</v>
      </c>
      <c r="N1751">
        <v>0.68</v>
      </c>
    </row>
    <row r="1752" spans="1:14" x14ac:dyDescent="0.25">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row>
    <row r="1753" spans="1:14" x14ac:dyDescent="0.25">
      <c r="A1753" s="1">
        <v>45519</v>
      </c>
      <c r="B1753" t="s">
        <v>28</v>
      </c>
      <c r="C1753" t="s">
        <v>21</v>
      </c>
      <c r="D1753" t="s">
        <v>25</v>
      </c>
      <c r="E1753" t="s">
        <v>23</v>
      </c>
      <c r="F1753">
        <v>37588</v>
      </c>
      <c r="G1753">
        <v>1191</v>
      </c>
      <c r="H1753">
        <v>3.1699999999999999E-2</v>
      </c>
      <c r="I1753">
        <v>1.96</v>
      </c>
      <c r="J1753">
        <v>2334.36</v>
      </c>
      <c r="K1753">
        <v>48</v>
      </c>
      <c r="L1753">
        <v>48.63</v>
      </c>
      <c r="M1753">
        <v>13381.03</v>
      </c>
      <c r="N1753">
        <v>5.73</v>
      </c>
    </row>
    <row r="1754" spans="1:14" x14ac:dyDescent="0.25">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row>
    <row r="1755" spans="1:14" x14ac:dyDescent="0.25">
      <c r="A1755" s="1">
        <v>45383</v>
      </c>
      <c r="B1755" t="s">
        <v>28</v>
      </c>
      <c r="C1755" t="s">
        <v>21</v>
      </c>
      <c r="D1755" t="s">
        <v>16</v>
      </c>
      <c r="E1755" t="s">
        <v>26</v>
      </c>
      <c r="F1755">
        <v>59376</v>
      </c>
      <c r="G1755">
        <v>564</v>
      </c>
      <c r="H1755">
        <v>9.4999999999999998E-3</v>
      </c>
      <c r="I1755">
        <v>0.64</v>
      </c>
      <c r="J1755">
        <v>360.96</v>
      </c>
      <c r="K1755">
        <v>25</v>
      </c>
      <c r="L1755">
        <v>14.44</v>
      </c>
      <c r="M1755">
        <v>4065.83</v>
      </c>
      <c r="N1755">
        <v>11.26</v>
      </c>
    </row>
    <row r="1756" spans="1:14" x14ac:dyDescent="0.25">
      <c r="A1756" s="1">
        <v>45433</v>
      </c>
      <c r="B1756" t="s">
        <v>28</v>
      </c>
      <c r="C1756" t="s">
        <v>21</v>
      </c>
      <c r="D1756" t="s">
        <v>30</v>
      </c>
      <c r="E1756" t="s">
        <v>31</v>
      </c>
      <c r="F1756">
        <v>15865</v>
      </c>
      <c r="G1756">
        <v>528</v>
      </c>
      <c r="H1756">
        <v>3.3300000000000003E-2</v>
      </c>
      <c r="I1756">
        <v>1.88</v>
      </c>
      <c r="J1756">
        <v>992.64</v>
      </c>
      <c r="K1756">
        <v>39</v>
      </c>
      <c r="L1756">
        <v>25.45</v>
      </c>
      <c r="M1756">
        <v>3165.22</v>
      </c>
      <c r="N1756">
        <v>3.19</v>
      </c>
    </row>
    <row r="1757" spans="1:14" x14ac:dyDescent="0.25">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row>
    <row r="1758" spans="1:14" x14ac:dyDescent="0.25">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row>
    <row r="1759" spans="1:14" x14ac:dyDescent="0.25">
      <c r="A1759" s="1">
        <v>45481</v>
      </c>
      <c r="B1759" t="s">
        <v>28</v>
      </c>
      <c r="C1759" t="s">
        <v>15</v>
      </c>
      <c r="D1759" t="s">
        <v>25</v>
      </c>
      <c r="E1759" t="s">
        <v>20</v>
      </c>
      <c r="F1759">
        <v>44612</v>
      </c>
      <c r="G1759">
        <v>811</v>
      </c>
      <c r="H1759">
        <v>1.8200000000000001E-2</v>
      </c>
      <c r="I1759">
        <v>2</v>
      </c>
      <c r="J1759">
        <v>1622</v>
      </c>
      <c r="K1759">
        <v>23</v>
      </c>
      <c r="L1759">
        <v>70.52</v>
      </c>
      <c r="M1759">
        <v>1008.1</v>
      </c>
      <c r="N1759">
        <v>0.62</v>
      </c>
    </row>
    <row r="1760" spans="1:14" x14ac:dyDescent="0.25">
      <c r="A1760" s="1">
        <v>45609</v>
      </c>
      <c r="B1760" t="s">
        <v>14</v>
      </c>
      <c r="C1760" t="s">
        <v>29</v>
      </c>
      <c r="D1760" t="s">
        <v>30</v>
      </c>
      <c r="E1760" t="s">
        <v>32</v>
      </c>
      <c r="F1760">
        <v>17299</v>
      </c>
      <c r="G1760">
        <v>479</v>
      </c>
      <c r="H1760">
        <v>2.7699999999999999E-2</v>
      </c>
      <c r="I1760">
        <v>1.94</v>
      </c>
      <c r="J1760">
        <v>929.26</v>
      </c>
      <c r="K1760">
        <v>30</v>
      </c>
      <c r="L1760">
        <v>30.98</v>
      </c>
      <c r="M1760">
        <v>3163.73</v>
      </c>
      <c r="N1760">
        <v>3.4</v>
      </c>
    </row>
    <row r="1761" spans="1:14" x14ac:dyDescent="0.25">
      <c r="A1761" s="1">
        <v>45594</v>
      </c>
      <c r="B1761" t="s">
        <v>18</v>
      </c>
      <c r="C1761" t="s">
        <v>24</v>
      </c>
      <c r="D1761" t="s">
        <v>22</v>
      </c>
      <c r="E1761" t="s">
        <v>17</v>
      </c>
      <c r="F1761">
        <v>71514</v>
      </c>
      <c r="G1761">
        <v>3354</v>
      </c>
      <c r="H1761">
        <v>4.6899999999999997E-2</v>
      </c>
      <c r="I1761">
        <v>1.31</v>
      </c>
      <c r="J1761">
        <v>4393.74</v>
      </c>
      <c r="K1761">
        <v>165</v>
      </c>
      <c r="L1761">
        <v>26.63</v>
      </c>
      <c r="M1761">
        <v>17363.87</v>
      </c>
      <c r="N1761">
        <v>3.95</v>
      </c>
    </row>
    <row r="1762" spans="1:14" x14ac:dyDescent="0.25">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row>
    <row r="1763" spans="1:14" x14ac:dyDescent="0.25">
      <c r="A1763" s="1">
        <v>45619</v>
      </c>
      <c r="B1763" t="s">
        <v>14</v>
      </c>
      <c r="C1763" t="s">
        <v>29</v>
      </c>
      <c r="D1763" t="s">
        <v>19</v>
      </c>
      <c r="E1763" t="s">
        <v>17</v>
      </c>
      <c r="F1763">
        <v>80542</v>
      </c>
      <c r="G1763">
        <v>4236</v>
      </c>
      <c r="H1763">
        <v>5.2600000000000001E-2</v>
      </c>
      <c r="I1763">
        <v>2.15</v>
      </c>
      <c r="J1763">
        <v>9107.4</v>
      </c>
      <c r="K1763">
        <v>104</v>
      </c>
      <c r="L1763">
        <v>87.57</v>
      </c>
      <c r="M1763">
        <v>15932.35</v>
      </c>
      <c r="N1763">
        <v>1.75</v>
      </c>
    </row>
    <row r="1764" spans="1:14" x14ac:dyDescent="0.25">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row>
    <row r="1765" spans="1:14" x14ac:dyDescent="0.25">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row>
    <row r="1766" spans="1:14" x14ac:dyDescent="0.25">
      <c r="A1766" s="1">
        <v>45329</v>
      </c>
      <c r="B1766" t="s">
        <v>18</v>
      </c>
      <c r="C1766" t="s">
        <v>15</v>
      </c>
      <c r="D1766" t="s">
        <v>16</v>
      </c>
      <c r="E1766" t="s">
        <v>26</v>
      </c>
      <c r="F1766">
        <v>108806</v>
      </c>
      <c r="G1766">
        <v>5070</v>
      </c>
      <c r="H1766">
        <v>4.6600000000000003E-2</v>
      </c>
      <c r="I1766">
        <v>0.36</v>
      </c>
      <c r="J1766">
        <v>1825.2</v>
      </c>
      <c r="K1766">
        <v>279</v>
      </c>
      <c r="L1766">
        <v>6.54</v>
      </c>
      <c r="M1766">
        <v>26787.94</v>
      </c>
      <c r="N1766">
        <v>14.68</v>
      </c>
    </row>
    <row r="1767" spans="1:14" x14ac:dyDescent="0.25">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row>
    <row r="1768" spans="1:14" x14ac:dyDescent="0.25">
      <c r="A1768" s="1">
        <v>45415</v>
      </c>
      <c r="B1768" t="s">
        <v>28</v>
      </c>
      <c r="C1768" t="s">
        <v>24</v>
      </c>
      <c r="D1768" t="s">
        <v>16</v>
      </c>
      <c r="E1768" t="s">
        <v>32</v>
      </c>
      <c r="F1768">
        <v>143541</v>
      </c>
      <c r="G1768">
        <v>1980</v>
      </c>
      <c r="H1768">
        <v>1.38E-2</v>
      </c>
      <c r="I1768">
        <v>1.41</v>
      </c>
      <c r="J1768">
        <v>2791.8</v>
      </c>
      <c r="K1768">
        <v>152</v>
      </c>
      <c r="L1768">
        <v>18.37</v>
      </c>
      <c r="M1768">
        <v>42063.3</v>
      </c>
      <c r="N1768">
        <v>15.07</v>
      </c>
    </row>
    <row r="1769" spans="1:14" x14ac:dyDescent="0.25">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row>
    <row r="1770" spans="1:14" x14ac:dyDescent="0.25">
      <c r="A1770" s="1">
        <v>45354</v>
      </c>
      <c r="B1770" t="s">
        <v>28</v>
      </c>
      <c r="C1770" t="s">
        <v>29</v>
      </c>
      <c r="D1770" t="s">
        <v>19</v>
      </c>
      <c r="E1770" t="s">
        <v>20</v>
      </c>
      <c r="F1770">
        <v>160478</v>
      </c>
      <c r="G1770">
        <v>4413</v>
      </c>
      <c r="H1770">
        <v>2.75E-2</v>
      </c>
      <c r="I1770">
        <v>1.02</v>
      </c>
      <c r="J1770">
        <v>4501.26</v>
      </c>
      <c r="K1770">
        <v>82</v>
      </c>
      <c r="L1770">
        <v>54.89</v>
      </c>
      <c r="M1770">
        <v>13362.88</v>
      </c>
      <c r="N1770">
        <v>2.97</v>
      </c>
    </row>
    <row r="1771" spans="1:14" x14ac:dyDescent="0.25">
      <c r="A1771" s="1">
        <v>45579</v>
      </c>
      <c r="B1771" t="s">
        <v>14</v>
      </c>
      <c r="C1771" t="s">
        <v>21</v>
      </c>
      <c r="D1771" t="s">
        <v>30</v>
      </c>
      <c r="E1771" t="s">
        <v>20</v>
      </c>
      <c r="F1771">
        <v>116011</v>
      </c>
      <c r="G1771">
        <v>2726</v>
      </c>
      <c r="H1771">
        <v>2.35E-2</v>
      </c>
      <c r="I1771">
        <v>1.96</v>
      </c>
      <c r="J1771">
        <v>5342.96</v>
      </c>
      <c r="K1771">
        <v>127</v>
      </c>
      <c r="L1771">
        <v>42.07</v>
      </c>
      <c r="M1771">
        <v>4188.78</v>
      </c>
      <c r="N1771">
        <v>0.78</v>
      </c>
    </row>
    <row r="1772" spans="1:14" x14ac:dyDescent="0.25">
      <c r="A1772" s="1">
        <v>45552</v>
      </c>
      <c r="B1772" t="s">
        <v>28</v>
      </c>
      <c r="C1772" t="s">
        <v>15</v>
      </c>
      <c r="D1772" t="s">
        <v>19</v>
      </c>
      <c r="E1772" t="s">
        <v>26</v>
      </c>
      <c r="F1772">
        <v>166243</v>
      </c>
      <c r="G1772">
        <v>1895</v>
      </c>
      <c r="H1772">
        <v>1.14E-2</v>
      </c>
      <c r="I1772">
        <v>0.92</v>
      </c>
      <c r="J1772">
        <v>1743.4</v>
      </c>
      <c r="K1772">
        <v>51</v>
      </c>
      <c r="L1772">
        <v>34.18</v>
      </c>
      <c r="M1772">
        <v>5887.21</v>
      </c>
      <c r="N1772">
        <v>3.38</v>
      </c>
    </row>
    <row r="1773" spans="1:14" x14ac:dyDescent="0.25">
      <c r="A1773" s="1">
        <v>45307</v>
      </c>
      <c r="B1773" t="s">
        <v>18</v>
      </c>
      <c r="C1773" t="s">
        <v>21</v>
      </c>
      <c r="D1773" t="s">
        <v>30</v>
      </c>
      <c r="E1773" t="s">
        <v>32</v>
      </c>
      <c r="F1773">
        <v>62868</v>
      </c>
      <c r="G1773">
        <v>2715</v>
      </c>
      <c r="H1773">
        <v>4.3200000000000002E-2</v>
      </c>
      <c r="I1773">
        <v>1.6</v>
      </c>
      <c r="J1773">
        <v>4344</v>
      </c>
      <c r="K1773">
        <v>180</v>
      </c>
      <c r="L1773">
        <v>24.13</v>
      </c>
      <c r="M1773">
        <v>35590.01</v>
      </c>
      <c r="N1773">
        <v>8.19</v>
      </c>
    </row>
    <row r="1774" spans="1:14" x14ac:dyDescent="0.25">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row>
    <row r="1775" spans="1:14" x14ac:dyDescent="0.25">
      <c r="A1775" s="1">
        <v>45362</v>
      </c>
      <c r="B1775" t="s">
        <v>28</v>
      </c>
      <c r="C1775" t="s">
        <v>29</v>
      </c>
      <c r="D1775" t="s">
        <v>22</v>
      </c>
      <c r="E1775" t="s">
        <v>17</v>
      </c>
      <c r="F1775">
        <v>107326</v>
      </c>
      <c r="G1775">
        <v>2436</v>
      </c>
      <c r="H1775">
        <v>2.2700000000000001E-2</v>
      </c>
      <c r="I1775">
        <v>0.77</v>
      </c>
      <c r="J1775">
        <v>1875.72</v>
      </c>
      <c r="K1775">
        <v>84</v>
      </c>
      <c r="L1775">
        <v>22.33</v>
      </c>
      <c r="M1775">
        <v>5936.35</v>
      </c>
      <c r="N1775">
        <v>3.16</v>
      </c>
    </row>
    <row r="1776" spans="1:14" x14ac:dyDescent="0.25">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row>
    <row r="1777" spans="1:14" x14ac:dyDescent="0.25">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row>
    <row r="1778" spans="1:14" x14ac:dyDescent="0.25">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row>
    <row r="1779" spans="1:14" x14ac:dyDescent="0.25">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row>
    <row r="1780" spans="1:14" x14ac:dyDescent="0.25">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row>
    <row r="1781" spans="1:14" x14ac:dyDescent="0.25">
      <c r="A1781" s="1">
        <v>45406</v>
      </c>
      <c r="B1781" t="s">
        <v>28</v>
      </c>
      <c r="C1781" t="s">
        <v>29</v>
      </c>
      <c r="D1781" t="s">
        <v>16</v>
      </c>
      <c r="E1781" t="s">
        <v>23</v>
      </c>
      <c r="F1781">
        <v>68989</v>
      </c>
      <c r="G1781">
        <v>2952</v>
      </c>
      <c r="H1781">
        <v>4.2799999999999998E-2</v>
      </c>
      <c r="I1781">
        <v>1.79</v>
      </c>
      <c r="J1781">
        <v>5284.08</v>
      </c>
      <c r="K1781">
        <v>169</v>
      </c>
      <c r="L1781">
        <v>31.27</v>
      </c>
      <c r="M1781">
        <v>14776.11</v>
      </c>
      <c r="N1781">
        <v>2.8</v>
      </c>
    </row>
    <row r="1782" spans="1:14" x14ac:dyDescent="0.25">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row>
    <row r="1783" spans="1:14" x14ac:dyDescent="0.25">
      <c r="A1783" s="1">
        <v>45426</v>
      </c>
      <c r="B1783" t="s">
        <v>14</v>
      </c>
      <c r="C1783" t="s">
        <v>21</v>
      </c>
      <c r="D1783" t="s">
        <v>30</v>
      </c>
      <c r="E1783" t="s">
        <v>27</v>
      </c>
      <c r="F1783">
        <v>96178</v>
      </c>
      <c r="G1783">
        <v>4328</v>
      </c>
      <c r="H1783">
        <v>4.4999999999999998E-2</v>
      </c>
      <c r="I1783">
        <v>3.36</v>
      </c>
      <c r="J1783">
        <v>14542.08</v>
      </c>
      <c r="K1783">
        <v>275</v>
      </c>
      <c r="L1783">
        <v>52.88</v>
      </c>
      <c r="M1783">
        <v>37193.1</v>
      </c>
      <c r="N1783">
        <v>2.56</v>
      </c>
    </row>
    <row r="1784" spans="1:14" x14ac:dyDescent="0.25">
      <c r="A1784" s="1">
        <v>45545</v>
      </c>
      <c r="B1784" t="s">
        <v>18</v>
      </c>
      <c r="C1784" t="s">
        <v>24</v>
      </c>
      <c r="D1784" t="s">
        <v>22</v>
      </c>
      <c r="E1784" t="s">
        <v>31</v>
      </c>
      <c r="F1784">
        <v>144940</v>
      </c>
      <c r="G1784">
        <v>5333</v>
      </c>
      <c r="H1784">
        <v>3.6799999999999999E-2</v>
      </c>
      <c r="I1784">
        <v>1.31</v>
      </c>
      <c r="J1784">
        <v>6986.23</v>
      </c>
      <c r="K1784">
        <v>148</v>
      </c>
      <c r="L1784">
        <v>47.2</v>
      </c>
      <c r="M1784">
        <v>32610.09</v>
      </c>
      <c r="N1784">
        <v>4.67</v>
      </c>
    </row>
    <row r="1785" spans="1:14" x14ac:dyDescent="0.25">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row>
    <row r="1786" spans="1:14" x14ac:dyDescent="0.25">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row>
    <row r="1787" spans="1:14" x14ac:dyDescent="0.25">
      <c r="A1787" s="1">
        <v>45639</v>
      </c>
      <c r="B1787" t="s">
        <v>14</v>
      </c>
      <c r="C1787" t="s">
        <v>21</v>
      </c>
      <c r="D1787" t="s">
        <v>16</v>
      </c>
      <c r="E1787" t="s">
        <v>31</v>
      </c>
      <c r="F1787">
        <v>126404</v>
      </c>
      <c r="G1787">
        <v>2073</v>
      </c>
      <c r="H1787">
        <v>1.6400000000000001E-2</v>
      </c>
      <c r="I1787">
        <v>0.92</v>
      </c>
      <c r="J1787">
        <v>1907.16</v>
      </c>
      <c r="K1787">
        <v>24</v>
      </c>
      <c r="L1787">
        <v>79.47</v>
      </c>
      <c r="M1787">
        <v>3807.61</v>
      </c>
      <c r="N1787">
        <v>2</v>
      </c>
    </row>
    <row r="1788" spans="1:14" x14ac:dyDescent="0.25">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row>
    <row r="1789" spans="1:14" x14ac:dyDescent="0.25">
      <c r="A1789" s="1">
        <v>45463</v>
      </c>
      <c r="B1789" t="s">
        <v>28</v>
      </c>
      <c r="C1789" t="s">
        <v>21</v>
      </c>
      <c r="D1789" t="s">
        <v>19</v>
      </c>
      <c r="E1789" t="s">
        <v>26</v>
      </c>
      <c r="F1789">
        <v>95987</v>
      </c>
      <c r="G1789">
        <v>1919</v>
      </c>
      <c r="H1789">
        <v>0.02</v>
      </c>
      <c r="I1789">
        <v>1.71</v>
      </c>
      <c r="J1789">
        <v>3281.49</v>
      </c>
      <c r="K1789">
        <v>124</v>
      </c>
      <c r="L1789">
        <v>26.46</v>
      </c>
      <c r="M1789">
        <v>28533.79</v>
      </c>
      <c r="N1789">
        <v>8.6999999999999993</v>
      </c>
    </row>
    <row r="1790" spans="1:14" x14ac:dyDescent="0.25">
      <c r="A1790" s="1">
        <v>45444</v>
      </c>
      <c r="B1790" t="s">
        <v>14</v>
      </c>
      <c r="C1790" t="s">
        <v>24</v>
      </c>
      <c r="D1790" t="s">
        <v>25</v>
      </c>
      <c r="E1790" t="s">
        <v>17</v>
      </c>
      <c r="F1790">
        <v>154088</v>
      </c>
      <c r="G1790">
        <v>9106</v>
      </c>
      <c r="H1790">
        <v>5.91E-2</v>
      </c>
      <c r="I1790">
        <v>3.24</v>
      </c>
      <c r="J1790">
        <v>29503.439999999999</v>
      </c>
      <c r="K1790">
        <v>294</v>
      </c>
      <c r="L1790">
        <v>100.35</v>
      </c>
      <c r="M1790">
        <v>42565.78</v>
      </c>
      <c r="N1790">
        <v>1.44</v>
      </c>
    </row>
    <row r="1791" spans="1:14" x14ac:dyDescent="0.25">
      <c r="A1791" s="1">
        <v>45351</v>
      </c>
      <c r="B1791" t="s">
        <v>18</v>
      </c>
      <c r="C1791" t="s">
        <v>15</v>
      </c>
      <c r="D1791" t="s">
        <v>19</v>
      </c>
      <c r="E1791" t="s">
        <v>32</v>
      </c>
      <c r="F1791">
        <v>71883</v>
      </c>
      <c r="G1791">
        <v>2077</v>
      </c>
      <c r="H1791">
        <v>2.8899999999999999E-2</v>
      </c>
      <c r="I1791">
        <v>1.71</v>
      </c>
      <c r="J1791">
        <v>3551.67</v>
      </c>
      <c r="K1791">
        <v>87</v>
      </c>
      <c r="L1791">
        <v>40.82</v>
      </c>
      <c r="M1791">
        <v>12811.32</v>
      </c>
      <c r="N1791">
        <v>3.61</v>
      </c>
    </row>
    <row r="1792" spans="1:14" x14ac:dyDescent="0.25">
      <c r="A1792" s="1">
        <v>45495</v>
      </c>
      <c r="B1792" t="s">
        <v>28</v>
      </c>
      <c r="C1792" t="s">
        <v>24</v>
      </c>
      <c r="D1792" t="s">
        <v>30</v>
      </c>
      <c r="E1792" t="s">
        <v>17</v>
      </c>
      <c r="F1792">
        <v>133716</v>
      </c>
      <c r="G1792">
        <v>1617</v>
      </c>
      <c r="H1792">
        <v>1.21E-2</v>
      </c>
      <c r="I1792">
        <v>0.85</v>
      </c>
      <c r="J1792">
        <v>1374.45</v>
      </c>
      <c r="K1792">
        <v>48</v>
      </c>
      <c r="L1792">
        <v>28.63</v>
      </c>
      <c r="M1792">
        <v>3570.09</v>
      </c>
      <c r="N1792">
        <v>2.6</v>
      </c>
    </row>
    <row r="1793" spans="1:14" x14ac:dyDescent="0.25">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row>
    <row r="1794" spans="1:14" x14ac:dyDescent="0.25">
      <c r="A1794" s="1">
        <v>45538</v>
      </c>
      <c r="B1794" t="s">
        <v>14</v>
      </c>
      <c r="C1794" t="s">
        <v>15</v>
      </c>
      <c r="D1794" t="s">
        <v>30</v>
      </c>
      <c r="E1794" t="s">
        <v>31</v>
      </c>
      <c r="F1794">
        <v>144911</v>
      </c>
      <c r="G1794">
        <v>7897</v>
      </c>
      <c r="H1794">
        <v>5.45E-2</v>
      </c>
      <c r="I1794">
        <v>1.63</v>
      </c>
      <c r="J1794">
        <v>12872.11</v>
      </c>
      <c r="K1794">
        <v>555</v>
      </c>
      <c r="L1794">
        <v>23.19</v>
      </c>
      <c r="M1794">
        <v>21004.5</v>
      </c>
      <c r="N1794">
        <v>1.63</v>
      </c>
    </row>
    <row r="1795" spans="1:14" x14ac:dyDescent="0.25">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row>
    <row r="1796" spans="1:14" x14ac:dyDescent="0.25">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row>
    <row r="1797" spans="1:14" x14ac:dyDescent="0.25">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row>
    <row r="1798" spans="1:14" x14ac:dyDescent="0.25">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row>
    <row r="1799" spans="1:14" x14ac:dyDescent="0.25">
      <c r="A1799" s="1">
        <v>45352</v>
      </c>
      <c r="B1799" t="s">
        <v>28</v>
      </c>
      <c r="C1799" t="s">
        <v>21</v>
      </c>
      <c r="D1799" t="s">
        <v>16</v>
      </c>
      <c r="E1799" t="s">
        <v>32</v>
      </c>
      <c r="F1799">
        <v>122974</v>
      </c>
      <c r="G1799">
        <v>2939</v>
      </c>
      <c r="H1799">
        <v>2.3900000000000001E-2</v>
      </c>
      <c r="I1799">
        <v>1.85</v>
      </c>
      <c r="J1799">
        <v>5437.15</v>
      </c>
      <c r="K1799">
        <v>91</v>
      </c>
      <c r="L1799">
        <v>59.75</v>
      </c>
      <c r="M1799">
        <v>26004.98</v>
      </c>
      <c r="N1799">
        <v>4.78</v>
      </c>
    </row>
    <row r="1800" spans="1:14" x14ac:dyDescent="0.25">
      <c r="A1800" s="1">
        <v>45506</v>
      </c>
      <c r="B1800" t="s">
        <v>14</v>
      </c>
      <c r="C1800" t="s">
        <v>15</v>
      </c>
      <c r="D1800" t="s">
        <v>30</v>
      </c>
      <c r="E1800" t="s">
        <v>23</v>
      </c>
      <c r="F1800">
        <v>28553</v>
      </c>
      <c r="G1800">
        <v>850</v>
      </c>
      <c r="H1800">
        <v>2.98E-2</v>
      </c>
      <c r="I1800">
        <v>2.06</v>
      </c>
      <c r="J1800">
        <v>1751</v>
      </c>
      <c r="K1800">
        <v>51</v>
      </c>
      <c r="L1800">
        <v>34.33</v>
      </c>
      <c r="M1800">
        <v>13010.72</v>
      </c>
      <c r="N1800">
        <v>7.43</v>
      </c>
    </row>
    <row r="1801" spans="1:14" x14ac:dyDescent="0.25">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1C99-5D2E-4539-9919-BD8D40379607}">
  <dimension ref="A1:S1801"/>
  <sheetViews>
    <sheetView topLeftCell="A1765" workbookViewId="0">
      <selection activeCell="V5" sqref="V5"/>
    </sheetView>
  </sheetViews>
  <sheetFormatPr defaultRowHeight="15" x14ac:dyDescent="0.25"/>
  <cols>
    <col min="1" max="1" width="10.42578125" style="1" bestFit="1" customWidth="1"/>
    <col min="2" max="2" width="10.42578125" style="1" customWidth="1"/>
    <col min="3" max="3" width="10.85546875" bestFit="1" customWidth="1"/>
    <col min="4" max="4" width="16.7109375" bestFit="1" customWidth="1"/>
    <col min="5" max="5" width="12" bestFit="1" customWidth="1"/>
    <col min="7" max="7" width="14.28515625" style="4" bestFit="1" customWidth="1"/>
    <col min="8" max="8" width="8.42578125" style="4" bestFit="1" customWidth="1"/>
    <col min="11" max="11" width="11.85546875" bestFit="1" customWidth="1"/>
    <col min="12" max="12" width="14" style="4" bestFit="1" customWidth="1"/>
    <col min="13" max="13" width="7.5703125" bestFit="1" customWidth="1"/>
    <col min="14" max="14" width="11.140625" bestFit="1" customWidth="1"/>
    <col min="15" max="16" width="11.140625" customWidth="1"/>
    <col min="17" max="17" width="8" bestFit="1" customWidth="1"/>
    <col min="18" max="18" width="27.7109375" bestFit="1" customWidth="1"/>
    <col min="19" max="19" width="11" bestFit="1" customWidth="1"/>
  </cols>
  <sheetData>
    <row r="1" spans="1:19" x14ac:dyDescent="0.25">
      <c r="A1" s="1" t="s">
        <v>0</v>
      </c>
      <c r="B1" s="1" t="s">
        <v>42</v>
      </c>
      <c r="C1" t="s">
        <v>1</v>
      </c>
      <c r="D1" t="s">
        <v>2</v>
      </c>
      <c r="E1" t="s">
        <v>3</v>
      </c>
      <c r="F1" t="s">
        <v>4</v>
      </c>
      <c r="G1" s="4" t="s">
        <v>5</v>
      </c>
      <c r="H1" s="4" t="s">
        <v>6</v>
      </c>
      <c r="I1" t="s">
        <v>7</v>
      </c>
      <c r="J1" t="s">
        <v>8</v>
      </c>
      <c r="K1" t="s">
        <v>9</v>
      </c>
      <c r="L1" s="4" t="s">
        <v>10</v>
      </c>
      <c r="M1" t="s">
        <v>11</v>
      </c>
      <c r="N1" t="s">
        <v>12</v>
      </c>
      <c r="O1" t="s">
        <v>43</v>
      </c>
      <c r="P1" t="s">
        <v>44</v>
      </c>
      <c r="Q1" t="s">
        <v>13</v>
      </c>
      <c r="R1" t="s">
        <v>45</v>
      </c>
      <c r="S1" t="s">
        <v>46</v>
      </c>
    </row>
    <row r="2" spans="1:19" x14ac:dyDescent="0.25">
      <c r="A2" s="1">
        <v>45312</v>
      </c>
      <c r="B2" s="1" t="str">
        <f>TEXT(A2, "yyyy-mm")</f>
        <v>2024-01</v>
      </c>
      <c r="C2" t="s">
        <v>14</v>
      </c>
      <c r="D2" t="s">
        <v>15</v>
      </c>
      <c r="E2" t="s">
        <v>16</v>
      </c>
      <c r="F2" t="s">
        <v>17</v>
      </c>
      <c r="G2" s="4">
        <v>59886</v>
      </c>
      <c r="H2" s="4">
        <v>2113</v>
      </c>
      <c r="I2" s="5">
        <v>3.5299999999999998E-2</v>
      </c>
      <c r="J2" s="2">
        <v>1.26</v>
      </c>
      <c r="K2" s="6">
        <v>2662.38</v>
      </c>
      <c r="L2" s="4">
        <v>159</v>
      </c>
      <c r="M2" s="2">
        <v>16.739999999999998</v>
      </c>
      <c r="N2" s="6">
        <v>4803.43</v>
      </c>
      <c r="O2" s="6">
        <f>N2-K2</f>
        <v>2141.0500000000002</v>
      </c>
      <c r="P2" s="6">
        <f>IFERROR(O2/K2, "")</f>
        <v>0.80418647976622426</v>
      </c>
      <c r="Q2" s="3">
        <v>1.8</v>
      </c>
      <c r="R2" t="str">
        <f>IF(Q2 &gt;= 3, "High", IF(Q2&gt;=1, "Medium", "Low"))</f>
        <v>Medium</v>
      </c>
      <c r="S2" t="str">
        <f>IF(OR(G2=0, H2&gt;G2, L2&gt;H2), "Invalid", "Valid")</f>
        <v>Valid</v>
      </c>
    </row>
    <row r="3" spans="1:19" x14ac:dyDescent="0.25">
      <c r="A3" s="1">
        <v>45313</v>
      </c>
      <c r="B3" s="1" t="str">
        <f t="shared" ref="B3:B66" si="0">TEXT(A3, "yyyy-mm")</f>
        <v>2024-01</v>
      </c>
      <c r="C3" t="s">
        <v>18</v>
      </c>
      <c r="D3" t="s">
        <v>15</v>
      </c>
      <c r="E3" t="s">
        <v>19</v>
      </c>
      <c r="F3" t="s">
        <v>20</v>
      </c>
      <c r="G3" s="4">
        <v>135608</v>
      </c>
      <c r="H3" s="4">
        <v>5220</v>
      </c>
      <c r="I3" s="5">
        <v>3.85E-2</v>
      </c>
      <c r="J3" s="2">
        <v>1.18</v>
      </c>
      <c r="K3" s="6">
        <v>6159.6</v>
      </c>
      <c r="L3" s="4">
        <v>411</v>
      </c>
      <c r="M3" s="2">
        <v>14.99</v>
      </c>
      <c r="N3" s="6">
        <v>64126.68</v>
      </c>
      <c r="O3" s="6">
        <f t="shared" ref="O3:O66" si="1">N3-K3</f>
        <v>57967.08</v>
      </c>
      <c r="P3" s="6">
        <f t="shared" ref="P3:P66" si="2">IFERROR(O3/K3, "")</f>
        <v>9.4108513539840253</v>
      </c>
      <c r="Q3" s="3">
        <v>10.41</v>
      </c>
      <c r="R3" t="str">
        <f t="shared" ref="R3:R66" si="3">IF(Q3 &gt;= 3, "High", IF(Q3&gt;=1, "Medium", "Low"))</f>
        <v>High</v>
      </c>
      <c r="S3" t="str">
        <f t="shared" ref="S3:S66" si="4">IF(OR(G3=0, H3&gt;G3, L3&gt;H3), "Invalid", "Valid")</f>
        <v>Valid</v>
      </c>
    </row>
    <row r="4" spans="1:19" x14ac:dyDescent="0.25">
      <c r="A4" s="1">
        <v>45458</v>
      </c>
      <c r="B4" s="1" t="str">
        <f t="shared" si="0"/>
        <v>2024-06</v>
      </c>
      <c r="C4" t="s">
        <v>18</v>
      </c>
      <c r="D4" t="s">
        <v>21</v>
      </c>
      <c r="E4" t="s">
        <v>22</v>
      </c>
      <c r="F4" t="s">
        <v>23</v>
      </c>
      <c r="G4" s="4">
        <v>92313</v>
      </c>
      <c r="H4" s="4">
        <v>5991</v>
      </c>
      <c r="I4" s="5">
        <v>6.4899999999999999E-2</v>
      </c>
      <c r="J4" s="2">
        <v>0.85</v>
      </c>
      <c r="K4" s="6">
        <v>5092.3500000000004</v>
      </c>
      <c r="L4" s="4">
        <v>267</v>
      </c>
      <c r="M4" s="2">
        <v>19.07</v>
      </c>
      <c r="N4" s="6">
        <v>10489.07</v>
      </c>
      <c r="O4" s="6">
        <f t="shared" si="1"/>
        <v>5396.7199999999993</v>
      </c>
      <c r="P4" s="6">
        <f t="shared" si="2"/>
        <v>1.0597700472277041</v>
      </c>
      <c r="Q4" s="3">
        <v>2.06</v>
      </c>
      <c r="R4" t="str">
        <f t="shared" si="3"/>
        <v>Medium</v>
      </c>
      <c r="S4" t="str">
        <f t="shared" si="4"/>
        <v>Valid</v>
      </c>
    </row>
    <row r="5" spans="1:19" x14ac:dyDescent="0.25">
      <c r="A5" s="1">
        <v>45293</v>
      </c>
      <c r="B5" s="1" t="str">
        <f t="shared" si="0"/>
        <v>2024-01</v>
      </c>
      <c r="C5" t="s">
        <v>18</v>
      </c>
      <c r="D5" t="s">
        <v>24</v>
      </c>
      <c r="E5" t="s">
        <v>25</v>
      </c>
      <c r="F5" t="s">
        <v>26</v>
      </c>
      <c r="G5" s="4">
        <v>83953</v>
      </c>
      <c r="H5" s="4">
        <v>5935</v>
      </c>
      <c r="I5" s="5">
        <v>7.0699999999999999E-2</v>
      </c>
      <c r="J5" s="2">
        <v>1.32</v>
      </c>
      <c r="K5" s="6">
        <v>7834.2</v>
      </c>
      <c r="L5" s="4">
        <v>296</v>
      </c>
      <c r="M5" s="2">
        <v>26.47</v>
      </c>
      <c r="N5" s="6">
        <v>50505.07</v>
      </c>
      <c r="O5" s="6">
        <f t="shared" si="1"/>
        <v>42670.87</v>
      </c>
      <c r="P5" s="6">
        <f t="shared" si="2"/>
        <v>5.4467424880651505</v>
      </c>
      <c r="Q5" s="3">
        <v>6.45</v>
      </c>
      <c r="R5" t="str">
        <f t="shared" si="3"/>
        <v>High</v>
      </c>
      <c r="S5" t="str">
        <f t="shared" si="4"/>
        <v>Valid</v>
      </c>
    </row>
    <row r="6" spans="1:19" x14ac:dyDescent="0.25">
      <c r="A6" s="1">
        <v>45344</v>
      </c>
      <c r="B6" s="1" t="str">
        <f t="shared" si="0"/>
        <v>2024-02</v>
      </c>
      <c r="C6" t="s">
        <v>18</v>
      </c>
      <c r="D6" t="s">
        <v>15</v>
      </c>
      <c r="E6" t="s">
        <v>22</v>
      </c>
      <c r="F6" t="s">
        <v>20</v>
      </c>
      <c r="G6" s="4">
        <v>91807</v>
      </c>
      <c r="H6" s="4">
        <v>4489</v>
      </c>
      <c r="I6" s="5">
        <v>4.8899999999999999E-2</v>
      </c>
      <c r="J6" s="2">
        <v>1.93</v>
      </c>
      <c r="K6" s="6">
        <v>8663.77</v>
      </c>
      <c r="L6" s="4">
        <v>107</v>
      </c>
      <c r="M6" s="2">
        <v>80.97</v>
      </c>
      <c r="N6" s="6">
        <v>3369.53</v>
      </c>
      <c r="O6" s="6">
        <f t="shared" si="1"/>
        <v>-5294.24</v>
      </c>
      <c r="P6" s="6">
        <f t="shared" si="2"/>
        <v>-0.61107808725300872</v>
      </c>
      <c r="Q6" s="3">
        <v>0.39</v>
      </c>
      <c r="R6" t="str">
        <f t="shared" si="3"/>
        <v>Low</v>
      </c>
      <c r="S6" t="str">
        <f t="shared" si="4"/>
        <v>Valid</v>
      </c>
    </row>
    <row r="7" spans="1:19" x14ac:dyDescent="0.25">
      <c r="A7" s="1">
        <v>45580</v>
      </c>
      <c r="B7" s="1" t="str">
        <f t="shared" si="0"/>
        <v>2024-10</v>
      </c>
      <c r="C7" t="s">
        <v>18</v>
      </c>
      <c r="D7" t="s">
        <v>15</v>
      </c>
      <c r="E7" t="s">
        <v>16</v>
      </c>
      <c r="F7" t="s">
        <v>27</v>
      </c>
      <c r="G7" s="4">
        <v>17666</v>
      </c>
      <c r="H7" s="4">
        <v>724</v>
      </c>
      <c r="I7" s="5">
        <v>4.1000000000000002E-2</v>
      </c>
      <c r="J7" s="2">
        <v>0.37</v>
      </c>
      <c r="K7" s="6">
        <v>267.88</v>
      </c>
      <c r="L7" s="4">
        <v>23</v>
      </c>
      <c r="M7" s="2">
        <v>11.65</v>
      </c>
      <c r="N7" s="6">
        <v>5220.8500000000004</v>
      </c>
      <c r="O7" s="6">
        <f t="shared" si="1"/>
        <v>4952.97</v>
      </c>
      <c r="P7" s="6">
        <f t="shared" si="2"/>
        <v>18.489510228460507</v>
      </c>
      <c r="Q7" s="3">
        <v>19.489999999999998</v>
      </c>
      <c r="R7" t="str">
        <f t="shared" si="3"/>
        <v>High</v>
      </c>
      <c r="S7" t="str">
        <f t="shared" si="4"/>
        <v>Valid</v>
      </c>
    </row>
    <row r="8" spans="1:19" x14ac:dyDescent="0.25">
      <c r="A8" s="1">
        <v>45518</v>
      </c>
      <c r="B8" s="1" t="str">
        <f t="shared" si="0"/>
        <v>2024-08</v>
      </c>
      <c r="C8" t="s">
        <v>28</v>
      </c>
      <c r="D8" t="s">
        <v>21</v>
      </c>
      <c r="E8" t="s">
        <v>16</v>
      </c>
      <c r="F8" t="s">
        <v>23</v>
      </c>
      <c r="G8" s="4">
        <v>118252</v>
      </c>
      <c r="H8" s="4">
        <v>3748</v>
      </c>
      <c r="I8" s="5">
        <v>3.1699999999999999E-2</v>
      </c>
      <c r="J8" s="2">
        <v>0.42</v>
      </c>
      <c r="K8" s="6">
        <v>1574.16</v>
      </c>
      <c r="L8" s="4">
        <v>152</v>
      </c>
      <c r="M8" s="2">
        <v>10.36</v>
      </c>
      <c r="N8" s="6">
        <v>12838.56</v>
      </c>
      <c r="O8" s="6">
        <f t="shared" si="1"/>
        <v>11264.4</v>
      </c>
      <c r="P8" s="6">
        <f t="shared" si="2"/>
        <v>7.1558164354322296</v>
      </c>
      <c r="Q8" s="3">
        <v>8.16</v>
      </c>
      <c r="R8" t="str">
        <f t="shared" si="3"/>
        <v>High</v>
      </c>
      <c r="S8" t="str">
        <f t="shared" si="4"/>
        <v>Valid</v>
      </c>
    </row>
    <row r="9" spans="1:19" x14ac:dyDescent="0.25">
      <c r="A9" s="1">
        <v>45387</v>
      </c>
      <c r="B9" s="1" t="str">
        <f t="shared" si="0"/>
        <v>2024-04</v>
      </c>
      <c r="C9" t="s">
        <v>18</v>
      </c>
      <c r="D9" t="s">
        <v>15</v>
      </c>
      <c r="E9" t="s">
        <v>19</v>
      </c>
      <c r="F9" t="s">
        <v>17</v>
      </c>
      <c r="G9" s="4">
        <v>92939</v>
      </c>
      <c r="H9" s="4">
        <v>5176</v>
      </c>
      <c r="I9" s="5">
        <v>5.57E-2</v>
      </c>
      <c r="J9" s="2">
        <v>0.66</v>
      </c>
      <c r="K9" s="6">
        <v>3416.16</v>
      </c>
      <c r="L9" s="4">
        <v>388</v>
      </c>
      <c r="M9" s="2">
        <v>8.8000000000000007</v>
      </c>
      <c r="N9" s="6">
        <v>96298.69</v>
      </c>
      <c r="O9" s="6">
        <f t="shared" si="1"/>
        <v>92882.53</v>
      </c>
      <c r="P9" s="6">
        <f t="shared" si="2"/>
        <v>27.189162685588499</v>
      </c>
      <c r="Q9" s="3">
        <v>28.19</v>
      </c>
      <c r="R9" t="str">
        <f t="shared" si="3"/>
        <v>High</v>
      </c>
      <c r="S9" t="str">
        <f t="shared" si="4"/>
        <v>Valid</v>
      </c>
    </row>
    <row r="10" spans="1:19" x14ac:dyDescent="0.25">
      <c r="A10" s="1">
        <v>45399</v>
      </c>
      <c r="B10" s="1" t="str">
        <f t="shared" si="0"/>
        <v>2024-04</v>
      </c>
      <c r="C10" t="s">
        <v>28</v>
      </c>
      <c r="D10" t="s">
        <v>29</v>
      </c>
      <c r="E10" t="s">
        <v>19</v>
      </c>
      <c r="F10" t="s">
        <v>26</v>
      </c>
      <c r="G10" s="4">
        <v>30939</v>
      </c>
      <c r="H10" s="4">
        <v>937</v>
      </c>
      <c r="I10" s="5">
        <v>3.0300000000000001E-2</v>
      </c>
      <c r="J10" s="2">
        <v>0.59</v>
      </c>
      <c r="K10" s="6">
        <v>552.83000000000004</v>
      </c>
      <c r="L10" s="4">
        <v>63</v>
      </c>
      <c r="M10" s="2">
        <v>8.7799999999999994</v>
      </c>
      <c r="N10" s="6">
        <v>16531.03</v>
      </c>
      <c r="O10" s="6">
        <f t="shared" si="1"/>
        <v>15978.199999999999</v>
      </c>
      <c r="P10" s="6">
        <f t="shared" si="2"/>
        <v>28.902555939438884</v>
      </c>
      <c r="Q10" s="3">
        <v>29.9</v>
      </c>
      <c r="R10" t="str">
        <f t="shared" si="3"/>
        <v>High</v>
      </c>
      <c r="S10" t="str">
        <f t="shared" si="4"/>
        <v>Valid</v>
      </c>
    </row>
    <row r="11" spans="1:19" x14ac:dyDescent="0.25">
      <c r="A11" s="1">
        <v>45609</v>
      </c>
      <c r="B11" s="1" t="str">
        <f t="shared" si="0"/>
        <v>2024-11</v>
      </c>
      <c r="C11" t="s">
        <v>14</v>
      </c>
      <c r="D11" t="s">
        <v>24</v>
      </c>
      <c r="E11" t="s">
        <v>16</v>
      </c>
      <c r="F11" t="s">
        <v>23</v>
      </c>
      <c r="G11" s="4">
        <v>8748</v>
      </c>
      <c r="H11" s="4">
        <v>362</v>
      </c>
      <c r="I11" s="5">
        <v>4.1399999999999999E-2</v>
      </c>
      <c r="J11" s="2">
        <v>1.21</v>
      </c>
      <c r="K11" s="6">
        <v>438.02</v>
      </c>
      <c r="L11" s="4">
        <v>10</v>
      </c>
      <c r="M11" s="2">
        <v>43.8</v>
      </c>
      <c r="N11" s="6">
        <v>966.57</v>
      </c>
      <c r="O11" s="6">
        <f t="shared" si="1"/>
        <v>528.55000000000007</v>
      </c>
      <c r="P11" s="6">
        <f t="shared" si="2"/>
        <v>1.2066800602712207</v>
      </c>
      <c r="Q11" s="3">
        <v>2.21</v>
      </c>
      <c r="R11" t="str">
        <f t="shared" si="3"/>
        <v>Medium</v>
      </c>
      <c r="S11" t="str">
        <f t="shared" si="4"/>
        <v>Valid</v>
      </c>
    </row>
    <row r="12" spans="1:19" x14ac:dyDescent="0.25">
      <c r="A12" s="1">
        <v>45404</v>
      </c>
      <c r="B12" s="1" t="str">
        <f t="shared" si="0"/>
        <v>2024-04</v>
      </c>
      <c r="C12" t="s">
        <v>28</v>
      </c>
      <c r="D12" t="s">
        <v>21</v>
      </c>
      <c r="E12" t="s">
        <v>30</v>
      </c>
      <c r="F12" t="s">
        <v>17</v>
      </c>
      <c r="G12" s="4">
        <v>98264</v>
      </c>
      <c r="H12" s="4">
        <v>3144</v>
      </c>
      <c r="I12" s="5">
        <v>3.2000000000000001E-2</v>
      </c>
      <c r="J12" s="2">
        <v>1.56</v>
      </c>
      <c r="K12" s="6">
        <v>4904.6400000000003</v>
      </c>
      <c r="L12" s="4">
        <v>129</v>
      </c>
      <c r="M12" s="2">
        <v>38.020000000000003</v>
      </c>
      <c r="N12" s="6">
        <v>23127.27</v>
      </c>
      <c r="O12" s="6">
        <f t="shared" si="1"/>
        <v>18222.63</v>
      </c>
      <c r="P12" s="6">
        <f t="shared" si="2"/>
        <v>3.7153858387159913</v>
      </c>
      <c r="Q12" s="3">
        <v>4.72</v>
      </c>
      <c r="R12" t="str">
        <f t="shared" si="3"/>
        <v>High</v>
      </c>
      <c r="S12" t="str">
        <f t="shared" si="4"/>
        <v>Valid</v>
      </c>
    </row>
    <row r="13" spans="1:19" x14ac:dyDescent="0.25">
      <c r="A13" s="1">
        <v>45546</v>
      </c>
      <c r="B13" s="1" t="str">
        <f t="shared" si="0"/>
        <v>2024-09</v>
      </c>
      <c r="C13" t="s">
        <v>28</v>
      </c>
      <c r="D13" t="s">
        <v>21</v>
      </c>
      <c r="E13" t="s">
        <v>16</v>
      </c>
      <c r="F13" t="s">
        <v>27</v>
      </c>
      <c r="G13" s="4">
        <v>173229</v>
      </c>
      <c r="H13" s="4">
        <v>5092</v>
      </c>
      <c r="I13" s="5">
        <v>2.9399999999999999E-2</v>
      </c>
      <c r="J13" s="2">
        <v>1.72</v>
      </c>
      <c r="K13" s="6">
        <v>8758.24</v>
      </c>
      <c r="L13" s="4">
        <v>65</v>
      </c>
      <c r="M13" s="2">
        <v>134.74</v>
      </c>
      <c r="N13" s="6">
        <v>12320.17</v>
      </c>
      <c r="O13" s="6">
        <f t="shared" si="1"/>
        <v>3561.9300000000003</v>
      </c>
      <c r="P13" s="6">
        <f t="shared" si="2"/>
        <v>0.40669472405414792</v>
      </c>
      <c r="Q13" s="3">
        <v>1.41</v>
      </c>
      <c r="R13" t="str">
        <f t="shared" si="3"/>
        <v>Medium</v>
      </c>
      <c r="S13" t="str">
        <f t="shared" si="4"/>
        <v>Valid</v>
      </c>
    </row>
    <row r="14" spans="1:19" x14ac:dyDescent="0.25">
      <c r="A14" s="1">
        <v>45438</v>
      </c>
      <c r="B14" s="1" t="str">
        <f t="shared" si="0"/>
        <v>2024-05</v>
      </c>
      <c r="C14" t="s">
        <v>28</v>
      </c>
      <c r="D14" t="s">
        <v>21</v>
      </c>
      <c r="E14" t="s">
        <v>25</v>
      </c>
      <c r="F14" t="s">
        <v>27</v>
      </c>
      <c r="G14" s="4">
        <v>147483</v>
      </c>
      <c r="H14" s="4">
        <v>2138</v>
      </c>
      <c r="I14" s="5">
        <v>1.4500000000000001E-2</v>
      </c>
      <c r="J14" s="2">
        <v>0.56999999999999995</v>
      </c>
      <c r="K14" s="6">
        <v>1218.6600000000001</v>
      </c>
      <c r="L14" s="4">
        <v>159</v>
      </c>
      <c r="M14" s="2">
        <v>7.66</v>
      </c>
      <c r="N14" s="6">
        <v>42434.18</v>
      </c>
      <c r="O14" s="6">
        <f t="shared" si="1"/>
        <v>41215.519999999997</v>
      </c>
      <c r="P14" s="6">
        <f t="shared" si="2"/>
        <v>33.820360067615248</v>
      </c>
      <c r="Q14" s="3">
        <v>34.82</v>
      </c>
      <c r="R14" t="str">
        <f t="shared" si="3"/>
        <v>High</v>
      </c>
      <c r="S14" t="str">
        <f t="shared" si="4"/>
        <v>Valid</v>
      </c>
    </row>
    <row r="15" spans="1:19" x14ac:dyDescent="0.25">
      <c r="A15" s="1">
        <v>45351</v>
      </c>
      <c r="B15" s="1" t="str">
        <f t="shared" si="0"/>
        <v>2024-02</v>
      </c>
      <c r="C15" t="s">
        <v>14</v>
      </c>
      <c r="D15" t="s">
        <v>24</v>
      </c>
      <c r="E15" t="s">
        <v>25</v>
      </c>
      <c r="F15" t="s">
        <v>23</v>
      </c>
      <c r="G15" s="4">
        <v>116472</v>
      </c>
      <c r="H15" s="4">
        <v>4006</v>
      </c>
      <c r="I15" s="5">
        <v>3.44E-2</v>
      </c>
      <c r="J15" s="2">
        <v>2.68</v>
      </c>
      <c r="K15" s="6">
        <v>10736.08</v>
      </c>
      <c r="L15" s="4">
        <v>291</v>
      </c>
      <c r="M15" s="2">
        <v>36.89</v>
      </c>
      <c r="N15" s="6">
        <v>78428.38</v>
      </c>
      <c r="O15" s="6">
        <f t="shared" si="1"/>
        <v>67692.3</v>
      </c>
      <c r="P15" s="6">
        <f t="shared" si="2"/>
        <v>6.3051225400704913</v>
      </c>
      <c r="Q15" s="3">
        <v>7.31</v>
      </c>
      <c r="R15" t="str">
        <f t="shared" si="3"/>
        <v>High</v>
      </c>
      <c r="S15" t="str">
        <f t="shared" si="4"/>
        <v>Valid</v>
      </c>
    </row>
    <row r="16" spans="1:19" x14ac:dyDescent="0.25">
      <c r="A16" s="1">
        <v>45404</v>
      </c>
      <c r="B16" s="1" t="str">
        <f t="shared" si="0"/>
        <v>2024-04</v>
      </c>
      <c r="C16" t="s">
        <v>18</v>
      </c>
      <c r="D16" t="s">
        <v>24</v>
      </c>
      <c r="E16" t="s">
        <v>19</v>
      </c>
      <c r="F16" t="s">
        <v>27</v>
      </c>
      <c r="G16" s="4">
        <v>37711</v>
      </c>
      <c r="H16" s="4">
        <v>2111</v>
      </c>
      <c r="I16" s="5">
        <v>5.6000000000000001E-2</v>
      </c>
      <c r="J16" s="2">
        <v>0.68</v>
      </c>
      <c r="K16" s="6">
        <v>1435.48</v>
      </c>
      <c r="L16" s="4">
        <v>92</v>
      </c>
      <c r="M16" s="2">
        <v>15.6</v>
      </c>
      <c r="N16" s="6">
        <v>13898.86</v>
      </c>
      <c r="O16" s="6">
        <f t="shared" si="1"/>
        <v>12463.380000000001</v>
      </c>
      <c r="P16" s="6">
        <f t="shared" si="2"/>
        <v>8.6823780198957845</v>
      </c>
      <c r="Q16" s="3">
        <v>9.68</v>
      </c>
      <c r="R16" t="str">
        <f t="shared" si="3"/>
        <v>High</v>
      </c>
      <c r="S16" t="str">
        <f t="shared" si="4"/>
        <v>Valid</v>
      </c>
    </row>
    <row r="17" spans="1:19" x14ac:dyDescent="0.25">
      <c r="A17" s="1">
        <v>45580</v>
      </c>
      <c r="B17" s="1" t="str">
        <f t="shared" si="0"/>
        <v>2024-10</v>
      </c>
      <c r="C17" t="s">
        <v>18</v>
      </c>
      <c r="D17" t="s">
        <v>24</v>
      </c>
      <c r="E17" t="s">
        <v>30</v>
      </c>
      <c r="F17" t="s">
        <v>26</v>
      </c>
      <c r="G17" s="4">
        <v>96412</v>
      </c>
      <c r="H17" s="4">
        <v>7047</v>
      </c>
      <c r="I17" s="5">
        <v>7.3099999999999998E-2</v>
      </c>
      <c r="J17" s="2">
        <v>1.1100000000000001</v>
      </c>
      <c r="K17" s="6">
        <v>7822.17</v>
      </c>
      <c r="L17" s="4">
        <v>194</v>
      </c>
      <c r="M17" s="2">
        <v>40.32</v>
      </c>
      <c r="N17" s="6">
        <v>36717.43</v>
      </c>
      <c r="O17" s="6">
        <f t="shared" si="1"/>
        <v>28895.260000000002</v>
      </c>
      <c r="P17" s="6">
        <f t="shared" si="2"/>
        <v>3.6940209686058987</v>
      </c>
      <c r="Q17" s="3">
        <v>4.6900000000000004</v>
      </c>
      <c r="R17" t="str">
        <f t="shared" si="3"/>
        <v>High</v>
      </c>
      <c r="S17" t="str">
        <f t="shared" si="4"/>
        <v>Valid</v>
      </c>
    </row>
    <row r="18" spans="1:19" x14ac:dyDescent="0.25">
      <c r="A18" s="1">
        <v>45517</v>
      </c>
      <c r="B18" s="1" t="str">
        <f t="shared" si="0"/>
        <v>2024-08</v>
      </c>
      <c r="C18" t="s">
        <v>18</v>
      </c>
      <c r="D18" t="s">
        <v>21</v>
      </c>
      <c r="E18" t="s">
        <v>16</v>
      </c>
      <c r="F18" t="s">
        <v>27</v>
      </c>
      <c r="G18" s="4">
        <v>184476</v>
      </c>
      <c r="H18" s="4">
        <v>8854</v>
      </c>
      <c r="I18" s="5">
        <v>4.8000000000000001E-2</v>
      </c>
      <c r="J18" s="2">
        <v>0.35</v>
      </c>
      <c r="K18" s="6">
        <v>3098.9</v>
      </c>
      <c r="L18" s="4">
        <v>198</v>
      </c>
      <c r="M18" s="2">
        <v>15.65</v>
      </c>
      <c r="N18" s="6">
        <v>56216.92</v>
      </c>
      <c r="O18" s="6">
        <f t="shared" si="1"/>
        <v>53118.02</v>
      </c>
      <c r="P18" s="6">
        <f t="shared" si="2"/>
        <v>17.140927425860788</v>
      </c>
      <c r="Q18" s="3">
        <v>18.14</v>
      </c>
      <c r="R18" t="str">
        <f t="shared" si="3"/>
        <v>High</v>
      </c>
      <c r="S18" t="str">
        <f t="shared" si="4"/>
        <v>Valid</v>
      </c>
    </row>
    <row r="19" spans="1:19" x14ac:dyDescent="0.25">
      <c r="A19" s="1">
        <v>45524</v>
      </c>
      <c r="B19" s="1" t="str">
        <f t="shared" si="0"/>
        <v>2024-08</v>
      </c>
      <c r="C19" t="s">
        <v>18</v>
      </c>
      <c r="D19" t="s">
        <v>15</v>
      </c>
      <c r="E19" t="s">
        <v>16</v>
      </c>
      <c r="F19" t="s">
        <v>26</v>
      </c>
      <c r="G19" s="4">
        <v>38828</v>
      </c>
      <c r="H19" s="4">
        <v>3607</v>
      </c>
      <c r="I19" s="5">
        <v>9.2899999999999996E-2</v>
      </c>
      <c r="J19" s="2">
        <v>0.97</v>
      </c>
      <c r="K19" s="6">
        <v>3498.79</v>
      </c>
      <c r="L19" s="4">
        <v>116</v>
      </c>
      <c r="M19" s="2">
        <v>30.16</v>
      </c>
      <c r="N19" s="6">
        <v>8788.51</v>
      </c>
      <c r="O19" s="6">
        <f t="shared" si="1"/>
        <v>5289.72</v>
      </c>
      <c r="P19" s="6">
        <f t="shared" si="2"/>
        <v>1.5118712469167914</v>
      </c>
      <c r="Q19" s="3">
        <v>2.5099999999999998</v>
      </c>
      <c r="R19" t="str">
        <f t="shared" si="3"/>
        <v>Medium</v>
      </c>
      <c r="S19" t="str">
        <f t="shared" si="4"/>
        <v>Valid</v>
      </c>
    </row>
    <row r="20" spans="1:19" x14ac:dyDescent="0.25">
      <c r="A20" s="1">
        <v>45651</v>
      </c>
      <c r="B20" s="1" t="str">
        <f t="shared" si="0"/>
        <v>2024-12</v>
      </c>
      <c r="C20" t="s">
        <v>28</v>
      </c>
      <c r="D20" t="s">
        <v>21</v>
      </c>
      <c r="E20" t="s">
        <v>25</v>
      </c>
      <c r="F20" t="s">
        <v>27</v>
      </c>
      <c r="G20" s="4">
        <v>187957</v>
      </c>
      <c r="H20" s="4">
        <v>4586</v>
      </c>
      <c r="I20" s="5">
        <v>2.4400000000000002E-2</v>
      </c>
      <c r="J20" s="2">
        <v>2.1</v>
      </c>
      <c r="K20" s="6">
        <v>9630.6</v>
      </c>
      <c r="L20" s="4">
        <v>271</v>
      </c>
      <c r="M20" s="2">
        <v>35.54</v>
      </c>
      <c r="N20" s="6">
        <v>34433.97</v>
      </c>
      <c r="O20" s="6">
        <f t="shared" si="1"/>
        <v>24803.370000000003</v>
      </c>
      <c r="P20" s="6">
        <f t="shared" si="2"/>
        <v>2.5754750482835962</v>
      </c>
      <c r="Q20" s="3">
        <v>3.58</v>
      </c>
      <c r="R20" t="str">
        <f t="shared" si="3"/>
        <v>High</v>
      </c>
      <c r="S20" t="str">
        <f t="shared" si="4"/>
        <v>Valid</v>
      </c>
    </row>
    <row r="21" spans="1:19" x14ac:dyDescent="0.25">
      <c r="A21" s="1">
        <v>45597</v>
      </c>
      <c r="B21" s="1" t="str">
        <f t="shared" si="0"/>
        <v>2024-11</v>
      </c>
      <c r="C21" t="s">
        <v>14</v>
      </c>
      <c r="D21" t="s">
        <v>21</v>
      </c>
      <c r="E21" t="s">
        <v>25</v>
      </c>
      <c r="F21" t="s">
        <v>27</v>
      </c>
      <c r="G21" s="4">
        <v>34592</v>
      </c>
      <c r="H21" s="4">
        <v>1615</v>
      </c>
      <c r="I21" s="5">
        <v>4.6699999999999998E-2</v>
      </c>
      <c r="J21" s="2">
        <v>1.1499999999999999</v>
      </c>
      <c r="K21" s="6">
        <v>1857.25</v>
      </c>
      <c r="L21" s="4">
        <v>116</v>
      </c>
      <c r="M21" s="2">
        <v>16.010000000000002</v>
      </c>
      <c r="N21" s="6">
        <v>4344.96</v>
      </c>
      <c r="O21" s="6">
        <f t="shared" si="1"/>
        <v>2487.71</v>
      </c>
      <c r="P21" s="6">
        <f t="shared" si="2"/>
        <v>1.3394588773724594</v>
      </c>
      <c r="Q21" s="3">
        <v>2.34</v>
      </c>
      <c r="R21" t="str">
        <f t="shared" si="3"/>
        <v>Medium</v>
      </c>
      <c r="S21" t="str">
        <f t="shared" si="4"/>
        <v>Valid</v>
      </c>
    </row>
    <row r="22" spans="1:19" x14ac:dyDescent="0.25">
      <c r="A22" s="1">
        <v>45477</v>
      </c>
      <c r="B22" s="1" t="str">
        <f t="shared" si="0"/>
        <v>2024-07</v>
      </c>
      <c r="C22" t="s">
        <v>28</v>
      </c>
      <c r="D22" t="s">
        <v>24</v>
      </c>
      <c r="E22" t="s">
        <v>16</v>
      </c>
      <c r="F22" t="s">
        <v>23</v>
      </c>
      <c r="G22" s="4">
        <v>185798</v>
      </c>
      <c r="H22" s="4">
        <v>5889</v>
      </c>
      <c r="I22" s="5">
        <v>3.1699999999999999E-2</v>
      </c>
      <c r="J22" s="2">
        <v>0.9</v>
      </c>
      <c r="K22" s="6">
        <v>5300.1</v>
      </c>
      <c r="L22" s="4">
        <v>400</v>
      </c>
      <c r="M22" s="2">
        <v>13.25</v>
      </c>
      <c r="N22" s="6">
        <v>41326.629999999997</v>
      </c>
      <c r="O22" s="6">
        <f t="shared" si="1"/>
        <v>36026.53</v>
      </c>
      <c r="P22" s="6">
        <f t="shared" si="2"/>
        <v>6.7973302390520924</v>
      </c>
      <c r="Q22" s="3">
        <v>7.8</v>
      </c>
      <c r="R22" t="str">
        <f t="shared" si="3"/>
        <v>High</v>
      </c>
      <c r="S22" t="str">
        <f t="shared" si="4"/>
        <v>Valid</v>
      </c>
    </row>
    <row r="23" spans="1:19" x14ac:dyDescent="0.25">
      <c r="A23" s="1">
        <v>45656</v>
      </c>
      <c r="B23" s="1" t="str">
        <f t="shared" si="0"/>
        <v>2024-12</v>
      </c>
      <c r="C23" t="s">
        <v>18</v>
      </c>
      <c r="D23" t="s">
        <v>21</v>
      </c>
      <c r="E23" t="s">
        <v>19</v>
      </c>
      <c r="F23" t="s">
        <v>31</v>
      </c>
      <c r="G23" s="4">
        <v>194407</v>
      </c>
      <c r="H23" s="4">
        <v>13122</v>
      </c>
      <c r="I23" s="5">
        <v>6.7500000000000004E-2</v>
      </c>
      <c r="J23" s="2">
        <v>0.85</v>
      </c>
      <c r="K23" s="6">
        <v>11153.7</v>
      </c>
      <c r="L23" s="4">
        <v>379</v>
      </c>
      <c r="M23" s="2">
        <v>29.43</v>
      </c>
      <c r="N23" s="6">
        <v>56289.95</v>
      </c>
      <c r="O23" s="6">
        <f t="shared" si="1"/>
        <v>45136.25</v>
      </c>
      <c r="P23" s="6">
        <f t="shared" si="2"/>
        <v>4.0467513022584427</v>
      </c>
      <c r="Q23" s="3">
        <v>5.05</v>
      </c>
      <c r="R23" t="str">
        <f t="shared" si="3"/>
        <v>High</v>
      </c>
      <c r="S23" t="str">
        <f t="shared" si="4"/>
        <v>Valid</v>
      </c>
    </row>
    <row r="24" spans="1:19" x14ac:dyDescent="0.25">
      <c r="A24" s="1">
        <v>45609</v>
      </c>
      <c r="B24" s="1" t="str">
        <f t="shared" si="0"/>
        <v>2024-11</v>
      </c>
      <c r="C24" t="s">
        <v>14</v>
      </c>
      <c r="D24" t="s">
        <v>15</v>
      </c>
      <c r="E24" t="s">
        <v>25</v>
      </c>
      <c r="F24" t="s">
        <v>17</v>
      </c>
      <c r="G24" s="4">
        <v>188062</v>
      </c>
      <c r="H24" s="4">
        <v>8143</v>
      </c>
      <c r="I24" s="5">
        <v>4.3299999999999998E-2</v>
      </c>
      <c r="J24" s="2">
        <v>1.8</v>
      </c>
      <c r="K24" s="6">
        <v>14657.4</v>
      </c>
      <c r="L24" s="4">
        <v>614</v>
      </c>
      <c r="M24" s="2">
        <v>23.87</v>
      </c>
      <c r="N24" s="6">
        <v>124232.5</v>
      </c>
      <c r="O24" s="6">
        <f t="shared" si="1"/>
        <v>109575.1</v>
      </c>
      <c r="P24" s="6">
        <f t="shared" si="2"/>
        <v>7.4757528620355593</v>
      </c>
      <c r="Q24" s="3">
        <v>8.48</v>
      </c>
      <c r="R24" t="str">
        <f t="shared" si="3"/>
        <v>High</v>
      </c>
      <c r="S24" t="str">
        <f t="shared" si="4"/>
        <v>Valid</v>
      </c>
    </row>
    <row r="25" spans="1:19" x14ac:dyDescent="0.25">
      <c r="A25" s="1">
        <v>45640</v>
      </c>
      <c r="B25" s="1" t="str">
        <f t="shared" si="0"/>
        <v>2024-12</v>
      </c>
      <c r="C25" t="s">
        <v>28</v>
      </c>
      <c r="D25" t="s">
        <v>24</v>
      </c>
      <c r="E25" t="s">
        <v>22</v>
      </c>
      <c r="F25" t="s">
        <v>31</v>
      </c>
      <c r="G25" s="4">
        <v>195710</v>
      </c>
      <c r="H25" s="4">
        <v>4481</v>
      </c>
      <c r="I25" s="5">
        <v>2.29E-2</v>
      </c>
      <c r="J25" s="2">
        <v>0.53</v>
      </c>
      <c r="K25" s="6">
        <v>2374.9299999999998</v>
      </c>
      <c r="L25" s="4">
        <v>352</v>
      </c>
      <c r="M25" s="2">
        <v>6.75</v>
      </c>
      <c r="N25" s="6">
        <v>27223.39</v>
      </c>
      <c r="O25" s="6">
        <f t="shared" si="1"/>
        <v>24848.46</v>
      </c>
      <c r="P25" s="6">
        <f t="shared" si="2"/>
        <v>10.462817851473517</v>
      </c>
      <c r="Q25" s="3">
        <v>11.46</v>
      </c>
      <c r="R25" t="str">
        <f t="shared" si="3"/>
        <v>High</v>
      </c>
      <c r="S25" t="str">
        <f t="shared" si="4"/>
        <v>Valid</v>
      </c>
    </row>
    <row r="26" spans="1:19" x14ac:dyDescent="0.25">
      <c r="A26" s="1">
        <v>45391</v>
      </c>
      <c r="B26" s="1" t="str">
        <f t="shared" si="0"/>
        <v>2024-04</v>
      </c>
      <c r="C26" t="s">
        <v>14</v>
      </c>
      <c r="D26" t="s">
        <v>29</v>
      </c>
      <c r="E26" t="s">
        <v>22</v>
      </c>
      <c r="F26" t="s">
        <v>32</v>
      </c>
      <c r="G26" s="4">
        <v>198824</v>
      </c>
      <c r="H26" s="4">
        <v>9046</v>
      </c>
      <c r="I26" s="5">
        <v>4.5499999999999999E-2</v>
      </c>
      <c r="J26" s="2">
        <v>3.61</v>
      </c>
      <c r="K26" s="6">
        <v>32656.06</v>
      </c>
      <c r="L26" s="4">
        <v>407</v>
      </c>
      <c r="M26" s="2">
        <v>80.239999999999995</v>
      </c>
      <c r="N26" s="6">
        <v>71482.19</v>
      </c>
      <c r="O26" s="6">
        <f t="shared" si="1"/>
        <v>38826.130000000005</v>
      </c>
      <c r="P26" s="6">
        <f t="shared" si="2"/>
        <v>1.1889410418770667</v>
      </c>
      <c r="Q26" s="3">
        <v>2.19</v>
      </c>
      <c r="R26" t="str">
        <f t="shared" si="3"/>
        <v>Medium</v>
      </c>
      <c r="S26" t="str">
        <f t="shared" si="4"/>
        <v>Valid</v>
      </c>
    </row>
    <row r="27" spans="1:19" x14ac:dyDescent="0.25">
      <c r="A27" s="1">
        <v>45451</v>
      </c>
      <c r="B27" s="1" t="str">
        <f t="shared" si="0"/>
        <v>2024-06</v>
      </c>
      <c r="C27" t="s">
        <v>28</v>
      </c>
      <c r="D27" t="s">
        <v>24</v>
      </c>
      <c r="E27" t="s">
        <v>25</v>
      </c>
      <c r="F27" t="s">
        <v>23</v>
      </c>
      <c r="G27" s="4">
        <v>196962</v>
      </c>
      <c r="H27" s="4">
        <v>5081</v>
      </c>
      <c r="I27" s="5">
        <v>2.58E-2</v>
      </c>
      <c r="J27" s="2">
        <v>2.06</v>
      </c>
      <c r="K27" s="6">
        <v>10466.86</v>
      </c>
      <c r="L27" s="4">
        <v>282</v>
      </c>
      <c r="M27" s="2">
        <v>37.119999999999997</v>
      </c>
      <c r="N27" s="6">
        <v>24196.95</v>
      </c>
      <c r="O27" s="6">
        <f t="shared" si="1"/>
        <v>13730.09</v>
      </c>
      <c r="P27" s="6">
        <f t="shared" si="2"/>
        <v>1.3117678081105508</v>
      </c>
      <c r="Q27" s="3">
        <v>2.31</v>
      </c>
      <c r="R27" t="str">
        <f t="shared" si="3"/>
        <v>Medium</v>
      </c>
      <c r="S27" t="str">
        <f t="shared" si="4"/>
        <v>Valid</v>
      </c>
    </row>
    <row r="28" spans="1:19" x14ac:dyDescent="0.25">
      <c r="A28" s="1">
        <v>45533</v>
      </c>
      <c r="B28" s="1" t="str">
        <f t="shared" si="0"/>
        <v>2024-08</v>
      </c>
      <c r="C28" t="s">
        <v>14</v>
      </c>
      <c r="D28" t="s">
        <v>24</v>
      </c>
      <c r="E28" t="s">
        <v>25</v>
      </c>
      <c r="F28" t="s">
        <v>17</v>
      </c>
      <c r="G28" s="4">
        <v>105386</v>
      </c>
      <c r="H28" s="4">
        <v>3783</v>
      </c>
      <c r="I28" s="5">
        <v>3.5900000000000001E-2</v>
      </c>
      <c r="J28" s="2">
        <v>1.82</v>
      </c>
      <c r="K28" s="6">
        <v>6885.06</v>
      </c>
      <c r="L28" s="4">
        <v>130</v>
      </c>
      <c r="M28" s="2">
        <v>52.96</v>
      </c>
      <c r="N28" s="6">
        <v>36776.35</v>
      </c>
      <c r="O28" s="6">
        <f t="shared" si="1"/>
        <v>29891.289999999997</v>
      </c>
      <c r="P28" s="6">
        <f t="shared" si="2"/>
        <v>4.3414712435330989</v>
      </c>
      <c r="Q28" s="3">
        <v>5.34</v>
      </c>
      <c r="R28" t="str">
        <f t="shared" si="3"/>
        <v>High</v>
      </c>
      <c r="S28" t="str">
        <f t="shared" si="4"/>
        <v>Valid</v>
      </c>
    </row>
    <row r="29" spans="1:19" x14ac:dyDescent="0.25">
      <c r="A29" s="1">
        <v>45540</v>
      </c>
      <c r="B29" s="1" t="str">
        <f t="shared" si="0"/>
        <v>2024-09</v>
      </c>
      <c r="C29" t="s">
        <v>14</v>
      </c>
      <c r="D29" t="s">
        <v>15</v>
      </c>
      <c r="E29" t="s">
        <v>22</v>
      </c>
      <c r="F29" t="s">
        <v>17</v>
      </c>
      <c r="G29" s="4">
        <v>49425</v>
      </c>
      <c r="H29" s="4">
        <v>1996</v>
      </c>
      <c r="I29" s="5">
        <v>4.0399999999999998E-2</v>
      </c>
      <c r="J29" s="2">
        <v>1.27</v>
      </c>
      <c r="K29" s="6">
        <v>2534.92</v>
      </c>
      <c r="L29" s="4">
        <v>98</v>
      </c>
      <c r="M29" s="2">
        <v>25.87</v>
      </c>
      <c r="N29" s="6">
        <v>9253.27</v>
      </c>
      <c r="O29" s="6">
        <f t="shared" si="1"/>
        <v>6718.35</v>
      </c>
      <c r="P29" s="6">
        <f t="shared" si="2"/>
        <v>2.6503203256907515</v>
      </c>
      <c r="Q29" s="3">
        <v>3.65</v>
      </c>
      <c r="R29" t="str">
        <f t="shared" si="3"/>
        <v>High</v>
      </c>
      <c r="S29" t="str">
        <f t="shared" si="4"/>
        <v>Valid</v>
      </c>
    </row>
    <row r="30" spans="1:19" x14ac:dyDescent="0.25">
      <c r="A30" s="1">
        <v>45652</v>
      </c>
      <c r="B30" s="1" t="str">
        <f t="shared" si="0"/>
        <v>2024-12</v>
      </c>
      <c r="C30" t="s">
        <v>28</v>
      </c>
      <c r="D30" t="s">
        <v>21</v>
      </c>
      <c r="E30" t="s">
        <v>30</v>
      </c>
      <c r="F30" t="s">
        <v>27</v>
      </c>
      <c r="G30" s="4">
        <v>191141</v>
      </c>
      <c r="H30" s="4">
        <v>4453</v>
      </c>
      <c r="I30" s="5">
        <v>2.3300000000000001E-2</v>
      </c>
      <c r="J30" s="2">
        <v>1.23</v>
      </c>
      <c r="K30" s="6">
        <v>5477.19</v>
      </c>
      <c r="L30" s="4">
        <v>72</v>
      </c>
      <c r="M30" s="2">
        <v>76.069999999999993</v>
      </c>
      <c r="N30" s="6">
        <v>8367.4599999999991</v>
      </c>
      <c r="O30" s="6">
        <f t="shared" si="1"/>
        <v>2890.2699999999995</v>
      </c>
      <c r="P30" s="6">
        <f t="shared" si="2"/>
        <v>0.52769211949923223</v>
      </c>
      <c r="Q30" s="3">
        <v>1.53</v>
      </c>
      <c r="R30" t="str">
        <f t="shared" si="3"/>
        <v>Medium</v>
      </c>
      <c r="S30" t="str">
        <f t="shared" si="4"/>
        <v>Valid</v>
      </c>
    </row>
    <row r="31" spans="1:19" x14ac:dyDescent="0.25">
      <c r="A31" s="1">
        <v>45435</v>
      </c>
      <c r="B31" s="1" t="str">
        <f t="shared" si="0"/>
        <v>2024-05</v>
      </c>
      <c r="C31" t="s">
        <v>18</v>
      </c>
      <c r="D31" t="s">
        <v>24</v>
      </c>
      <c r="E31" t="s">
        <v>19</v>
      </c>
      <c r="F31" t="s">
        <v>27</v>
      </c>
      <c r="G31" s="4">
        <v>91900</v>
      </c>
      <c r="H31" s="4">
        <v>4696</v>
      </c>
      <c r="I31" s="5">
        <v>5.11E-2</v>
      </c>
      <c r="J31" s="2">
        <v>0.53</v>
      </c>
      <c r="K31" s="6">
        <v>2488.88</v>
      </c>
      <c r="L31" s="4">
        <v>367</v>
      </c>
      <c r="M31" s="2">
        <v>6.78</v>
      </c>
      <c r="N31" s="6">
        <v>109696.83</v>
      </c>
      <c r="O31" s="6">
        <f t="shared" si="1"/>
        <v>107207.95</v>
      </c>
      <c r="P31" s="6">
        <f t="shared" si="2"/>
        <v>43.074776606345019</v>
      </c>
      <c r="Q31" s="3">
        <v>44.07</v>
      </c>
      <c r="R31" t="str">
        <f t="shared" si="3"/>
        <v>High</v>
      </c>
      <c r="S31" t="str">
        <f t="shared" si="4"/>
        <v>Valid</v>
      </c>
    </row>
    <row r="32" spans="1:19" x14ac:dyDescent="0.25">
      <c r="A32" s="1">
        <v>45622</v>
      </c>
      <c r="B32" s="1" t="str">
        <f t="shared" si="0"/>
        <v>2024-11</v>
      </c>
      <c r="C32" t="s">
        <v>14</v>
      </c>
      <c r="D32" t="s">
        <v>21</v>
      </c>
      <c r="E32" t="s">
        <v>22</v>
      </c>
      <c r="F32" t="s">
        <v>27</v>
      </c>
      <c r="G32" s="4">
        <v>11801</v>
      </c>
      <c r="H32" s="4">
        <v>795</v>
      </c>
      <c r="I32" s="5">
        <v>6.7400000000000002E-2</v>
      </c>
      <c r="J32" s="2">
        <v>2.97</v>
      </c>
      <c r="K32" s="6">
        <v>2361.15</v>
      </c>
      <c r="L32" s="4">
        <v>57</v>
      </c>
      <c r="M32" s="2">
        <v>41.42</v>
      </c>
      <c r="N32" s="6">
        <v>3966.25</v>
      </c>
      <c r="O32" s="6">
        <f t="shared" si="1"/>
        <v>1605.1</v>
      </c>
      <c r="P32" s="6">
        <f t="shared" si="2"/>
        <v>0.67979586218579924</v>
      </c>
      <c r="Q32" s="3">
        <v>1.68</v>
      </c>
      <c r="R32" t="str">
        <f t="shared" si="3"/>
        <v>Medium</v>
      </c>
      <c r="S32" t="str">
        <f t="shared" si="4"/>
        <v>Valid</v>
      </c>
    </row>
    <row r="33" spans="1:19" x14ac:dyDescent="0.25">
      <c r="A33" s="1">
        <v>45612</v>
      </c>
      <c r="B33" s="1" t="str">
        <f t="shared" si="0"/>
        <v>2024-11</v>
      </c>
      <c r="C33" t="s">
        <v>28</v>
      </c>
      <c r="D33" t="s">
        <v>29</v>
      </c>
      <c r="E33" t="s">
        <v>16</v>
      </c>
      <c r="F33" t="s">
        <v>17</v>
      </c>
      <c r="G33" s="4">
        <v>193926</v>
      </c>
      <c r="H33" s="4">
        <v>5837</v>
      </c>
      <c r="I33" s="5">
        <v>3.0099999999999998E-2</v>
      </c>
      <c r="J33" s="2">
        <v>1</v>
      </c>
      <c r="K33" s="6">
        <v>5837</v>
      </c>
      <c r="L33" s="4">
        <v>193</v>
      </c>
      <c r="M33" s="2">
        <v>30.24</v>
      </c>
      <c r="N33" s="6">
        <v>28429.29</v>
      </c>
      <c r="O33" s="6">
        <f t="shared" si="1"/>
        <v>22592.29</v>
      </c>
      <c r="P33" s="6">
        <f t="shared" si="2"/>
        <v>3.870531094740449</v>
      </c>
      <c r="Q33" s="3">
        <v>4.87</v>
      </c>
      <c r="R33" t="str">
        <f t="shared" si="3"/>
        <v>High</v>
      </c>
      <c r="S33" t="str">
        <f t="shared" si="4"/>
        <v>Valid</v>
      </c>
    </row>
    <row r="34" spans="1:19" x14ac:dyDescent="0.25">
      <c r="A34" s="1">
        <v>45349</v>
      </c>
      <c r="B34" s="1" t="str">
        <f t="shared" si="0"/>
        <v>2024-02</v>
      </c>
      <c r="C34" t="s">
        <v>14</v>
      </c>
      <c r="D34" t="s">
        <v>29</v>
      </c>
      <c r="E34" t="s">
        <v>19</v>
      </c>
      <c r="F34" t="s">
        <v>31</v>
      </c>
      <c r="G34" s="4">
        <v>35355</v>
      </c>
      <c r="H34" s="4">
        <v>961</v>
      </c>
      <c r="I34" s="5">
        <v>2.7199999999999998E-2</v>
      </c>
      <c r="J34" s="2">
        <v>2.2200000000000002</v>
      </c>
      <c r="K34" s="6">
        <v>2133.42</v>
      </c>
      <c r="L34" s="4">
        <v>68</v>
      </c>
      <c r="M34" s="2">
        <v>31.37</v>
      </c>
      <c r="N34" s="6">
        <v>6145.22</v>
      </c>
      <c r="O34" s="6">
        <f t="shared" si="1"/>
        <v>4011.8</v>
      </c>
      <c r="P34" s="6">
        <f t="shared" si="2"/>
        <v>1.8804548565214538</v>
      </c>
      <c r="Q34" s="3">
        <v>2.88</v>
      </c>
      <c r="R34" t="str">
        <f t="shared" si="3"/>
        <v>Medium</v>
      </c>
      <c r="S34" t="str">
        <f t="shared" si="4"/>
        <v>Valid</v>
      </c>
    </row>
    <row r="35" spans="1:19" x14ac:dyDescent="0.25">
      <c r="A35" s="1">
        <v>45608</v>
      </c>
      <c r="B35" s="1" t="str">
        <f t="shared" si="0"/>
        <v>2024-11</v>
      </c>
      <c r="C35" t="s">
        <v>18</v>
      </c>
      <c r="D35" t="s">
        <v>24</v>
      </c>
      <c r="E35" t="s">
        <v>22</v>
      </c>
      <c r="F35" t="s">
        <v>17</v>
      </c>
      <c r="G35" s="4">
        <v>133148</v>
      </c>
      <c r="H35" s="4">
        <v>9120</v>
      </c>
      <c r="I35" s="5">
        <v>6.8500000000000005E-2</v>
      </c>
      <c r="J35" s="2">
        <v>0.5</v>
      </c>
      <c r="K35" s="6">
        <v>4560</v>
      </c>
      <c r="L35" s="4">
        <v>279</v>
      </c>
      <c r="M35" s="2">
        <v>16.34</v>
      </c>
      <c r="N35" s="6">
        <v>83385.98</v>
      </c>
      <c r="O35" s="6">
        <f t="shared" si="1"/>
        <v>78825.98</v>
      </c>
      <c r="P35" s="6">
        <f t="shared" si="2"/>
        <v>17.286399122807016</v>
      </c>
      <c r="Q35" s="3">
        <v>18.29</v>
      </c>
      <c r="R35" t="str">
        <f t="shared" si="3"/>
        <v>High</v>
      </c>
      <c r="S35" t="str">
        <f t="shared" si="4"/>
        <v>Valid</v>
      </c>
    </row>
    <row r="36" spans="1:19" x14ac:dyDescent="0.25">
      <c r="A36" s="1">
        <v>45303</v>
      </c>
      <c r="B36" s="1" t="str">
        <f t="shared" si="0"/>
        <v>2024-01</v>
      </c>
      <c r="C36" t="s">
        <v>28</v>
      </c>
      <c r="D36" t="s">
        <v>21</v>
      </c>
      <c r="E36" t="s">
        <v>30</v>
      </c>
      <c r="F36" t="s">
        <v>27</v>
      </c>
      <c r="G36" s="4">
        <v>104657</v>
      </c>
      <c r="H36" s="4">
        <v>4029</v>
      </c>
      <c r="I36" s="5">
        <v>3.85E-2</v>
      </c>
      <c r="J36" s="2">
        <v>0.71</v>
      </c>
      <c r="K36" s="6">
        <v>2860.59</v>
      </c>
      <c r="L36" s="4">
        <v>204</v>
      </c>
      <c r="M36" s="2">
        <v>14.02</v>
      </c>
      <c r="N36" s="6">
        <v>10401.620000000001</v>
      </c>
      <c r="O36" s="6">
        <f t="shared" si="1"/>
        <v>7541.0300000000007</v>
      </c>
      <c r="P36" s="6">
        <f t="shared" si="2"/>
        <v>2.6361799488916624</v>
      </c>
      <c r="Q36" s="3">
        <v>3.64</v>
      </c>
      <c r="R36" t="str">
        <f t="shared" si="3"/>
        <v>High</v>
      </c>
      <c r="S36" t="str">
        <f t="shared" si="4"/>
        <v>Valid</v>
      </c>
    </row>
    <row r="37" spans="1:19" x14ac:dyDescent="0.25">
      <c r="A37" s="1">
        <v>45436</v>
      </c>
      <c r="B37" s="1" t="str">
        <f t="shared" si="0"/>
        <v>2024-05</v>
      </c>
      <c r="C37" t="s">
        <v>18</v>
      </c>
      <c r="D37" t="s">
        <v>24</v>
      </c>
      <c r="E37" t="s">
        <v>16</v>
      </c>
      <c r="F37" t="s">
        <v>31</v>
      </c>
      <c r="G37" s="4">
        <v>174160</v>
      </c>
      <c r="H37" s="4">
        <v>9683</v>
      </c>
      <c r="I37" s="5">
        <v>5.5599999999999997E-2</v>
      </c>
      <c r="J37" s="2">
        <v>1.84</v>
      </c>
      <c r="K37" s="6">
        <v>17816.72</v>
      </c>
      <c r="L37" s="4">
        <v>512</v>
      </c>
      <c r="M37" s="2">
        <v>34.799999999999997</v>
      </c>
      <c r="N37" s="6">
        <v>73177.919999999998</v>
      </c>
      <c r="O37" s="6">
        <f t="shared" si="1"/>
        <v>55361.2</v>
      </c>
      <c r="P37" s="6">
        <f t="shared" si="2"/>
        <v>3.1072610446816245</v>
      </c>
      <c r="Q37" s="3">
        <v>4.1100000000000003</v>
      </c>
      <c r="R37" t="str">
        <f t="shared" si="3"/>
        <v>High</v>
      </c>
      <c r="S37" t="str">
        <f t="shared" si="4"/>
        <v>Valid</v>
      </c>
    </row>
    <row r="38" spans="1:19" x14ac:dyDescent="0.25">
      <c r="A38" s="1">
        <v>45296</v>
      </c>
      <c r="B38" s="1" t="str">
        <f t="shared" si="0"/>
        <v>2024-01</v>
      </c>
      <c r="C38" t="s">
        <v>18</v>
      </c>
      <c r="D38" t="s">
        <v>29</v>
      </c>
      <c r="E38" t="s">
        <v>16</v>
      </c>
      <c r="F38" t="s">
        <v>17</v>
      </c>
      <c r="G38" s="4">
        <v>6015</v>
      </c>
      <c r="H38" s="4">
        <v>410</v>
      </c>
      <c r="I38" s="5">
        <v>6.83E-2</v>
      </c>
      <c r="J38" s="2">
        <v>1.93</v>
      </c>
      <c r="K38" s="6">
        <v>791.3</v>
      </c>
      <c r="L38" s="4">
        <v>28</v>
      </c>
      <c r="M38" s="2">
        <v>28.26</v>
      </c>
      <c r="N38" s="6">
        <v>4383.32</v>
      </c>
      <c r="O38" s="6">
        <f t="shared" si="1"/>
        <v>3592.0199999999995</v>
      </c>
      <c r="P38" s="6">
        <f t="shared" si="2"/>
        <v>4.5393908757740427</v>
      </c>
      <c r="Q38" s="3">
        <v>5.54</v>
      </c>
      <c r="R38" t="str">
        <f t="shared" si="3"/>
        <v>High</v>
      </c>
      <c r="S38" t="str">
        <f t="shared" si="4"/>
        <v>Valid</v>
      </c>
    </row>
    <row r="39" spans="1:19" x14ac:dyDescent="0.25">
      <c r="A39" s="1">
        <v>45297</v>
      </c>
      <c r="B39" s="1" t="str">
        <f t="shared" si="0"/>
        <v>2024-01</v>
      </c>
      <c r="C39" t="s">
        <v>28</v>
      </c>
      <c r="D39" t="s">
        <v>15</v>
      </c>
      <c r="E39" t="s">
        <v>22</v>
      </c>
      <c r="F39" t="s">
        <v>32</v>
      </c>
      <c r="G39" s="4">
        <v>17763</v>
      </c>
      <c r="H39" s="4">
        <v>726</v>
      </c>
      <c r="I39" s="5">
        <v>4.0899999999999999E-2</v>
      </c>
      <c r="J39" s="2">
        <v>1.94</v>
      </c>
      <c r="K39" s="6">
        <v>1408.44</v>
      </c>
      <c r="L39" s="4">
        <v>30</v>
      </c>
      <c r="M39" s="2">
        <v>46.95</v>
      </c>
      <c r="N39" s="6">
        <v>1946.19</v>
      </c>
      <c r="O39" s="6">
        <f t="shared" si="1"/>
        <v>537.75</v>
      </c>
      <c r="P39" s="6">
        <f t="shared" si="2"/>
        <v>0.38180540172105304</v>
      </c>
      <c r="Q39" s="3">
        <v>1.38</v>
      </c>
      <c r="R39" t="str">
        <f t="shared" si="3"/>
        <v>Medium</v>
      </c>
      <c r="S39" t="str">
        <f t="shared" si="4"/>
        <v>Valid</v>
      </c>
    </row>
    <row r="40" spans="1:19" x14ac:dyDescent="0.25">
      <c r="A40" s="1">
        <v>45579</v>
      </c>
      <c r="B40" s="1" t="str">
        <f t="shared" si="0"/>
        <v>2024-10</v>
      </c>
      <c r="C40" t="s">
        <v>18</v>
      </c>
      <c r="D40" t="s">
        <v>15</v>
      </c>
      <c r="E40" t="s">
        <v>19</v>
      </c>
      <c r="F40" t="s">
        <v>31</v>
      </c>
      <c r="G40" s="4">
        <v>97193</v>
      </c>
      <c r="H40" s="4">
        <v>6230</v>
      </c>
      <c r="I40" s="5">
        <v>6.4100000000000004E-2</v>
      </c>
      <c r="J40" s="2">
        <v>1.6</v>
      </c>
      <c r="K40" s="6">
        <v>9968</v>
      </c>
      <c r="L40" s="4">
        <v>306</v>
      </c>
      <c r="M40" s="2">
        <v>32.58</v>
      </c>
      <c r="N40" s="6">
        <v>81609.119999999995</v>
      </c>
      <c r="O40" s="6">
        <f t="shared" si="1"/>
        <v>71641.119999999995</v>
      </c>
      <c r="P40" s="6">
        <f t="shared" si="2"/>
        <v>7.1871107544141246</v>
      </c>
      <c r="Q40" s="3">
        <v>8.19</v>
      </c>
      <c r="R40" t="str">
        <f t="shared" si="3"/>
        <v>High</v>
      </c>
      <c r="S40" t="str">
        <f t="shared" si="4"/>
        <v>Valid</v>
      </c>
    </row>
    <row r="41" spans="1:19" x14ac:dyDescent="0.25">
      <c r="A41" s="1">
        <v>45357</v>
      </c>
      <c r="B41" s="1" t="str">
        <f t="shared" si="0"/>
        <v>2024-03</v>
      </c>
      <c r="C41" t="s">
        <v>28</v>
      </c>
      <c r="D41" t="s">
        <v>24</v>
      </c>
      <c r="E41" t="s">
        <v>22</v>
      </c>
      <c r="F41" t="s">
        <v>17</v>
      </c>
      <c r="G41" s="4">
        <v>58682</v>
      </c>
      <c r="H41" s="4">
        <v>1748</v>
      </c>
      <c r="I41" s="5">
        <v>2.98E-2</v>
      </c>
      <c r="J41" s="2">
        <v>1.49</v>
      </c>
      <c r="K41" s="6">
        <v>2604.52</v>
      </c>
      <c r="L41" s="4">
        <v>84</v>
      </c>
      <c r="M41" s="2">
        <v>31.01</v>
      </c>
      <c r="N41" s="6">
        <v>12746.65</v>
      </c>
      <c r="O41" s="6">
        <f t="shared" si="1"/>
        <v>10142.129999999999</v>
      </c>
      <c r="P41" s="6">
        <f t="shared" si="2"/>
        <v>3.8940495753536157</v>
      </c>
      <c r="Q41" s="3">
        <v>4.8899999999999997</v>
      </c>
      <c r="R41" t="str">
        <f t="shared" si="3"/>
        <v>High</v>
      </c>
      <c r="S41" t="str">
        <f t="shared" si="4"/>
        <v>Valid</v>
      </c>
    </row>
    <row r="42" spans="1:19" x14ac:dyDescent="0.25">
      <c r="A42" s="1">
        <v>45372</v>
      </c>
      <c r="B42" s="1" t="str">
        <f t="shared" si="0"/>
        <v>2024-03</v>
      </c>
      <c r="C42" t="s">
        <v>18</v>
      </c>
      <c r="D42" t="s">
        <v>29</v>
      </c>
      <c r="E42" t="s">
        <v>25</v>
      </c>
      <c r="F42" t="s">
        <v>27</v>
      </c>
      <c r="G42" s="4">
        <v>108196</v>
      </c>
      <c r="H42" s="4">
        <v>5334</v>
      </c>
      <c r="I42" s="5">
        <v>4.9299999999999997E-2</v>
      </c>
      <c r="J42" s="2">
        <v>0.99</v>
      </c>
      <c r="K42" s="6">
        <v>5280.66</v>
      </c>
      <c r="L42" s="4">
        <v>289</v>
      </c>
      <c r="M42" s="2">
        <v>18.27</v>
      </c>
      <c r="N42" s="6">
        <v>27408.560000000001</v>
      </c>
      <c r="O42" s="6">
        <f t="shared" si="1"/>
        <v>22127.9</v>
      </c>
      <c r="P42" s="6">
        <f t="shared" si="2"/>
        <v>4.1903663557206867</v>
      </c>
      <c r="Q42" s="3">
        <v>5.19</v>
      </c>
      <c r="R42" t="str">
        <f t="shared" si="3"/>
        <v>High</v>
      </c>
      <c r="S42" t="str">
        <f t="shared" si="4"/>
        <v>Valid</v>
      </c>
    </row>
    <row r="43" spans="1:19" x14ac:dyDescent="0.25">
      <c r="A43" s="1">
        <v>45299</v>
      </c>
      <c r="B43" s="1" t="str">
        <f t="shared" si="0"/>
        <v>2024-01</v>
      </c>
      <c r="C43" t="s">
        <v>14</v>
      </c>
      <c r="D43" t="s">
        <v>15</v>
      </c>
      <c r="E43" t="s">
        <v>16</v>
      </c>
      <c r="F43" t="s">
        <v>31</v>
      </c>
      <c r="G43" s="4">
        <v>63243</v>
      </c>
      <c r="H43" s="4">
        <v>1707</v>
      </c>
      <c r="I43" s="5">
        <v>2.7E-2</v>
      </c>
      <c r="J43" s="2">
        <v>2.2400000000000002</v>
      </c>
      <c r="K43" s="6">
        <v>3823.68</v>
      </c>
      <c r="L43" s="4">
        <v>37</v>
      </c>
      <c r="M43" s="2">
        <v>103.34</v>
      </c>
      <c r="N43" s="6">
        <v>3893.12</v>
      </c>
      <c r="O43" s="6">
        <f t="shared" si="1"/>
        <v>69.440000000000055</v>
      </c>
      <c r="P43" s="6">
        <f t="shared" si="2"/>
        <v>1.8160515524311673E-2</v>
      </c>
      <c r="Q43" s="3">
        <v>1.02</v>
      </c>
      <c r="R43" t="str">
        <f t="shared" si="3"/>
        <v>Medium</v>
      </c>
      <c r="S43" t="str">
        <f t="shared" si="4"/>
        <v>Valid</v>
      </c>
    </row>
    <row r="44" spans="1:19" x14ac:dyDescent="0.25">
      <c r="A44" s="1">
        <v>45524</v>
      </c>
      <c r="B44" s="1" t="str">
        <f t="shared" si="0"/>
        <v>2024-08</v>
      </c>
      <c r="C44" t="s">
        <v>14</v>
      </c>
      <c r="D44" t="s">
        <v>15</v>
      </c>
      <c r="E44" t="s">
        <v>30</v>
      </c>
      <c r="F44" t="s">
        <v>17</v>
      </c>
      <c r="G44" s="4">
        <v>152979</v>
      </c>
      <c r="H44" s="4">
        <v>4650</v>
      </c>
      <c r="I44" s="5">
        <v>3.04E-2</v>
      </c>
      <c r="J44" s="2">
        <v>0.79</v>
      </c>
      <c r="K44" s="6">
        <v>3673.5</v>
      </c>
      <c r="L44" s="4">
        <v>330</v>
      </c>
      <c r="M44" s="2">
        <v>11.13</v>
      </c>
      <c r="N44" s="6">
        <v>91949.73</v>
      </c>
      <c r="O44" s="6">
        <f t="shared" si="1"/>
        <v>88276.23</v>
      </c>
      <c r="P44" s="6">
        <f t="shared" si="2"/>
        <v>24.030551245406286</v>
      </c>
      <c r="Q44" s="3">
        <v>25.03</v>
      </c>
      <c r="R44" t="str">
        <f t="shared" si="3"/>
        <v>High</v>
      </c>
      <c r="S44" t="str">
        <f t="shared" si="4"/>
        <v>Valid</v>
      </c>
    </row>
    <row r="45" spans="1:19" x14ac:dyDescent="0.25">
      <c r="A45" s="1">
        <v>45299</v>
      </c>
      <c r="B45" s="1" t="str">
        <f t="shared" si="0"/>
        <v>2024-01</v>
      </c>
      <c r="C45" t="s">
        <v>14</v>
      </c>
      <c r="D45" t="s">
        <v>29</v>
      </c>
      <c r="E45" t="s">
        <v>19</v>
      </c>
      <c r="F45" t="s">
        <v>23</v>
      </c>
      <c r="G45" s="4">
        <v>132600</v>
      </c>
      <c r="H45" s="4">
        <v>6802</v>
      </c>
      <c r="I45" s="5">
        <v>5.1299999999999998E-2</v>
      </c>
      <c r="J45" s="2">
        <v>1.53</v>
      </c>
      <c r="K45" s="6">
        <v>10407.06</v>
      </c>
      <c r="L45" s="4">
        <v>97</v>
      </c>
      <c r="M45" s="2">
        <v>107.29</v>
      </c>
      <c r="N45" s="6">
        <v>6779.29</v>
      </c>
      <c r="O45" s="6">
        <f t="shared" si="1"/>
        <v>-3627.7699999999995</v>
      </c>
      <c r="P45" s="6">
        <f t="shared" si="2"/>
        <v>-0.3485874012449241</v>
      </c>
      <c r="Q45" s="3">
        <v>0.65</v>
      </c>
      <c r="R45" t="str">
        <f t="shared" si="3"/>
        <v>Low</v>
      </c>
      <c r="S45" t="str">
        <f t="shared" si="4"/>
        <v>Valid</v>
      </c>
    </row>
    <row r="46" spans="1:19" x14ac:dyDescent="0.25">
      <c r="A46" s="1">
        <v>45565</v>
      </c>
      <c r="B46" s="1" t="str">
        <f t="shared" si="0"/>
        <v>2024-09</v>
      </c>
      <c r="C46" t="s">
        <v>14</v>
      </c>
      <c r="D46" t="s">
        <v>21</v>
      </c>
      <c r="E46" t="s">
        <v>16</v>
      </c>
      <c r="F46" t="s">
        <v>32</v>
      </c>
      <c r="G46" s="4">
        <v>110977</v>
      </c>
      <c r="H46" s="4">
        <v>4150</v>
      </c>
      <c r="I46" s="5">
        <v>3.7400000000000003E-2</v>
      </c>
      <c r="J46" s="2">
        <v>1.1299999999999999</v>
      </c>
      <c r="K46" s="6">
        <v>4689.5</v>
      </c>
      <c r="L46" s="4">
        <v>197</v>
      </c>
      <c r="M46" s="2">
        <v>23.8</v>
      </c>
      <c r="N46" s="6">
        <v>18314.78</v>
      </c>
      <c r="O46" s="6">
        <f t="shared" si="1"/>
        <v>13625.279999999999</v>
      </c>
      <c r="P46" s="6">
        <f t="shared" si="2"/>
        <v>2.9054867256637165</v>
      </c>
      <c r="Q46" s="3">
        <v>3.91</v>
      </c>
      <c r="R46" t="str">
        <f t="shared" si="3"/>
        <v>High</v>
      </c>
      <c r="S46" t="str">
        <f t="shared" si="4"/>
        <v>Valid</v>
      </c>
    </row>
    <row r="47" spans="1:19" x14ac:dyDescent="0.25">
      <c r="A47" s="1">
        <v>45358</v>
      </c>
      <c r="B47" s="1" t="str">
        <f t="shared" si="0"/>
        <v>2024-03</v>
      </c>
      <c r="C47" t="s">
        <v>14</v>
      </c>
      <c r="D47" t="s">
        <v>15</v>
      </c>
      <c r="E47" t="s">
        <v>19</v>
      </c>
      <c r="F47" t="s">
        <v>20</v>
      </c>
      <c r="G47" s="4">
        <v>87152</v>
      </c>
      <c r="H47" s="4">
        <v>3599</v>
      </c>
      <c r="I47" s="5">
        <v>4.1300000000000003E-2</v>
      </c>
      <c r="J47" s="2">
        <v>2.63</v>
      </c>
      <c r="K47" s="6">
        <v>9465.3700000000008</v>
      </c>
      <c r="L47" s="4">
        <v>127</v>
      </c>
      <c r="M47" s="2">
        <v>74.53</v>
      </c>
      <c r="N47" s="6">
        <v>25958.5</v>
      </c>
      <c r="O47" s="6">
        <f t="shared" si="1"/>
        <v>16493.129999999997</v>
      </c>
      <c r="P47" s="6">
        <f t="shared" si="2"/>
        <v>1.7424707116573357</v>
      </c>
      <c r="Q47" s="3">
        <v>2.74</v>
      </c>
      <c r="R47" t="str">
        <f t="shared" si="3"/>
        <v>Medium</v>
      </c>
      <c r="S47" t="str">
        <f t="shared" si="4"/>
        <v>Valid</v>
      </c>
    </row>
    <row r="48" spans="1:19" x14ac:dyDescent="0.25">
      <c r="A48" s="1">
        <v>45520</v>
      </c>
      <c r="B48" s="1" t="str">
        <f t="shared" si="0"/>
        <v>2024-08</v>
      </c>
      <c r="C48" t="s">
        <v>28</v>
      </c>
      <c r="D48" t="s">
        <v>24</v>
      </c>
      <c r="E48" t="s">
        <v>16</v>
      </c>
      <c r="F48" t="s">
        <v>17</v>
      </c>
      <c r="G48" s="4">
        <v>164096</v>
      </c>
      <c r="H48" s="4">
        <v>1919</v>
      </c>
      <c r="I48" s="5">
        <v>1.17E-2</v>
      </c>
      <c r="J48" s="2">
        <v>0.66</v>
      </c>
      <c r="K48" s="6">
        <v>1266.54</v>
      </c>
      <c r="L48" s="4">
        <v>139</v>
      </c>
      <c r="M48" s="2">
        <v>9.11</v>
      </c>
      <c r="N48" s="6">
        <v>7181.17</v>
      </c>
      <c r="O48" s="6">
        <f t="shared" si="1"/>
        <v>5914.63</v>
      </c>
      <c r="P48" s="6">
        <f t="shared" si="2"/>
        <v>4.6699117280149069</v>
      </c>
      <c r="Q48" s="3">
        <v>5.67</v>
      </c>
      <c r="R48" t="str">
        <f t="shared" si="3"/>
        <v>High</v>
      </c>
      <c r="S48" t="str">
        <f t="shared" si="4"/>
        <v>Valid</v>
      </c>
    </row>
    <row r="49" spans="1:19" x14ac:dyDescent="0.25">
      <c r="A49" s="1">
        <v>45514</v>
      </c>
      <c r="B49" s="1" t="str">
        <f t="shared" si="0"/>
        <v>2024-08</v>
      </c>
      <c r="C49" t="s">
        <v>28</v>
      </c>
      <c r="D49" t="s">
        <v>24</v>
      </c>
      <c r="E49" t="s">
        <v>22</v>
      </c>
      <c r="F49" t="s">
        <v>26</v>
      </c>
      <c r="G49" s="4">
        <v>21389</v>
      </c>
      <c r="H49" s="4">
        <v>941</v>
      </c>
      <c r="I49" s="5">
        <v>4.3999999999999997E-2</v>
      </c>
      <c r="J49" s="2">
        <v>0.8</v>
      </c>
      <c r="K49" s="6">
        <v>752.8</v>
      </c>
      <c r="L49" s="4">
        <v>46</v>
      </c>
      <c r="M49" s="2">
        <v>16.37</v>
      </c>
      <c r="N49" s="6">
        <v>8479.43</v>
      </c>
      <c r="O49" s="6">
        <f t="shared" si="1"/>
        <v>7726.63</v>
      </c>
      <c r="P49" s="6">
        <f t="shared" si="2"/>
        <v>10.263854941551541</v>
      </c>
      <c r="Q49" s="3">
        <v>11.26</v>
      </c>
      <c r="R49" t="str">
        <f t="shared" si="3"/>
        <v>High</v>
      </c>
      <c r="S49" t="str">
        <f t="shared" si="4"/>
        <v>Valid</v>
      </c>
    </row>
    <row r="50" spans="1:19" x14ac:dyDescent="0.25">
      <c r="A50" s="1">
        <v>45409</v>
      </c>
      <c r="B50" s="1" t="str">
        <f t="shared" si="0"/>
        <v>2024-04</v>
      </c>
      <c r="C50" t="s">
        <v>14</v>
      </c>
      <c r="D50" t="s">
        <v>24</v>
      </c>
      <c r="E50" t="s">
        <v>22</v>
      </c>
      <c r="F50" t="s">
        <v>31</v>
      </c>
      <c r="G50" s="4">
        <v>69323</v>
      </c>
      <c r="H50" s="4">
        <v>2169</v>
      </c>
      <c r="I50" s="5">
        <v>3.1300000000000001E-2</v>
      </c>
      <c r="J50" s="2">
        <v>2.19</v>
      </c>
      <c r="K50" s="6">
        <v>4750.1099999999997</v>
      </c>
      <c r="L50" s="4">
        <v>94</v>
      </c>
      <c r="M50" s="2">
        <v>50.53</v>
      </c>
      <c r="N50" s="6">
        <v>16337.12</v>
      </c>
      <c r="O50" s="6">
        <f t="shared" si="1"/>
        <v>11587.010000000002</v>
      </c>
      <c r="P50" s="6">
        <f t="shared" si="2"/>
        <v>2.4393140369380926</v>
      </c>
      <c r="Q50" s="3">
        <v>3.44</v>
      </c>
      <c r="R50" t="str">
        <f t="shared" si="3"/>
        <v>High</v>
      </c>
      <c r="S50" t="str">
        <f t="shared" si="4"/>
        <v>Valid</v>
      </c>
    </row>
    <row r="51" spans="1:19" x14ac:dyDescent="0.25">
      <c r="A51" s="1">
        <v>45429</v>
      </c>
      <c r="B51" s="1" t="str">
        <f t="shared" si="0"/>
        <v>2024-05</v>
      </c>
      <c r="C51" t="s">
        <v>14</v>
      </c>
      <c r="D51" t="s">
        <v>29</v>
      </c>
      <c r="E51" t="s">
        <v>25</v>
      </c>
      <c r="F51" t="s">
        <v>17</v>
      </c>
      <c r="G51" s="4">
        <v>138291</v>
      </c>
      <c r="H51" s="4">
        <v>3318</v>
      </c>
      <c r="I51" s="5">
        <v>2.4E-2</v>
      </c>
      <c r="J51" s="2">
        <v>0.83</v>
      </c>
      <c r="K51" s="6">
        <v>2753.94</v>
      </c>
      <c r="L51" s="4">
        <v>217</v>
      </c>
      <c r="M51" s="2">
        <v>12.69</v>
      </c>
      <c r="N51" s="6">
        <v>12761.51</v>
      </c>
      <c r="O51" s="6">
        <f t="shared" si="1"/>
        <v>10007.57</v>
      </c>
      <c r="P51" s="6">
        <f t="shared" si="2"/>
        <v>3.6339099617275612</v>
      </c>
      <c r="Q51" s="3">
        <v>4.63</v>
      </c>
      <c r="R51" t="str">
        <f t="shared" si="3"/>
        <v>High</v>
      </c>
      <c r="S51" t="str">
        <f t="shared" si="4"/>
        <v>Valid</v>
      </c>
    </row>
    <row r="52" spans="1:19" x14ac:dyDescent="0.25">
      <c r="A52" s="1">
        <v>45625</v>
      </c>
      <c r="B52" s="1" t="str">
        <f t="shared" si="0"/>
        <v>2024-11</v>
      </c>
      <c r="C52" t="s">
        <v>18</v>
      </c>
      <c r="D52" t="s">
        <v>24</v>
      </c>
      <c r="E52" t="s">
        <v>19</v>
      </c>
      <c r="F52" t="s">
        <v>20</v>
      </c>
      <c r="G52" s="4">
        <v>72444</v>
      </c>
      <c r="H52" s="4">
        <v>2339</v>
      </c>
      <c r="I52" s="5">
        <v>3.2300000000000002E-2</v>
      </c>
      <c r="J52" s="2">
        <v>1.39</v>
      </c>
      <c r="K52" s="6">
        <v>3251.21</v>
      </c>
      <c r="L52" s="4">
        <v>153</v>
      </c>
      <c r="M52" s="2">
        <v>21.25</v>
      </c>
      <c r="N52" s="6">
        <v>12919.22</v>
      </c>
      <c r="O52" s="6">
        <f t="shared" si="1"/>
        <v>9668.0099999999984</v>
      </c>
      <c r="P52" s="6">
        <f t="shared" si="2"/>
        <v>2.9736651892679951</v>
      </c>
      <c r="Q52" s="3">
        <v>3.97</v>
      </c>
      <c r="R52" t="str">
        <f t="shared" si="3"/>
        <v>High</v>
      </c>
      <c r="S52" t="str">
        <f t="shared" si="4"/>
        <v>Valid</v>
      </c>
    </row>
    <row r="53" spans="1:19" x14ac:dyDescent="0.25">
      <c r="A53" s="1">
        <v>45630</v>
      </c>
      <c r="B53" s="1" t="str">
        <f t="shared" si="0"/>
        <v>2024-12</v>
      </c>
      <c r="C53" t="s">
        <v>14</v>
      </c>
      <c r="D53" t="s">
        <v>15</v>
      </c>
      <c r="E53" t="s">
        <v>22</v>
      </c>
      <c r="F53" t="s">
        <v>17</v>
      </c>
      <c r="G53" s="4">
        <v>160002</v>
      </c>
      <c r="H53" s="4">
        <v>7520</v>
      </c>
      <c r="I53" s="5">
        <v>4.7E-2</v>
      </c>
      <c r="J53" s="2">
        <v>2.96</v>
      </c>
      <c r="K53" s="6">
        <v>22259.200000000001</v>
      </c>
      <c r="L53" s="4">
        <v>403</v>
      </c>
      <c r="M53" s="2">
        <v>55.23</v>
      </c>
      <c r="N53" s="6">
        <v>70823.58</v>
      </c>
      <c r="O53" s="6">
        <f t="shared" si="1"/>
        <v>48564.380000000005</v>
      </c>
      <c r="P53" s="6">
        <f t="shared" si="2"/>
        <v>2.1817666403105234</v>
      </c>
      <c r="Q53" s="3">
        <v>3.18</v>
      </c>
      <c r="R53" t="str">
        <f t="shared" si="3"/>
        <v>High</v>
      </c>
      <c r="S53" t="str">
        <f t="shared" si="4"/>
        <v>Valid</v>
      </c>
    </row>
    <row r="54" spans="1:19" x14ac:dyDescent="0.25">
      <c r="A54" s="1">
        <v>45516</v>
      </c>
      <c r="B54" s="1" t="str">
        <f t="shared" si="0"/>
        <v>2024-08</v>
      </c>
      <c r="C54" t="s">
        <v>28</v>
      </c>
      <c r="D54" t="s">
        <v>15</v>
      </c>
      <c r="E54" t="s">
        <v>30</v>
      </c>
      <c r="F54" t="s">
        <v>23</v>
      </c>
      <c r="G54" s="4">
        <v>16246</v>
      </c>
      <c r="H54" s="4">
        <v>448</v>
      </c>
      <c r="I54" s="5">
        <v>2.76E-2</v>
      </c>
      <c r="J54" s="2">
        <v>1.99</v>
      </c>
      <c r="K54" s="6">
        <v>891.52</v>
      </c>
      <c r="L54" s="4">
        <v>8</v>
      </c>
      <c r="M54" s="2">
        <v>111.44</v>
      </c>
      <c r="N54" s="6">
        <v>1955.09</v>
      </c>
      <c r="O54" s="6">
        <f t="shared" si="1"/>
        <v>1063.57</v>
      </c>
      <c r="P54" s="6">
        <f t="shared" si="2"/>
        <v>1.1929850143575018</v>
      </c>
      <c r="Q54" s="3">
        <v>2.19</v>
      </c>
      <c r="R54" t="str">
        <f t="shared" si="3"/>
        <v>Medium</v>
      </c>
      <c r="S54" t="str">
        <f t="shared" si="4"/>
        <v>Valid</v>
      </c>
    </row>
    <row r="55" spans="1:19" x14ac:dyDescent="0.25">
      <c r="A55" s="1">
        <v>45448</v>
      </c>
      <c r="B55" s="1" t="str">
        <f t="shared" si="0"/>
        <v>2024-06</v>
      </c>
      <c r="C55" t="s">
        <v>28</v>
      </c>
      <c r="D55" t="s">
        <v>24</v>
      </c>
      <c r="E55" t="s">
        <v>16</v>
      </c>
      <c r="F55" t="s">
        <v>26</v>
      </c>
      <c r="G55" s="4">
        <v>15789</v>
      </c>
      <c r="H55" s="4">
        <v>423</v>
      </c>
      <c r="I55" s="5">
        <v>2.6800000000000001E-2</v>
      </c>
      <c r="J55" s="2">
        <v>1.81</v>
      </c>
      <c r="K55" s="6">
        <v>765.63</v>
      </c>
      <c r="L55" s="4">
        <v>7</v>
      </c>
      <c r="M55" s="2">
        <v>109.38</v>
      </c>
      <c r="N55" s="6">
        <v>1223.95</v>
      </c>
      <c r="O55" s="6">
        <f t="shared" si="1"/>
        <v>458.32000000000005</v>
      </c>
      <c r="P55" s="6">
        <f t="shared" si="2"/>
        <v>0.59861813147342713</v>
      </c>
      <c r="Q55" s="3">
        <v>1.6</v>
      </c>
      <c r="R55" t="str">
        <f t="shared" si="3"/>
        <v>Medium</v>
      </c>
      <c r="S55" t="str">
        <f t="shared" si="4"/>
        <v>Valid</v>
      </c>
    </row>
    <row r="56" spans="1:19" x14ac:dyDescent="0.25">
      <c r="A56" s="1">
        <v>45448</v>
      </c>
      <c r="B56" s="1" t="str">
        <f t="shared" si="0"/>
        <v>2024-06</v>
      </c>
      <c r="C56" t="s">
        <v>14</v>
      </c>
      <c r="D56" t="s">
        <v>15</v>
      </c>
      <c r="E56" t="s">
        <v>19</v>
      </c>
      <c r="F56" t="s">
        <v>32</v>
      </c>
      <c r="G56" s="4">
        <v>25103</v>
      </c>
      <c r="H56" s="4">
        <v>710</v>
      </c>
      <c r="I56" s="5">
        <v>2.8299999999999999E-2</v>
      </c>
      <c r="J56" s="2">
        <v>2.34</v>
      </c>
      <c r="K56" s="6">
        <v>1661.4</v>
      </c>
      <c r="L56" s="4">
        <v>24</v>
      </c>
      <c r="M56" s="2">
        <v>69.23</v>
      </c>
      <c r="N56" s="6">
        <v>1896.75</v>
      </c>
      <c r="O56" s="6">
        <f t="shared" si="1"/>
        <v>235.34999999999991</v>
      </c>
      <c r="P56" s="6">
        <f t="shared" si="2"/>
        <v>0.1416576381365113</v>
      </c>
      <c r="Q56" s="3">
        <v>1.1399999999999999</v>
      </c>
      <c r="R56" t="str">
        <f t="shared" si="3"/>
        <v>Medium</v>
      </c>
      <c r="S56" t="str">
        <f t="shared" si="4"/>
        <v>Valid</v>
      </c>
    </row>
    <row r="57" spans="1:19" x14ac:dyDescent="0.25">
      <c r="A57" s="1">
        <v>45654</v>
      </c>
      <c r="B57" s="1" t="str">
        <f t="shared" si="0"/>
        <v>2024-12</v>
      </c>
      <c r="C57" t="s">
        <v>18</v>
      </c>
      <c r="D57" t="s">
        <v>29</v>
      </c>
      <c r="E57" t="s">
        <v>25</v>
      </c>
      <c r="F57" t="s">
        <v>31</v>
      </c>
      <c r="G57" s="4">
        <v>138515</v>
      </c>
      <c r="H57" s="4">
        <v>4377</v>
      </c>
      <c r="I57" s="5">
        <v>3.1600000000000003E-2</v>
      </c>
      <c r="J57" s="2">
        <v>0.51</v>
      </c>
      <c r="K57" s="6">
        <v>2232.27</v>
      </c>
      <c r="L57" s="4">
        <v>285</v>
      </c>
      <c r="M57" s="2">
        <v>7.83</v>
      </c>
      <c r="N57" s="6">
        <v>10321.59</v>
      </c>
      <c r="O57" s="6">
        <f t="shared" si="1"/>
        <v>8089.32</v>
      </c>
      <c r="P57" s="6">
        <f t="shared" si="2"/>
        <v>3.6238089478423308</v>
      </c>
      <c r="Q57" s="3">
        <v>4.62</v>
      </c>
      <c r="R57" t="str">
        <f t="shared" si="3"/>
        <v>High</v>
      </c>
      <c r="S57" t="str">
        <f t="shared" si="4"/>
        <v>Valid</v>
      </c>
    </row>
    <row r="58" spans="1:19" x14ac:dyDescent="0.25">
      <c r="A58" s="1">
        <v>45342</v>
      </c>
      <c r="B58" s="1" t="str">
        <f t="shared" si="0"/>
        <v>2024-02</v>
      </c>
      <c r="C58" t="s">
        <v>28</v>
      </c>
      <c r="D58" t="s">
        <v>15</v>
      </c>
      <c r="E58" t="s">
        <v>19</v>
      </c>
      <c r="F58" t="s">
        <v>32</v>
      </c>
      <c r="G58" s="4">
        <v>180399</v>
      </c>
      <c r="H58" s="4">
        <v>6025</v>
      </c>
      <c r="I58" s="5">
        <v>3.3399999999999999E-2</v>
      </c>
      <c r="J58" s="2">
        <v>0.7</v>
      </c>
      <c r="K58" s="6">
        <v>4217.5</v>
      </c>
      <c r="L58" s="4">
        <v>191</v>
      </c>
      <c r="M58" s="2">
        <v>22.08</v>
      </c>
      <c r="N58" s="6">
        <v>17456.79</v>
      </c>
      <c r="O58" s="6">
        <f t="shared" si="1"/>
        <v>13239.29</v>
      </c>
      <c r="P58" s="6">
        <f t="shared" si="2"/>
        <v>3.1391321873147602</v>
      </c>
      <c r="Q58" s="3">
        <v>4.1399999999999997</v>
      </c>
      <c r="R58" t="str">
        <f t="shared" si="3"/>
        <v>High</v>
      </c>
      <c r="S58" t="str">
        <f t="shared" si="4"/>
        <v>Valid</v>
      </c>
    </row>
    <row r="59" spans="1:19" x14ac:dyDescent="0.25">
      <c r="A59" s="1">
        <v>45428</v>
      </c>
      <c r="B59" s="1" t="str">
        <f t="shared" si="0"/>
        <v>2024-05</v>
      </c>
      <c r="C59" t="s">
        <v>28</v>
      </c>
      <c r="D59" t="s">
        <v>21</v>
      </c>
      <c r="E59" t="s">
        <v>30</v>
      </c>
      <c r="F59" t="s">
        <v>17</v>
      </c>
      <c r="G59" s="4">
        <v>62545</v>
      </c>
      <c r="H59" s="4">
        <v>606</v>
      </c>
      <c r="I59" s="5">
        <v>9.7000000000000003E-3</v>
      </c>
      <c r="J59" s="2">
        <v>1.96</v>
      </c>
      <c r="K59" s="6">
        <v>1187.76</v>
      </c>
      <c r="L59" s="4">
        <v>37</v>
      </c>
      <c r="M59" s="2">
        <v>32.1</v>
      </c>
      <c r="N59" s="6">
        <v>5627.66</v>
      </c>
      <c r="O59" s="6">
        <f t="shared" si="1"/>
        <v>4439.8999999999996</v>
      </c>
      <c r="P59" s="6">
        <f t="shared" si="2"/>
        <v>3.7380447228396307</v>
      </c>
      <c r="Q59" s="3">
        <v>4.74</v>
      </c>
      <c r="R59" t="str">
        <f t="shared" si="3"/>
        <v>High</v>
      </c>
      <c r="S59" t="str">
        <f t="shared" si="4"/>
        <v>Valid</v>
      </c>
    </row>
    <row r="60" spans="1:19" x14ac:dyDescent="0.25">
      <c r="A60" s="1">
        <v>45473</v>
      </c>
      <c r="B60" s="1" t="str">
        <f t="shared" si="0"/>
        <v>2024-06</v>
      </c>
      <c r="C60" t="s">
        <v>14</v>
      </c>
      <c r="D60" t="s">
        <v>24</v>
      </c>
      <c r="E60" t="s">
        <v>16</v>
      </c>
      <c r="F60" t="s">
        <v>27</v>
      </c>
      <c r="G60" s="4">
        <v>72526</v>
      </c>
      <c r="H60" s="4">
        <v>2146</v>
      </c>
      <c r="I60" s="5">
        <v>2.9600000000000001E-2</v>
      </c>
      <c r="J60" s="2">
        <v>1.56</v>
      </c>
      <c r="K60" s="6">
        <v>3347.76</v>
      </c>
      <c r="L60" s="4">
        <v>168</v>
      </c>
      <c r="M60" s="2">
        <v>19.93</v>
      </c>
      <c r="N60" s="6">
        <v>25859.74</v>
      </c>
      <c r="O60" s="6">
        <f t="shared" si="1"/>
        <v>22511.980000000003</v>
      </c>
      <c r="P60" s="6">
        <f t="shared" si="2"/>
        <v>6.7244904055248886</v>
      </c>
      <c r="Q60" s="3">
        <v>7.72</v>
      </c>
      <c r="R60" t="str">
        <f t="shared" si="3"/>
        <v>High</v>
      </c>
      <c r="S60" t="str">
        <f t="shared" si="4"/>
        <v>Valid</v>
      </c>
    </row>
    <row r="61" spans="1:19" x14ac:dyDescent="0.25">
      <c r="A61" s="1">
        <v>45480</v>
      </c>
      <c r="B61" s="1" t="str">
        <f t="shared" si="0"/>
        <v>2024-07</v>
      </c>
      <c r="C61" t="s">
        <v>28</v>
      </c>
      <c r="D61" t="s">
        <v>29</v>
      </c>
      <c r="E61" t="s">
        <v>19</v>
      </c>
      <c r="F61" t="s">
        <v>32</v>
      </c>
      <c r="G61" s="4">
        <v>67823</v>
      </c>
      <c r="H61" s="4">
        <v>2075</v>
      </c>
      <c r="I61" s="5">
        <v>3.0599999999999999E-2</v>
      </c>
      <c r="J61" s="2">
        <v>1.83</v>
      </c>
      <c r="K61" s="6">
        <v>3797.25</v>
      </c>
      <c r="L61" s="4">
        <v>26</v>
      </c>
      <c r="M61" s="2">
        <v>146.05000000000001</v>
      </c>
      <c r="N61" s="6">
        <v>4093.91</v>
      </c>
      <c r="O61" s="6">
        <f t="shared" si="1"/>
        <v>296.65999999999985</v>
      </c>
      <c r="P61" s="6">
        <f t="shared" si="2"/>
        <v>7.8124958851800611E-2</v>
      </c>
      <c r="Q61" s="3">
        <v>1.08</v>
      </c>
      <c r="R61" t="str">
        <f t="shared" si="3"/>
        <v>Medium</v>
      </c>
      <c r="S61" t="str">
        <f t="shared" si="4"/>
        <v>Valid</v>
      </c>
    </row>
    <row r="62" spans="1:19" x14ac:dyDescent="0.25">
      <c r="A62" s="1">
        <v>45466</v>
      </c>
      <c r="B62" s="1" t="str">
        <f t="shared" si="0"/>
        <v>2024-06</v>
      </c>
      <c r="C62" t="s">
        <v>28</v>
      </c>
      <c r="D62" t="s">
        <v>29</v>
      </c>
      <c r="E62" t="s">
        <v>30</v>
      </c>
      <c r="F62" t="s">
        <v>31</v>
      </c>
      <c r="G62" s="4">
        <v>164937</v>
      </c>
      <c r="H62" s="4">
        <v>4453</v>
      </c>
      <c r="I62" s="5">
        <v>2.7E-2</v>
      </c>
      <c r="J62" s="2">
        <v>1.08</v>
      </c>
      <c r="K62" s="6">
        <v>4809.24</v>
      </c>
      <c r="L62" s="4">
        <v>129</v>
      </c>
      <c r="M62" s="2">
        <v>37.28</v>
      </c>
      <c r="N62" s="6">
        <v>35127.5</v>
      </c>
      <c r="O62" s="6">
        <f t="shared" si="1"/>
        <v>30318.260000000002</v>
      </c>
      <c r="P62" s="6">
        <f t="shared" si="2"/>
        <v>6.3041686420307581</v>
      </c>
      <c r="Q62" s="3">
        <v>7.3</v>
      </c>
      <c r="R62" t="str">
        <f t="shared" si="3"/>
        <v>High</v>
      </c>
      <c r="S62" t="str">
        <f t="shared" si="4"/>
        <v>Valid</v>
      </c>
    </row>
    <row r="63" spans="1:19" x14ac:dyDescent="0.25">
      <c r="A63" s="1">
        <v>45640</v>
      </c>
      <c r="B63" s="1" t="str">
        <f t="shared" si="0"/>
        <v>2024-12</v>
      </c>
      <c r="C63" t="s">
        <v>28</v>
      </c>
      <c r="D63" t="s">
        <v>15</v>
      </c>
      <c r="E63" t="s">
        <v>19</v>
      </c>
      <c r="F63" t="s">
        <v>20</v>
      </c>
      <c r="G63" s="4">
        <v>114575</v>
      </c>
      <c r="H63" s="4">
        <v>2039</v>
      </c>
      <c r="I63" s="5">
        <v>1.78E-2</v>
      </c>
      <c r="J63" s="2">
        <v>0.53</v>
      </c>
      <c r="K63" s="6">
        <v>1080.67</v>
      </c>
      <c r="L63" s="4">
        <v>113</v>
      </c>
      <c r="M63" s="2">
        <v>9.56</v>
      </c>
      <c r="N63" s="6">
        <v>10656.96</v>
      </c>
      <c r="O63" s="6">
        <f t="shared" si="1"/>
        <v>9576.2899999999991</v>
      </c>
      <c r="P63" s="6">
        <f t="shared" si="2"/>
        <v>8.8614378117279085</v>
      </c>
      <c r="Q63" s="3">
        <v>9.86</v>
      </c>
      <c r="R63" t="str">
        <f t="shared" si="3"/>
        <v>High</v>
      </c>
      <c r="S63" t="str">
        <f t="shared" si="4"/>
        <v>Valid</v>
      </c>
    </row>
    <row r="64" spans="1:19" x14ac:dyDescent="0.25">
      <c r="A64" s="1">
        <v>45456</v>
      </c>
      <c r="B64" s="1" t="str">
        <f t="shared" si="0"/>
        <v>2024-06</v>
      </c>
      <c r="C64" t="s">
        <v>14</v>
      </c>
      <c r="D64" t="s">
        <v>24</v>
      </c>
      <c r="E64" t="s">
        <v>16</v>
      </c>
      <c r="F64" t="s">
        <v>26</v>
      </c>
      <c r="G64" s="4">
        <v>132157</v>
      </c>
      <c r="H64" s="4">
        <v>2999</v>
      </c>
      <c r="I64" s="5">
        <v>2.2700000000000001E-2</v>
      </c>
      <c r="J64" s="2">
        <v>0.93</v>
      </c>
      <c r="K64" s="6">
        <v>2789.07</v>
      </c>
      <c r="L64" s="4">
        <v>152</v>
      </c>
      <c r="M64" s="2">
        <v>18.350000000000001</v>
      </c>
      <c r="N64" s="6">
        <v>21855.26</v>
      </c>
      <c r="O64" s="6">
        <f t="shared" si="1"/>
        <v>19066.189999999999</v>
      </c>
      <c r="P64" s="6">
        <f t="shared" si="2"/>
        <v>6.8360385361428708</v>
      </c>
      <c r="Q64" s="3">
        <v>7.84</v>
      </c>
      <c r="R64" t="str">
        <f t="shared" si="3"/>
        <v>High</v>
      </c>
      <c r="S64" t="str">
        <f t="shared" si="4"/>
        <v>Valid</v>
      </c>
    </row>
    <row r="65" spans="1:19" x14ac:dyDescent="0.25">
      <c r="A65" s="1">
        <v>45302</v>
      </c>
      <c r="B65" s="1" t="str">
        <f t="shared" si="0"/>
        <v>2024-01</v>
      </c>
      <c r="C65" t="s">
        <v>18</v>
      </c>
      <c r="D65" t="s">
        <v>21</v>
      </c>
      <c r="E65" t="s">
        <v>22</v>
      </c>
      <c r="F65" t="s">
        <v>26</v>
      </c>
      <c r="G65" s="4">
        <v>108145</v>
      </c>
      <c r="H65" s="4">
        <v>3882</v>
      </c>
      <c r="I65" s="5">
        <v>3.5900000000000001E-2</v>
      </c>
      <c r="J65" s="2">
        <v>0.94</v>
      </c>
      <c r="K65" s="6">
        <v>3649.08</v>
      </c>
      <c r="L65" s="4">
        <v>98</v>
      </c>
      <c r="M65" s="2">
        <v>37.24</v>
      </c>
      <c r="N65" s="6">
        <v>28726.52</v>
      </c>
      <c r="O65" s="6">
        <f t="shared" si="1"/>
        <v>25077.440000000002</v>
      </c>
      <c r="P65" s="6">
        <f t="shared" si="2"/>
        <v>6.8722636938625632</v>
      </c>
      <c r="Q65" s="3">
        <v>7.87</v>
      </c>
      <c r="R65" t="str">
        <f t="shared" si="3"/>
        <v>High</v>
      </c>
      <c r="S65" t="str">
        <f t="shared" si="4"/>
        <v>Valid</v>
      </c>
    </row>
    <row r="66" spans="1:19" x14ac:dyDescent="0.25">
      <c r="A66" s="1">
        <v>45411</v>
      </c>
      <c r="B66" s="1" t="str">
        <f t="shared" si="0"/>
        <v>2024-04</v>
      </c>
      <c r="C66" t="s">
        <v>18</v>
      </c>
      <c r="D66" t="s">
        <v>15</v>
      </c>
      <c r="E66" t="s">
        <v>25</v>
      </c>
      <c r="F66" t="s">
        <v>31</v>
      </c>
      <c r="G66" s="4">
        <v>72642</v>
      </c>
      <c r="H66" s="4">
        <v>3014</v>
      </c>
      <c r="I66" s="5">
        <v>4.1500000000000002E-2</v>
      </c>
      <c r="J66" s="2">
        <v>1.1599999999999999</v>
      </c>
      <c r="K66" s="6">
        <v>3496.24</v>
      </c>
      <c r="L66" s="4">
        <v>59</v>
      </c>
      <c r="M66" s="2">
        <v>59.26</v>
      </c>
      <c r="N66" s="6">
        <v>15070.44</v>
      </c>
      <c r="O66" s="6">
        <f t="shared" si="1"/>
        <v>11574.2</v>
      </c>
      <c r="P66" s="6">
        <f t="shared" si="2"/>
        <v>3.3104706770702244</v>
      </c>
      <c r="Q66" s="3">
        <v>4.3099999999999996</v>
      </c>
      <c r="R66" t="str">
        <f t="shared" si="3"/>
        <v>High</v>
      </c>
      <c r="S66" t="str">
        <f t="shared" si="4"/>
        <v>Valid</v>
      </c>
    </row>
    <row r="67" spans="1:19" x14ac:dyDescent="0.25">
      <c r="A67" s="1">
        <v>45389</v>
      </c>
      <c r="B67" s="1" t="str">
        <f t="shared" ref="B67:B130" si="5">TEXT(A67, "yyyy-mm")</f>
        <v>2024-04</v>
      </c>
      <c r="C67" t="s">
        <v>18</v>
      </c>
      <c r="D67" t="s">
        <v>29</v>
      </c>
      <c r="E67" t="s">
        <v>22</v>
      </c>
      <c r="F67" t="s">
        <v>17</v>
      </c>
      <c r="G67" s="4">
        <v>131678</v>
      </c>
      <c r="H67" s="4">
        <v>8374</v>
      </c>
      <c r="I67" s="5">
        <v>6.3600000000000004E-2</v>
      </c>
      <c r="J67" s="2">
        <v>0.91</v>
      </c>
      <c r="K67" s="6">
        <v>7620.34</v>
      </c>
      <c r="L67" s="4">
        <v>505</v>
      </c>
      <c r="M67" s="2">
        <v>15.09</v>
      </c>
      <c r="N67" s="6">
        <v>29682.01</v>
      </c>
      <c r="O67" s="6">
        <f t="shared" ref="O67:O130" si="6">N67-K67</f>
        <v>22061.67</v>
      </c>
      <c r="P67" s="6">
        <f t="shared" ref="P67:P130" si="7">IFERROR(O67/K67, "")</f>
        <v>2.8951031056357062</v>
      </c>
      <c r="Q67" s="3">
        <v>3.9</v>
      </c>
      <c r="R67" t="str">
        <f t="shared" ref="R67:R130" si="8">IF(Q67 &gt;= 3, "High", IF(Q67&gt;=1, "Medium", "Low"))</f>
        <v>High</v>
      </c>
      <c r="S67" t="str">
        <f t="shared" ref="S67:S130" si="9">IF(OR(G67=0, H67&gt;G67, L67&gt;H67), "Invalid", "Valid")</f>
        <v>Valid</v>
      </c>
    </row>
    <row r="68" spans="1:19" x14ac:dyDescent="0.25">
      <c r="A68" s="1">
        <v>45425</v>
      </c>
      <c r="B68" s="1" t="str">
        <f t="shared" si="5"/>
        <v>2024-05</v>
      </c>
      <c r="C68" t="s">
        <v>14</v>
      </c>
      <c r="D68" t="s">
        <v>21</v>
      </c>
      <c r="E68" t="s">
        <v>30</v>
      </c>
      <c r="F68" t="s">
        <v>32</v>
      </c>
      <c r="G68" s="4">
        <v>34402</v>
      </c>
      <c r="H68" s="4">
        <v>1314</v>
      </c>
      <c r="I68" s="5">
        <v>3.8199999999999998E-2</v>
      </c>
      <c r="J68" s="2">
        <v>3.29</v>
      </c>
      <c r="K68" s="6">
        <v>4323.0600000000004</v>
      </c>
      <c r="L68" s="4">
        <v>17</v>
      </c>
      <c r="M68" s="2">
        <v>254.3</v>
      </c>
      <c r="N68" s="6">
        <v>1273.24</v>
      </c>
      <c r="O68" s="6">
        <f t="shared" si="6"/>
        <v>-3049.8200000000006</v>
      </c>
      <c r="P68" s="6">
        <f t="shared" si="7"/>
        <v>-0.70547713887847963</v>
      </c>
      <c r="Q68" s="3">
        <v>0.28999999999999998</v>
      </c>
      <c r="R68" t="str">
        <f t="shared" si="8"/>
        <v>Low</v>
      </c>
      <c r="S68" t="str">
        <f t="shared" si="9"/>
        <v>Valid</v>
      </c>
    </row>
    <row r="69" spans="1:19" x14ac:dyDescent="0.25">
      <c r="A69" s="1">
        <v>45573</v>
      </c>
      <c r="B69" s="1" t="str">
        <f t="shared" si="5"/>
        <v>2024-10</v>
      </c>
      <c r="C69" t="s">
        <v>28</v>
      </c>
      <c r="D69" t="s">
        <v>21</v>
      </c>
      <c r="E69" t="s">
        <v>22</v>
      </c>
      <c r="F69" t="s">
        <v>26</v>
      </c>
      <c r="G69" s="4">
        <v>58276</v>
      </c>
      <c r="H69" s="4">
        <v>1183</v>
      </c>
      <c r="I69" s="5">
        <v>2.0299999999999999E-2</v>
      </c>
      <c r="J69" s="2">
        <v>1.49</v>
      </c>
      <c r="K69" s="6">
        <v>1762.67</v>
      </c>
      <c r="L69" s="4">
        <v>89</v>
      </c>
      <c r="M69" s="2">
        <v>19.809999999999999</v>
      </c>
      <c r="N69" s="6">
        <v>20273.71</v>
      </c>
      <c r="O69" s="6">
        <f t="shared" si="6"/>
        <v>18511.04</v>
      </c>
      <c r="P69" s="6">
        <f t="shared" si="7"/>
        <v>10.501704800104386</v>
      </c>
      <c r="Q69" s="3">
        <v>11.5</v>
      </c>
      <c r="R69" t="str">
        <f t="shared" si="8"/>
        <v>High</v>
      </c>
      <c r="S69" t="str">
        <f t="shared" si="9"/>
        <v>Valid</v>
      </c>
    </row>
    <row r="70" spans="1:19" x14ac:dyDescent="0.25">
      <c r="A70" s="1">
        <v>45518</v>
      </c>
      <c r="B70" s="1" t="str">
        <f t="shared" si="5"/>
        <v>2024-08</v>
      </c>
      <c r="C70" t="s">
        <v>14</v>
      </c>
      <c r="D70" t="s">
        <v>24</v>
      </c>
      <c r="E70" t="s">
        <v>19</v>
      </c>
      <c r="F70" t="s">
        <v>27</v>
      </c>
      <c r="G70" s="4">
        <v>168059</v>
      </c>
      <c r="H70" s="4">
        <v>3462</v>
      </c>
      <c r="I70" s="5">
        <v>2.06E-2</v>
      </c>
      <c r="J70" s="2">
        <v>3.08</v>
      </c>
      <c r="K70" s="6">
        <v>10662.96</v>
      </c>
      <c r="L70" s="4">
        <v>154</v>
      </c>
      <c r="M70" s="2">
        <v>69.239999999999995</v>
      </c>
      <c r="N70" s="6">
        <v>33243.769999999997</v>
      </c>
      <c r="O70" s="6">
        <f t="shared" si="6"/>
        <v>22580.809999999998</v>
      </c>
      <c r="P70" s="6">
        <f t="shared" si="7"/>
        <v>2.1176868336747021</v>
      </c>
      <c r="Q70" s="3">
        <v>3.12</v>
      </c>
      <c r="R70" t="str">
        <f t="shared" si="8"/>
        <v>High</v>
      </c>
      <c r="S70" t="str">
        <f t="shared" si="9"/>
        <v>Valid</v>
      </c>
    </row>
    <row r="71" spans="1:19" x14ac:dyDescent="0.25">
      <c r="A71" s="1">
        <v>45520</v>
      </c>
      <c r="B71" s="1" t="str">
        <f t="shared" si="5"/>
        <v>2024-08</v>
      </c>
      <c r="C71" t="s">
        <v>28</v>
      </c>
      <c r="D71" t="s">
        <v>21</v>
      </c>
      <c r="E71" t="s">
        <v>16</v>
      </c>
      <c r="F71" t="s">
        <v>27</v>
      </c>
      <c r="G71" s="4">
        <v>91123</v>
      </c>
      <c r="H71" s="4">
        <v>1567</v>
      </c>
      <c r="I71" s="5">
        <v>1.72E-2</v>
      </c>
      <c r="J71" s="2">
        <v>2.33</v>
      </c>
      <c r="K71" s="6">
        <v>3651.11</v>
      </c>
      <c r="L71" s="4">
        <v>64</v>
      </c>
      <c r="M71" s="2">
        <v>57.05</v>
      </c>
      <c r="N71" s="6">
        <v>5119.1000000000004</v>
      </c>
      <c r="O71" s="6">
        <f t="shared" si="6"/>
        <v>1467.9900000000002</v>
      </c>
      <c r="P71" s="6">
        <f t="shared" si="7"/>
        <v>0.40206676873608305</v>
      </c>
      <c r="Q71" s="3">
        <v>1.4</v>
      </c>
      <c r="R71" t="str">
        <f t="shared" si="8"/>
        <v>Medium</v>
      </c>
      <c r="S71" t="str">
        <f t="shared" si="9"/>
        <v>Valid</v>
      </c>
    </row>
    <row r="72" spans="1:19" x14ac:dyDescent="0.25">
      <c r="A72" s="1">
        <v>45440</v>
      </c>
      <c r="B72" s="1" t="str">
        <f t="shared" si="5"/>
        <v>2024-05</v>
      </c>
      <c r="C72" t="s">
        <v>28</v>
      </c>
      <c r="D72" t="s">
        <v>24</v>
      </c>
      <c r="E72" t="s">
        <v>16</v>
      </c>
      <c r="F72" t="s">
        <v>32</v>
      </c>
      <c r="G72" s="4">
        <v>16344</v>
      </c>
      <c r="H72" s="4">
        <v>452</v>
      </c>
      <c r="I72" s="5">
        <v>2.7699999999999999E-2</v>
      </c>
      <c r="J72" s="2">
        <v>0.9</v>
      </c>
      <c r="K72" s="6">
        <v>406.8</v>
      </c>
      <c r="L72" s="4">
        <v>5</v>
      </c>
      <c r="M72" s="2">
        <v>81.36</v>
      </c>
      <c r="N72" s="6">
        <v>1102.53</v>
      </c>
      <c r="O72" s="6">
        <f t="shared" si="6"/>
        <v>695.73</v>
      </c>
      <c r="P72" s="6">
        <f t="shared" si="7"/>
        <v>1.7102507374631268</v>
      </c>
      <c r="Q72" s="3">
        <v>2.71</v>
      </c>
      <c r="R72" t="str">
        <f t="shared" si="8"/>
        <v>Medium</v>
      </c>
      <c r="S72" t="str">
        <f t="shared" si="9"/>
        <v>Valid</v>
      </c>
    </row>
    <row r="73" spans="1:19" x14ac:dyDescent="0.25">
      <c r="A73" s="1">
        <v>45377</v>
      </c>
      <c r="B73" s="1" t="str">
        <f t="shared" si="5"/>
        <v>2024-03</v>
      </c>
      <c r="C73" t="s">
        <v>18</v>
      </c>
      <c r="D73" t="s">
        <v>21</v>
      </c>
      <c r="E73" t="s">
        <v>25</v>
      </c>
      <c r="F73" t="s">
        <v>17</v>
      </c>
      <c r="G73" s="4">
        <v>99457</v>
      </c>
      <c r="H73" s="4">
        <v>5808</v>
      </c>
      <c r="I73" s="5">
        <v>5.8400000000000001E-2</v>
      </c>
      <c r="J73" s="2">
        <v>1.6</v>
      </c>
      <c r="K73" s="6">
        <v>9292.7999999999993</v>
      </c>
      <c r="L73" s="4">
        <v>80</v>
      </c>
      <c r="M73" s="2">
        <v>116.16</v>
      </c>
      <c r="N73" s="6">
        <v>12231.1</v>
      </c>
      <c r="O73" s="6">
        <f t="shared" si="6"/>
        <v>2938.3000000000011</v>
      </c>
      <c r="P73" s="6">
        <f t="shared" si="7"/>
        <v>0.31619102961432521</v>
      </c>
      <c r="Q73" s="3">
        <v>1.32</v>
      </c>
      <c r="R73" t="str">
        <f t="shared" si="8"/>
        <v>Medium</v>
      </c>
      <c r="S73" t="str">
        <f t="shared" si="9"/>
        <v>Valid</v>
      </c>
    </row>
    <row r="74" spans="1:19" x14ac:dyDescent="0.25">
      <c r="A74" s="1">
        <v>45450</v>
      </c>
      <c r="B74" s="1" t="str">
        <f t="shared" si="5"/>
        <v>2024-06</v>
      </c>
      <c r="C74" t="s">
        <v>28</v>
      </c>
      <c r="D74" t="s">
        <v>21</v>
      </c>
      <c r="E74" t="s">
        <v>30</v>
      </c>
      <c r="F74" t="s">
        <v>31</v>
      </c>
      <c r="G74" s="4">
        <v>57375</v>
      </c>
      <c r="H74" s="4">
        <v>843</v>
      </c>
      <c r="I74" s="5">
        <v>1.47E-2</v>
      </c>
      <c r="J74" s="2">
        <v>1.61</v>
      </c>
      <c r="K74" s="6">
        <v>1357.23</v>
      </c>
      <c r="L74" s="4">
        <v>40</v>
      </c>
      <c r="M74" s="2">
        <v>33.93</v>
      </c>
      <c r="N74" s="6">
        <v>9739.81</v>
      </c>
      <c r="O74" s="6">
        <f t="shared" si="6"/>
        <v>8382.58</v>
      </c>
      <c r="P74" s="6">
        <f t="shared" si="7"/>
        <v>6.1762413150313504</v>
      </c>
      <c r="Q74" s="3">
        <v>7.18</v>
      </c>
      <c r="R74" t="str">
        <f t="shared" si="8"/>
        <v>High</v>
      </c>
      <c r="S74" t="str">
        <f t="shared" si="9"/>
        <v>Valid</v>
      </c>
    </row>
    <row r="75" spans="1:19" x14ac:dyDescent="0.25">
      <c r="A75" s="1">
        <v>45399</v>
      </c>
      <c r="B75" s="1" t="str">
        <f t="shared" si="5"/>
        <v>2024-04</v>
      </c>
      <c r="C75" t="s">
        <v>14</v>
      </c>
      <c r="D75" t="s">
        <v>29</v>
      </c>
      <c r="E75" t="s">
        <v>30</v>
      </c>
      <c r="F75" t="s">
        <v>17</v>
      </c>
      <c r="G75" s="4">
        <v>115017</v>
      </c>
      <c r="H75" s="4">
        <v>2771</v>
      </c>
      <c r="I75" s="5">
        <v>2.41E-2</v>
      </c>
      <c r="J75" s="2">
        <v>2.56</v>
      </c>
      <c r="K75" s="6">
        <v>7093.76</v>
      </c>
      <c r="L75" s="4">
        <v>95</v>
      </c>
      <c r="M75" s="2">
        <v>74.67</v>
      </c>
      <c r="N75" s="6">
        <v>22528.38</v>
      </c>
      <c r="O75" s="6">
        <f t="shared" si="6"/>
        <v>15434.62</v>
      </c>
      <c r="P75" s="6">
        <f t="shared" si="7"/>
        <v>2.175802395344641</v>
      </c>
      <c r="Q75" s="3">
        <v>3.18</v>
      </c>
      <c r="R75" t="str">
        <f t="shared" si="8"/>
        <v>High</v>
      </c>
      <c r="S75" t="str">
        <f t="shared" si="9"/>
        <v>Valid</v>
      </c>
    </row>
    <row r="76" spans="1:19" x14ac:dyDescent="0.25">
      <c r="A76" s="1">
        <v>45563</v>
      </c>
      <c r="B76" s="1" t="str">
        <f t="shared" si="5"/>
        <v>2024-09</v>
      </c>
      <c r="C76" t="s">
        <v>28</v>
      </c>
      <c r="D76" t="s">
        <v>15</v>
      </c>
      <c r="E76" t="s">
        <v>19</v>
      </c>
      <c r="F76" t="s">
        <v>23</v>
      </c>
      <c r="G76" s="4">
        <v>90431</v>
      </c>
      <c r="H76" s="4">
        <v>1853</v>
      </c>
      <c r="I76" s="5">
        <v>2.0500000000000001E-2</v>
      </c>
      <c r="J76" s="2">
        <v>1.7</v>
      </c>
      <c r="K76" s="6">
        <v>3150.1</v>
      </c>
      <c r="L76" s="4">
        <v>57</v>
      </c>
      <c r="M76" s="2">
        <v>55.26</v>
      </c>
      <c r="N76" s="6">
        <v>14834.93</v>
      </c>
      <c r="O76" s="6">
        <f t="shared" si="6"/>
        <v>11684.83</v>
      </c>
      <c r="P76" s="6">
        <f t="shared" si="7"/>
        <v>3.7093520840608236</v>
      </c>
      <c r="Q76" s="3">
        <v>4.71</v>
      </c>
      <c r="R76" t="str">
        <f t="shared" si="8"/>
        <v>High</v>
      </c>
      <c r="S76" t="str">
        <f t="shared" si="9"/>
        <v>Valid</v>
      </c>
    </row>
    <row r="77" spans="1:19" x14ac:dyDescent="0.25">
      <c r="A77" s="1">
        <v>45364</v>
      </c>
      <c r="B77" s="1" t="str">
        <f t="shared" si="5"/>
        <v>2024-03</v>
      </c>
      <c r="C77" t="s">
        <v>28</v>
      </c>
      <c r="D77" t="s">
        <v>15</v>
      </c>
      <c r="E77" t="s">
        <v>30</v>
      </c>
      <c r="F77" t="s">
        <v>23</v>
      </c>
      <c r="G77" s="4">
        <v>140566</v>
      </c>
      <c r="H77" s="4">
        <v>5046</v>
      </c>
      <c r="I77" s="5">
        <v>3.5900000000000001E-2</v>
      </c>
      <c r="J77" s="2">
        <v>0.62</v>
      </c>
      <c r="K77" s="6">
        <v>3128.52</v>
      </c>
      <c r="L77" s="4">
        <v>384</v>
      </c>
      <c r="M77" s="2">
        <v>8.15</v>
      </c>
      <c r="N77" s="6">
        <v>59980.19</v>
      </c>
      <c r="O77" s="6">
        <f t="shared" si="6"/>
        <v>56851.670000000006</v>
      </c>
      <c r="P77" s="6">
        <f t="shared" si="7"/>
        <v>18.172065385549718</v>
      </c>
      <c r="Q77" s="3">
        <v>19.170000000000002</v>
      </c>
      <c r="R77" t="str">
        <f t="shared" si="8"/>
        <v>High</v>
      </c>
      <c r="S77" t="str">
        <f t="shared" si="9"/>
        <v>Valid</v>
      </c>
    </row>
    <row r="78" spans="1:19" x14ac:dyDescent="0.25">
      <c r="A78" s="1">
        <v>45350</v>
      </c>
      <c r="B78" s="1" t="str">
        <f t="shared" si="5"/>
        <v>2024-02</v>
      </c>
      <c r="C78" t="s">
        <v>28</v>
      </c>
      <c r="D78" t="s">
        <v>15</v>
      </c>
      <c r="E78" t="s">
        <v>19</v>
      </c>
      <c r="F78" t="s">
        <v>26</v>
      </c>
      <c r="G78" s="4">
        <v>133583</v>
      </c>
      <c r="H78" s="4">
        <v>3954</v>
      </c>
      <c r="I78" s="5">
        <v>2.9600000000000001E-2</v>
      </c>
      <c r="J78" s="2">
        <v>0.65</v>
      </c>
      <c r="K78" s="6">
        <v>2570.1</v>
      </c>
      <c r="L78" s="4">
        <v>255</v>
      </c>
      <c r="M78" s="2">
        <v>10.08</v>
      </c>
      <c r="N78" s="6">
        <v>31756.12</v>
      </c>
      <c r="O78" s="6">
        <f t="shared" si="6"/>
        <v>29186.02</v>
      </c>
      <c r="P78" s="6">
        <f t="shared" si="7"/>
        <v>11.355986148398896</v>
      </c>
      <c r="Q78" s="3">
        <v>12.36</v>
      </c>
      <c r="R78" t="str">
        <f t="shared" si="8"/>
        <v>High</v>
      </c>
      <c r="S78" t="str">
        <f t="shared" si="9"/>
        <v>Valid</v>
      </c>
    </row>
    <row r="79" spans="1:19" x14ac:dyDescent="0.25">
      <c r="A79" s="1">
        <v>45390</v>
      </c>
      <c r="B79" s="1" t="str">
        <f t="shared" si="5"/>
        <v>2024-04</v>
      </c>
      <c r="C79" t="s">
        <v>14</v>
      </c>
      <c r="D79" t="s">
        <v>21</v>
      </c>
      <c r="E79" t="s">
        <v>30</v>
      </c>
      <c r="F79" t="s">
        <v>23</v>
      </c>
      <c r="G79" s="4">
        <v>198555</v>
      </c>
      <c r="H79" s="4">
        <v>13104</v>
      </c>
      <c r="I79" s="5">
        <v>6.6000000000000003E-2</v>
      </c>
      <c r="J79" s="2">
        <v>2.46</v>
      </c>
      <c r="K79" s="6">
        <v>32235.84</v>
      </c>
      <c r="L79" s="4">
        <v>336</v>
      </c>
      <c r="M79" s="2">
        <v>95.94</v>
      </c>
      <c r="N79" s="6">
        <v>58794.32</v>
      </c>
      <c r="O79" s="6">
        <f t="shared" si="6"/>
        <v>26558.48</v>
      </c>
      <c r="P79" s="6">
        <f t="shared" si="7"/>
        <v>0.82388050070976904</v>
      </c>
      <c r="Q79" s="3">
        <v>1.82</v>
      </c>
      <c r="R79" t="str">
        <f t="shared" si="8"/>
        <v>Medium</v>
      </c>
      <c r="S79" t="str">
        <f t="shared" si="9"/>
        <v>Valid</v>
      </c>
    </row>
    <row r="80" spans="1:19" x14ac:dyDescent="0.25">
      <c r="A80" s="1">
        <v>45558</v>
      </c>
      <c r="B80" s="1" t="str">
        <f t="shared" si="5"/>
        <v>2024-09</v>
      </c>
      <c r="C80" t="s">
        <v>28</v>
      </c>
      <c r="D80" t="s">
        <v>29</v>
      </c>
      <c r="E80" t="s">
        <v>22</v>
      </c>
      <c r="F80" t="s">
        <v>20</v>
      </c>
      <c r="G80" s="4">
        <v>88560</v>
      </c>
      <c r="H80" s="4">
        <v>1319</v>
      </c>
      <c r="I80" s="5">
        <v>1.49E-2</v>
      </c>
      <c r="J80" s="2">
        <v>0.52</v>
      </c>
      <c r="K80" s="6">
        <v>685.88</v>
      </c>
      <c r="L80" s="4">
        <v>81</v>
      </c>
      <c r="M80" s="2">
        <v>8.4700000000000006</v>
      </c>
      <c r="N80" s="6">
        <v>8584.02</v>
      </c>
      <c r="O80" s="6">
        <f t="shared" si="6"/>
        <v>7898.14</v>
      </c>
      <c r="P80" s="6">
        <f t="shared" si="7"/>
        <v>11.515337959993003</v>
      </c>
      <c r="Q80" s="3">
        <v>12.52</v>
      </c>
      <c r="R80" t="str">
        <f t="shared" si="8"/>
        <v>High</v>
      </c>
      <c r="S80" t="str">
        <f t="shared" si="9"/>
        <v>Valid</v>
      </c>
    </row>
    <row r="81" spans="1:19" x14ac:dyDescent="0.25">
      <c r="A81" s="1">
        <v>45467</v>
      </c>
      <c r="B81" s="1" t="str">
        <f t="shared" si="5"/>
        <v>2024-06</v>
      </c>
      <c r="C81" t="s">
        <v>14</v>
      </c>
      <c r="D81" t="s">
        <v>29</v>
      </c>
      <c r="E81" t="s">
        <v>16</v>
      </c>
      <c r="F81" t="s">
        <v>17</v>
      </c>
      <c r="G81" s="4">
        <v>117217</v>
      </c>
      <c r="H81" s="4">
        <v>5602</v>
      </c>
      <c r="I81" s="5">
        <v>4.7800000000000002E-2</v>
      </c>
      <c r="J81" s="2">
        <v>3.49</v>
      </c>
      <c r="K81" s="6">
        <v>19550.98</v>
      </c>
      <c r="L81" s="4">
        <v>411</v>
      </c>
      <c r="M81" s="2">
        <v>47.57</v>
      </c>
      <c r="N81" s="6">
        <v>75729.259999999995</v>
      </c>
      <c r="O81" s="6">
        <f t="shared" si="6"/>
        <v>56178.28</v>
      </c>
      <c r="P81" s="6">
        <f t="shared" si="7"/>
        <v>2.8734252707536911</v>
      </c>
      <c r="Q81" s="3">
        <v>3.87</v>
      </c>
      <c r="R81" t="str">
        <f t="shared" si="8"/>
        <v>High</v>
      </c>
      <c r="S81" t="str">
        <f t="shared" si="9"/>
        <v>Valid</v>
      </c>
    </row>
    <row r="82" spans="1:19" x14ac:dyDescent="0.25">
      <c r="A82" s="1">
        <v>45528</v>
      </c>
      <c r="B82" s="1" t="str">
        <f t="shared" si="5"/>
        <v>2024-08</v>
      </c>
      <c r="C82" t="s">
        <v>28</v>
      </c>
      <c r="D82" t="s">
        <v>24</v>
      </c>
      <c r="E82" t="s">
        <v>16</v>
      </c>
      <c r="F82" t="s">
        <v>17</v>
      </c>
      <c r="G82" s="4">
        <v>104616</v>
      </c>
      <c r="H82" s="4">
        <v>4048</v>
      </c>
      <c r="I82" s="5">
        <v>3.8699999999999998E-2</v>
      </c>
      <c r="J82" s="2">
        <v>1.77</v>
      </c>
      <c r="K82" s="6">
        <v>7164.96</v>
      </c>
      <c r="L82" s="4">
        <v>233</v>
      </c>
      <c r="M82" s="2">
        <v>30.75</v>
      </c>
      <c r="N82" s="6">
        <v>45906.84</v>
      </c>
      <c r="O82" s="6">
        <f t="shared" si="6"/>
        <v>38741.879999999997</v>
      </c>
      <c r="P82" s="6">
        <f t="shared" si="7"/>
        <v>5.4071313726803778</v>
      </c>
      <c r="Q82" s="3">
        <v>6.41</v>
      </c>
      <c r="R82" t="str">
        <f t="shared" si="8"/>
        <v>High</v>
      </c>
      <c r="S82" t="str">
        <f t="shared" si="9"/>
        <v>Valid</v>
      </c>
    </row>
    <row r="83" spans="1:19" x14ac:dyDescent="0.25">
      <c r="A83" s="1">
        <v>45336</v>
      </c>
      <c r="B83" s="1" t="str">
        <f t="shared" si="5"/>
        <v>2024-02</v>
      </c>
      <c r="C83" t="s">
        <v>18</v>
      </c>
      <c r="D83" t="s">
        <v>21</v>
      </c>
      <c r="E83" t="s">
        <v>22</v>
      </c>
      <c r="F83" t="s">
        <v>27</v>
      </c>
      <c r="G83" s="4">
        <v>79553</v>
      </c>
      <c r="H83" s="4">
        <v>2712</v>
      </c>
      <c r="I83" s="5">
        <v>3.4099999999999998E-2</v>
      </c>
      <c r="J83" s="2">
        <v>0.31</v>
      </c>
      <c r="K83" s="6">
        <v>840.72</v>
      </c>
      <c r="L83" s="4">
        <v>170</v>
      </c>
      <c r="M83" s="2">
        <v>4.95</v>
      </c>
      <c r="N83" s="6">
        <v>16973.79</v>
      </c>
      <c r="O83" s="6">
        <f t="shared" si="6"/>
        <v>16133.070000000002</v>
      </c>
      <c r="P83" s="6">
        <f t="shared" si="7"/>
        <v>19.189587496431631</v>
      </c>
      <c r="Q83" s="3">
        <v>20.190000000000001</v>
      </c>
      <c r="R83" t="str">
        <f t="shared" si="8"/>
        <v>High</v>
      </c>
      <c r="S83" t="str">
        <f t="shared" si="9"/>
        <v>Valid</v>
      </c>
    </row>
    <row r="84" spans="1:19" x14ac:dyDescent="0.25">
      <c r="A84" s="1">
        <v>45524</v>
      </c>
      <c r="B84" s="1" t="str">
        <f t="shared" si="5"/>
        <v>2024-08</v>
      </c>
      <c r="C84" t="s">
        <v>14</v>
      </c>
      <c r="D84" t="s">
        <v>15</v>
      </c>
      <c r="E84" t="s">
        <v>16</v>
      </c>
      <c r="F84" t="s">
        <v>23</v>
      </c>
      <c r="G84" s="4">
        <v>170904</v>
      </c>
      <c r="H84" s="4">
        <v>4751</v>
      </c>
      <c r="I84" s="5">
        <v>2.7799999999999998E-2</v>
      </c>
      <c r="J84" s="2">
        <v>1.1200000000000001</v>
      </c>
      <c r="K84" s="6">
        <v>5321.12</v>
      </c>
      <c r="L84" s="4">
        <v>326</v>
      </c>
      <c r="M84" s="2">
        <v>16.32</v>
      </c>
      <c r="N84" s="6">
        <v>44297.15</v>
      </c>
      <c r="O84" s="6">
        <f t="shared" si="6"/>
        <v>38976.03</v>
      </c>
      <c r="P84" s="6">
        <f t="shared" si="7"/>
        <v>7.3247793697567429</v>
      </c>
      <c r="Q84" s="3">
        <v>8.32</v>
      </c>
      <c r="R84" t="str">
        <f t="shared" si="8"/>
        <v>High</v>
      </c>
      <c r="S84" t="str">
        <f t="shared" si="9"/>
        <v>Valid</v>
      </c>
    </row>
    <row r="85" spans="1:19" x14ac:dyDescent="0.25">
      <c r="A85" s="1">
        <v>45487</v>
      </c>
      <c r="B85" s="1" t="str">
        <f t="shared" si="5"/>
        <v>2024-07</v>
      </c>
      <c r="C85" t="s">
        <v>14</v>
      </c>
      <c r="D85" t="s">
        <v>15</v>
      </c>
      <c r="E85" t="s">
        <v>22</v>
      </c>
      <c r="F85" t="s">
        <v>31</v>
      </c>
      <c r="G85" s="4">
        <v>88807</v>
      </c>
      <c r="H85" s="4">
        <v>4999</v>
      </c>
      <c r="I85" s="5">
        <v>5.6300000000000003E-2</v>
      </c>
      <c r="J85" s="2">
        <v>2.37</v>
      </c>
      <c r="K85" s="6">
        <v>11847.63</v>
      </c>
      <c r="L85" s="4">
        <v>348</v>
      </c>
      <c r="M85" s="2">
        <v>34.04</v>
      </c>
      <c r="N85" s="6">
        <v>103474.34</v>
      </c>
      <c r="O85" s="6">
        <f t="shared" si="6"/>
        <v>91626.709999999992</v>
      </c>
      <c r="P85" s="6">
        <f t="shared" si="7"/>
        <v>7.733758566059203</v>
      </c>
      <c r="Q85" s="3">
        <v>8.73</v>
      </c>
      <c r="R85" t="str">
        <f t="shared" si="8"/>
        <v>High</v>
      </c>
      <c r="S85" t="str">
        <f t="shared" si="9"/>
        <v>Valid</v>
      </c>
    </row>
    <row r="86" spans="1:19" x14ac:dyDescent="0.25">
      <c r="A86" s="1">
        <v>45518</v>
      </c>
      <c r="B86" s="1" t="str">
        <f t="shared" si="5"/>
        <v>2024-08</v>
      </c>
      <c r="C86" t="s">
        <v>28</v>
      </c>
      <c r="D86" t="s">
        <v>24</v>
      </c>
      <c r="E86" t="s">
        <v>19</v>
      </c>
      <c r="F86" t="s">
        <v>27</v>
      </c>
      <c r="G86" s="4">
        <v>157499</v>
      </c>
      <c r="H86" s="4">
        <v>1574</v>
      </c>
      <c r="I86" s="5">
        <v>0.01</v>
      </c>
      <c r="J86" s="2">
        <v>1.76</v>
      </c>
      <c r="K86" s="6">
        <v>2770.24</v>
      </c>
      <c r="L86" s="4">
        <v>45</v>
      </c>
      <c r="M86" s="2">
        <v>61.56</v>
      </c>
      <c r="N86" s="6">
        <v>13465.06</v>
      </c>
      <c r="O86" s="6">
        <f t="shared" si="6"/>
        <v>10694.82</v>
      </c>
      <c r="P86" s="6">
        <f t="shared" si="7"/>
        <v>3.8606113549728547</v>
      </c>
      <c r="Q86" s="3">
        <v>4.8600000000000003</v>
      </c>
      <c r="R86" t="str">
        <f t="shared" si="8"/>
        <v>High</v>
      </c>
      <c r="S86" t="str">
        <f t="shared" si="9"/>
        <v>Valid</v>
      </c>
    </row>
    <row r="87" spans="1:19" x14ac:dyDescent="0.25">
      <c r="A87" s="1">
        <v>45562</v>
      </c>
      <c r="B87" s="1" t="str">
        <f t="shared" si="5"/>
        <v>2024-09</v>
      </c>
      <c r="C87" t="s">
        <v>28</v>
      </c>
      <c r="D87" t="s">
        <v>15</v>
      </c>
      <c r="E87" t="s">
        <v>30</v>
      </c>
      <c r="F87" t="s">
        <v>32</v>
      </c>
      <c r="G87" s="4">
        <v>46846</v>
      </c>
      <c r="H87" s="4">
        <v>983</v>
      </c>
      <c r="I87" s="5">
        <v>2.1000000000000001E-2</v>
      </c>
      <c r="J87" s="2">
        <v>0.72</v>
      </c>
      <c r="K87" s="6">
        <v>707.76</v>
      </c>
      <c r="L87" s="4">
        <v>11</v>
      </c>
      <c r="M87" s="2">
        <v>64.34</v>
      </c>
      <c r="N87" s="6">
        <v>2501.87</v>
      </c>
      <c r="O87" s="6">
        <f t="shared" si="6"/>
        <v>1794.11</v>
      </c>
      <c r="P87" s="6">
        <f t="shared" si="7"/>
        <v>2.5349129648468405</v>
      </c>
      <c r="Q87" s="3">
        <v>3.53</v>
      </c>
      <c r="R87" t="str">
        <f t="shared" si="8"/>
        <v>High</v>
      </c>
      <c r="S87" t="str">
        <f t="shared" si="9"/>
        <v>Valid</v>
      </c>
    </row>
    <row r="88" spans="1:19" x14ac:dyDescent="0.25">
      <c r="A88" s="1">
        <v>45553</v>
      </c>
      <c r="B88" s="1" t="str">
        <f t="shared" si="5"/>
        <v>2024-09</v>
      </c>
      <c r="C88" t="s">
        <v>18</v>
      </c>
      <c r="D88" t="s">
        <v>15</v>
      </c>
      <c r="E88" t="s">
        <v>16</v>
      </c>
      <c r="F88" t="s">
        <v>26</v>
      </c>
      <c r="G88" s="4">
        <v>104986</v>
      </c>
      <c r="H88" s="4">
        <v>6131</v>
      </c>
      <c r="I88" s="5">
        <v>5.8400000000000001E-2</v>
      </c>
      <c r="J88" s="2">
        <v>0.36</v>
      </c>
      <c r="K88" s="6">
        <v>2207.16</v>
      </c>
      <c r="L88" s="4">
        <v>219</v>
      </c>
      <c r="M88" s="2">
        <v>10.08</v>
      </c>
      <c r="N88" s="6">
        <v>57679.5</v>
      </c>
      <c r="O88" s="6">
        <f t="shared" si="6"/>
        <v>55472.34</v>
      </c>
      <c r="P88" s="6">
        <f t="shared" si="7"/>
        <v>25.132903822106236</v>
      </c>
      <c r="Q88" s="3">
        <v>26.13</v>
      </c>
      <c r="R88" t="str">
        <f t="shared" si="8"/>
        <v>High</v>
      </c>
      <c r="S88" t="str">
        <f t="shared" si="9"/>
        <v>Valid</v>
      </c>
    </row>
    <row r="89" spans="1:19" x14ac:dyDescent="0.25">
      <c r="A89" s="1">
        <v>45436</v>
      </c>
      <c r="B89" s="1" t="str">
        <f t="shared" si="5"/>
        <v>2024-05</v>
      </c>
      <c r="C89" t="s">
        <v>28</v>
      </c>
      <c r="D89" t="s">
        <v>24</v>
      </c>
      <c r="E89" t="s">
        <v>19</v>
      </c>
      <c r="F89" t="s">
        <v>31</v>
      </c>
      <c r="G89" s="4">
        <v>172516</v>
      </c>
      <c r="H89" s="4">
        <v>6314</v>
      </c>
      <c r="I89" s="5">
        <v>3.6600000000000001E-2</v>
      </c>
      <c r="J89" s="2">
        <v>0.72</v>
      </c>
      <c r="K89" s="6">
        <v>4546.08</v>
      </c>
      <c r="L89" s="4">
        <v>335</v>
      </c>
      <c r="M89" s="2">
        <v>13.57</v>
      </c>
      <c r="N89" s="6">
        <v>82096.800000000003</v>
      </c>
      <c r="O89" s="6">
        <f t="shared" si="6"/>
        <v>77550.720000000001</v>
      </c>
      <c r="P89" s="6">
        <f t="shared" si="7"/>
        <v>17.058811107591595</v>
      </c>
      <c r="Q89" s="3">
        <v>18.059999999999999</v>
      </c>
      <c r="R89" t="str">
        <f t="shared" si="8"/>
        <v>High</v>
      </c>
      <c r="S89" t="str">
        <f t="shared" si="9"/>
        <v>Valid</v>
      </c>
    </row>
    <row r="90" spans="1:19" x14ac:dyDescent="0.25">
      <c r="A90" s="1">
        <v>45527</v>
      </c>
      <c r="B90" s="1" t="str">
        <f t="shared" si="5"/>
        <v>2024-08</v>
      </c>
      <c r="C90" t="s">
        <v>28</v>
      </c>
      <c r="D90" t="s">
        <v>29</v>
      </c>
      <c r="E90" t="s">
        <v>30</v>
      </c>
      <c r="F90" t="s">
        <v>31</v>
      </c>
      <c r="G90" s="4">
        <v>187099</v>
      </c>
      <c r="H90" s="4">
        <v>2469</v>
      </c>
      <c r="I90" s="5">
        <v>1.32E-2</v>
      </c>
      <c r="J90" s="2">
        <v>0.83</v>
      </c>
      <c r="K90" s="6">
        <v>2049.27</v>
      </c>
      <c r="L90" s="4">
        <v>103</v>
      </c>
      <c r="M90" s="2">
        <v>19.899999999999999</v>
      </c>
      <c r="N90" s="6">
        <v>3413.17</v>
      </c>
      <c r="O90" s="6">
        <f t="shared" si="6"/>
        <v>1363.9</v>
      </c>
      <c r="P90" s="6">
        <f t="shared" si="7"/>
        <v>0.66555407535366262</v>
      </c>
      <c r="Q90" s="3">
        <v>1.67</v>
      </c>
      <c r="R90" t="str">
        <f t="shared" si="8"/>
        <v>Medium</v>
      </c>
      <c r="S90" t="str">
        <f t="shared" si="9"/>
        <v>Valid</v>
      </c>
    </row>
    <row r="91" spans="1:19" x14ac:dyDescent="0.25">
      <c r="A91" s="1">
        <v>45386</v>
      </c>
      <c r="B91" s="1" t="str">
        <f t="shared" si="5"/>
        <v>2024-04</v>
      </c>
      <c r="C91" t="s">
        <v>14</v>
      </c>
      <c r="D91" t="s">
        <v>24</v>
      </c>
      <c r="E91" t="s">
        <v>25</v>
      </c>
      <c r="F91" t="s">
        <v>31</v>
      </c>
      <c r="G91" s="4">
        <v>111661</v>
      </c>
      <c r="H91" s="4">
        <v>3930</v>
      </c>
      <c r="I91" s="5">
        <v>3.5200000000000002E-2</v>
      </c>
      <c r="J91" s="2">
        <v>0.84</v>
      </c>
      <c r="K91" s="6">
        <v>3301.2</v>
      </c>
      <c r="L91" s="4">
        <v>310</v>
      </c>
      <c r="M91" s="2">
        <v>10.65</v>
      </c>
      <c r="N91" s="6">
        <v>21226.880000000001</v>
      </c>
      <c r="O91" s="6">
        <f t="shared" si="6"/>
        <v>17925.68</v>
      </c>
      <c r="P91" s="6">
        <f t="shared" si="7"/>
        <v>5.4300496789046413</v>
      </c>
      <c r="Q91" s="3">
        <v>6.43</v>
      </c>
      <c r="R91" t="str">
        <f t="shared" si="8"/>
        <v>High</v>
      </c>
      <c r="S91" t="str">
        <f t="shared" si="9"/>
        <v>Valid</v>
      </c>
    </row>
    <row r="92" spans="1:19" x14ac:dyDescent="0.25">
      <c r="A92" s="1">
        <v>45452</v>
      </c>
      <c r="B92" s="1" t="str">
        <f t="shared" si="5"/>
        <v>2024-06</v>
      </c>
      <c r="C92" t="s">
        <v>28</v>
      </c>
      <c r="D92" t="s">
        <v>29</v>
      </c>
      <c r="E92" t="s">
        <v>19</v>
      </c>
      <c r="F92" t="s">
        <v>26</v>
      </c>
      <c r="G92" s="4">
        <v>79441</v>
      </c>
      <c r="H92" s="4">
        <v>3082</v>
      </c>
      <c r="I92" s="5">
        <v>3.8800000000000001E-2</v>
      </c>
      <c r="J92" s="2">
        <v>0.53</v>
      </c>
      <c r="K92" s="6">
        <v>1633.46</v>
      </c>
      <c r="L92" s="4">
        <v>100</v>
      </c>
      <c r="M92" s="2">
        <v>16.329999999999998</v>
      </c>
      <c r="N92" s="6">
        <v>29391.59</v>
      </c>
      <c r="O92" s="6">
        <f t="shared" si="6"/>
        <v>27758.13</v>
      </c>
      <c r="P92" s="6">
        <f t="shared" si="7"/>
        <v>16.993455609564972</v>
      </c>
      <c r="Q92" s="3">
        <v>17.989999999999998</v>
      </c>
      <c r="R92" t="str">
        <f t="shared" si="8"/>
        <v>High</v>
      </c>
      <c r="S92" t="str">
        <f t="shared" si="9"/>
        <v>Valid</v>
      </c>
    </row>
    <row r="93" spans="1:19" x14ac:dyDescent="0.25">
      <c r="A93" s="1">
        <v>45397</v>
      </c>
      <c r="B93" s="1" t="str">
        <f t="shared" si="5"/>
        <v>2024-04</v>
      </c>
      <c r="C93" t="s">
        <v>14</v>
      </c>
      <c r="D93" t="s">
        <v>29</v>
      </c>
      <c r="E93" t="s">
        <v>25</v>
      </c>
      <c r="F93" t="s">
        <v>32</v>
      </c>
      <c r="G93" s="4">
        <v>14078</v>
      </c>
      <c r="H93" s="4">
        <v>763</v>
      </c>
      <c r="I93" s="5">
        <v>5.4199999999999998E-2</v>
      </c>
      <c r="J93" s="2">
        <v>2.2599999999999998</v>
      </c>
      <c r="K93" s="6">
        <v>1724.38</v>
      </c>
      <c r="L93" s="4">
        <v>57</v>
      </c>
      <c r="M93" s="2">
        <v>30.25</v>
      </c>
      <c r="N93" s="6">
        <v>16289.72</v>
      </c>
      <c r="O93" s="6">
        <f t="shared" si="6"/>
        <v>14565.34</v>
      </c>
      <c r="P93" s="6">
        <f t="shared" si="7"/>
        <v>8.446711281736043</v>
      </c>
      <c r="Q93" s="3">
        <v>9.4499999999999993</v>
      </c>
      <c r="R93" t="str">
        <f t="shared" si="8"/>
        <v>High</v>
      </c>
      <c r="S93" t="str">
        <f t="shared" si="9"/>
        <v>Valid</v>
      </c>
    </row>
    <row r="94" spans="1:19" x14ac:dyDescent="0.25">
      <c r="A94" s="1">
        <v>45298</v>
      </c>
      <c r="B94" s="1" t="str">
        <f t="shared" si="5"/>
        <v>2024-01</v>
      </c>
      <c r="C94" t="s">
        <v>28</v>
      </c>
      <c r="D94" t="s">
        <v>24</v>
      </c>
      <c r="E94" t="s">
        <v>16</v>
      </c>
      <c r="F94" t="s">
        <v>32</v>
      </c>
      <c r="G94" s="4">
        <v>182235</v>
      </c>
      <c r="H94" s="4">
        <v>5047</v>
      </c>
      <c r="I94" s="5">
        <v>2.7699999999999999E-2</v>
      </c>
      <c r="J94" s="2">
        <v>0.74</v>
      </c>
      <c r="K94" s="6">
        <v>3734.78</v>
      </c>
      <c r="L94" s="4">
        <v>260</v>
      </c>
      <c r="M94" s="2">
        <v>14.36</v>
      </c>
      <c r="N94" s="6">
        <v>53450.65</v>
      </c>
      <c r="O94" s="6">
        <f t="shared" si="6"/>
        <v>49715.87</v>
      </c>
      <c r="P94" s="6">
        <f t="shared" si="7"/>
        <v>13.311592650704995</v>
      </c>
      <c r="Q94" s="3">
        <v>14.31</v>
      </c>
      <c r="R94" t="str">
        <f t="shared" si="8"/>
        <v>High</v>
      </c>
      <c r="S94" t="str">
        <f t="shared" si="9"/>
        <v>Valid</v>
      </c>
    </row>
    <row r="95" spans="1:19" x14ac:dyDescent="0.25">
      <c r="A95" s="1">
        <v>45346</v>
      </c>
      <c r="B95" s="1" t="str">
        <f t="shared" si="5"/>
        <v>2024-02</v>
      </c>
      <c r="C95" t="s">
        <v>28</v>
      </c>
      <c r="D95" t="s">
        <v>21</v>
      </c>
      <c r="E95" t="s">
        <v>25</v>
      </c>
      <c r="F95" t="s">
        <v>27</v>
      </c>
      <c r="G95" s="4">
        <v>128629</v>
      </c>
      <c r="H95" s="4">
        <v>2109</v>
      </c>
      <c r="I95" s="5">
        <v>1.6400000000000001E-2</v>
      </c>
      <c r="J95" s="2">
        <v>1.29</v>
      </c>
      <c r="K95" s="6">
        <v>2720.61</v>
      </c>
      <c r="L95" s="4">
        <v>168</v>
      </c>
      <c r="M95" s="2">
        <v>16.190000000000001</v>
      </c>
      <c r="N95" s="6">
        <v>49256.62</v>
      </c>
      <c r="O95" s="6">
        <f t="shared" si="6"/>
        <v>46536.01</v>
      </c>
      <c r="P95" s="6">
        <f t="shared" si="7"/>
        <v>17.104991160070718</v>
      </c>
      <c r="Q95" s="3">
        <v>18.100000000000001</v>
      </c>
      <c r="R95" t="str">
        <f t="shared" si="8"/>
        <v>High</v>
      </c>
      <c r="S95" t="str">
        <f t="shared" si="9"/>
        <v>Valid</v>
      </c>
    </row>
    <row r="96" spans="1:19" x14ac:dyDescent="0.25">
      <c r="A96" s="1">
        <v>45384</v>
      </c>
      <c r="B96" s="1" t="str">
        <f t="shared" si="5"/>
        <v>2024-04</v>
      </c>
      <c r="C96" t="s">
        <v>28</v>
      </c>
      <c r="D96" t="s">
        <v>29</v>
      </c>
      <c r="E96" t="s">
        <v>16</v>
      </c>
      <c r="F96" t="s">
        <v>27</v>
      </c>
      <c r="G96" s="4">
        <v>21309</v>
      </c>
      <c r="H96" s="4">
        <v>432</v>
      </c>
      <c r="I96" s="5">
        <v>2.0299999999999999E-2</v>
      </c>
      <c r="J96" s="2">
        <v>1.66</v>
      </c>
      <c r="K96" s="6">
        <v>717.12</v>
      </c>
      <c r="L96" s="4">
        <v>15</v>
      </c>
      <c r="M96" s="2">
        <v>47.81</v>
      </c>
      <c r="N96" s="6">
        <v>4449.9799999999996</v>
      </c>
      <c r="O96" s="6">
        <f t="shared" si="6"/>
        <v>3732.8599999999997</v>
      </c>
      <c r="P96" s="6">
        <f t="shared" si="7"/>
        <v>5.2053491744756801</v>
      </c>
      <c r="Q96" s="3">
        <v>6.21</v>
      </c>
      <c r="R96" t="str">
        <f t="shared" si="8"/>
        <v>High</v>
      </c>
      <c r="S96" t="str">
        <f t="shared" si="9"/>
        <v>Valid</v>
      </c>
    </row>
    <row r="97" spans="1:19" x14ac:dyDescent="0.25">
      <c r="A97" s="1">
        <v>45541</v>
      </c>
      <c r="B97" s="1" t="str">
        <f t="shared" si="5"/>
        <v>2024-09</v>
      </c>
      <c r="C97" t="s">
        <v>14</v>
      </c>
      <c r="D97" t="s">
        <v>15</v>
      </c>
      <c r="E97" t="s">
        <v>16</v>
      </c>
      <c r="F97" t="s">
        <v>23</v>
      </c>
      <c r="G97" s="4">
        <v>167932</v>
      </c>
      <c r="H97" s="4">
        <v>6717</v>
      </c>
      <c r="I97" s="5">
        <v>0.04</v>
      </c>
      <c r="J97" s="2">
        <v>2.46</v>
      </c>
      <c r="K97" s="6">
        <v>16523.82</v>
      </c>
      <c r="L97" s="4">
        <v>247</v>
      </c>
      <c r="M97" s="2">
        <v>66.900000000000006</v>
      </c>
      <c r="N97" s="6">
        <v>38475.06</v>
      </c>
      <c r="O97" s="6">
        <f t="shared" si="6"/>
        <v>21951.239999999998</v>
      </c>
      <c r="P97" s="6">
        <f t="shared" si="7"/>
        <v>1.3284603681231095</v>
      </c>
      <c r="Q97" s="3">
        <v>2.33</v>
      </c>
      <c r="R97" t="str">
        <f t="shared" si="8"/>
        <v>Medium</v>
      </c>
      <c r="S97" t="str">
        <f t="shared" si="9"/>
        <v>Valid</v>
      </c>
    </row>
    <row r="98" spans="1:19" x14ac:dyDescent="0.25">
      <c r="A98" s="1">
        <v>45299</v>
      </c>
      <c r="B98" s="1" t="str">
        <f t="shared" si="5"/>
        <v>2024-01</v>
      </c>
      <c r="C98" t="s">
        <v>18</v>
      </c>
      <c r="D98" t="s">
        <v>15</v>
      </c>
      <c r="E98" t="s">
        <v>16</v>
      </c>
      <c r="F98" t="s">
        <v>20</v>
      </c>
      <c r="G98" s="4">
        <v>162795</v>
      </c>
      <c r="H98" s="4">
        <v>8107</v>
      </c>
      <c r="I98" s="5">
        <v>4.9799999999999997E-2</v>
      </c>
      <c r="J98" s="2">
        <v>0.96</v>
      </c>
      <c r="K98" s="6">
        <v>7782.72</v>
      </c>
      <c r="L98" s="4">
        <v>575</v>
      </c>
      <c r="M98" s="2">
        <v>13.54</v>
      </c>
      <c r="N98" s="6">
        <v>86383.64</v>
      </c>
      <c r="O98" s="6">
        <f t="shared" si="6"/>
        <v>78600.92</v>
      </c>
      <c r="P98" s="6">
        <f t="shared" si="7"/>
        <v>10.099415114510094</v>
      </c>
      <c r="Q98" s="3">
        <v>11.1</v>
      </c>
      <c r="R98" t="str">
        <f t="shared" si="8"/>
        <v>High</v>
      </c>
      <c r="S98" t="str">
        <f t="shared" si="9"/>
        <v>Valid</v>
      </c>
    </row>
    <row r="99" spans="1:19" x14ac:dyDescent="0.25">
      <c r="A99" s="1">
        <v>45522</v>
      </c>
      <c r="B99" s="1" t="str">
        <f t="shared" si="5"/>
        <v>2024-08</v>
      </c>
      <c r="C99" t="s">
        <v>28</v>
      </c>
      <c r="D99" t="s">
        <v>15</v>
      </c>
      <c r="E99" t="s">
        <v>19</v>
      </c>
      <c r="F99" t="s">
        <v>20</v>
      </c>
      <c r="G99" s="4">
        <v>50893</v>
      </c>
      <c r="H99" s="4">
        <v>1124</v>
      </c>
      <c r="I99" s="5">
        <v>2.2100000000000002E-2</v>
      </c>
      <c r="J99" s="2">
        <v>1.41</v>
      </c>
      <c r="K99" s="6">
        <v>1584.84</v>
      </c>
      <c r="L99" s="4">
        <v>29</v>
      </c>
      <c r="M99" s="2">
        <v>54.65</v>
      </c>
      <c r="N99" s="6">
        <v>2707.5</v>
      </c>
      <c r="O99" s="6">
        <f t="shared" si="6"/>
        <v>1122.6600000000001</v>
      </c>
      <c r="P99" s="6">
        <f t="shared" si="7"/>
        <v>0.70837434693723034</v>
      </c>
      <c r="Q99" s="3">
        <v>1.71</v>
      </c>
      <c r="R99" t="str">
        <f t="shared" si="8"/>
        <v>Medium</v>
      </c>
      <c r="S99" t="str">
        <f t="shared" si="9"/>
        <v>Valid</v>
      </c>
    </row>
    <row r="100" spans="1:19" x14ac:dyDescent="0.25">
      <c r="A100" s="1">
        <v>45557</v>
      </c>
      <c r="B100" s="1" t="str">
        <f t="shared" si="5"/>
        <v>2024-09</v>
      </c>
      <c r="C100" t="s">
        <v>18</v>
      </c>
      <c r="D100" t="s">
        <v>29</v>
      </c>
      <c r="E100" t="s">
        <v>25</v>
      </c>
      <c r="F100" t="s">
        <v>17</v>
      </c>
      <c r="G100" s="4">
        <v>81619</v>
      </c>
      <c r="H100" s="4">
        <v>3623</v>
      </c>
      <c r="I100" s="5">
        <v>4.4400000000000002E-2</v>
      </c>
      <c r="J100" s="2">
        <v>0.47</v>
      </c>
      <c r="K100" s="6">
        <v>1702.81</v>
      </c>
      <c r="L100" s="4">
        <v>222</v>
      </c>
      <c r="M100" s="2">
        <v>7.67</v>
      </c>
      <c r="N100" s="6">
        <v>46448.44</v>
      </c>
      <c r="O100" s="6">
        <f t="shared" si="6"/>
        <v>44745.630000000005</v>
      </c>
      <c r="P100" s="6">
        <f t="shared" si="7"/>
        <v>26.277523622717748</v>
      </c>
      <c r="Q100" s="3">
        <v>27.28</v>
      </c>
      <c r="R100" t="str">
        <f t="shared" si="8"/>
        <v>High</v>
      </c>
      <c r="S100" t="str">
        <f t="shared" si="9"/>
        <v>Valid</v>
      </c>
    </row>
    <row r="101" spans="1:19" x14ac:dyDescent="0.25">
      <c r="A101" s="1">
        <v>45498</v>
      </c>
      <c r="B101" s="1" t="str">
        <f t="shared" si="5"/>
        <v>2024-07</v>
      </c>
      <c r="C101" t="s">
        <v>28</v>
      </c>
      <c r="D101" t="s">
        <v>15</v>
      </c>
      <c r="E101" t="s">
        <v>19</v>
      </c>
      <c r="F101" t="s">
        <v>26</v>
      </c>
      <c r="G101" s="4">
        <v>154381</v>
      </c>
      <c r="H101" s="4">
        <v>1698</v>
      </c>
      <c r="I101" s="5">
        <v>1.0999999999999999E-2</v>
      </c>
      <c r="J101" s="2">
        <v>1.85</v>
      </c>
      <c r="K101" s="6">
        <v>3141.3</v>
      </c>
      <c r="L101" s="4">
        <v>70</v>
      </c>
      <c r="M101" s="2">
        <v>44.88</v>
      </c>
      <c r="N101" s="6">
        <v>19750.240000000002</v>
      </c>
      <c r="O101" s="6">
        <f t="shared" si="6"/>
        <v>16608.940000000002</v>
      </c>
      <c r="P101" s="6">
        <f t="shared" si="7"/>
        <v>5.2872823353388725</v>
      </c>
      <c r="Q101" s="3">
        <v>6.29</v>
      </c>
      <c r="R101" t="str">
        <f t="shared" si="8"/>
        <v>High</v>
      </c>
      <c r="S101" t="str">
        <f t="shared" si="9"/>
        <v>Valid</v>
      </c>
    </row>
    <row r="102" spans="1:19" x14ac:dyDescent="0.25">
      <c r="A102" s="1">
        <v>45303</v>
      </c>
      <c r="B102" s="1" t="str">
        <f t="shared" si="5"/>
        <v>2024-01</v>
      </c>
      <c r="C102" t="s">
        <v>14</v>
      </c>
      <c r="D102" t="s">
        <v>15</v>
      </c>
      <c r="E102" t="s">
        <v>16</v>
      </c>
      <c r="F102" t="s">
        <v>31</v>
      </c>
      <c r="G102" s="4">
        <v>124273</v>
      </c>
      <c r="H102" s="4">
        <v>3603</v>
      </c>
      <c r="I102" s="5">
        <v>2.9000000000000001E-2</v>
      </c>
      <c r="J102" s="2">
        <v>1.55</v>
      </c>
      <c r="K102" s="6">
        <v>5584.65</v>
      </c>
      <c r="L102" s="4">
        <v>167</v>
      </c>
      <c r="M102" s="2">
        <v>33.44</v>
      </c>
      <c r="N102" s="6">
        <v>20460.25</v>
      </c>
      <c r="O102" s="6">
        <f t="shared" si="6"/>
        <v>14875.6</v>
      </c>
      <c r="P102" s="6">
        <f t="shared" si="7"/>
        <v>2.6636584208500089</v>
      </c>
      <c r="Q102" s="3">
        <v>3.66</v>
      </c>
      <c r="R102" t="str">
        <f t="shared" si="8"/>
        <v>High</v>
      </c>
      <c r="S102" t="str">
        <f t="shared" si="9"/>
        <v>Valid</v>
      </c>
    </row>
    <row r="103" spans="1:19" x14ac:dyDescent="0.25">
      <c r="A103" s="1">
        <v>45627</v>
      </c>
      <c r="B103" s="1" t="str">
        <f t="shared" si="5"/>
        <v>2024-12</v>
      </c>
      <c r="C103" t="s">
        <v>28</v>
      </c>
      <c r="D103" t="s">
        <v>21</v>
      </c>
      <c r="E103" t="s">
        <v>22</v>
      </c>
      <c r="F103" t="s">
        <v>26</v>
      </c>
      <c r="G103" s="4">
        <v>6969</v>
      </c>
      <c r="H103" s="4">
        <v>176</v>
      </c>
      <c r="I103" s="5">
        <v>2.53E-2</v>
      </c>
      <c r="J103" s="2">
        <v>1.08</v>
      </c>
      <c r="K103" s="6">
        <v>190.08</v>
      </c>
      <c r="L103" s="4">
        <v>10</v>
      </c>
      <c r="M103" s="2">
        <v>19.010000000000002</v>
      </c>
      <c r="N103" s="6">
        <v>2562.91</v>
      </c>
      <c r="O103" s="6">
        <f t="shared" si="6"/>
        <v>2372.83</v>
      </c>
      <c r="P103" s="6">
        <f t="shared" si="7"/>
        <v>12.48332281144781</v>
      </c>
      <c r="Q103" s="3">
        <v>13.48</v>
      </c>
      <c r="R103" t="str">
        <f t="shared" si="8"/>
        <v>High</v>
      </c>
      <c r="S103" t="str">
        <f t="shared" si="9"/>
        <v>Valid</v>
      </c>
    </row>
    <row r="104" spans="1:19" x14ac:dyDescent="0.25">
      <c r="A104" s="1">
        <v>45436</v>
      </c>
      <c r="B104" s="1" t="str">
        <f t="shared" si="5"/>
        <v>2024-05</v>
      </c>
      <c r="C104" t="s">
        <v>18</v>
      </c>
      <c r="D104" t="s">
        <v>29</v>
      </c>
      <c r="E104" t="s">
        <v>25</v>
      </c>
      <c r="F104" t="s">
        <v>20</v>
      </c>
      <c r="G104" s="4">
        <v>29089</v>
      </c>
      <c r="H104" s="4">
        <v>1076</v>
      </c>
      <c r="I104" s="5">
        <v>3.6999999999999998E-2</v>
      </c>
      <c r="J104" s="2">
        <v>0.65</v>
      </c>
      <c r="K104" s="6">
        <v>699.4</v>
      </c>
      <c r="L104" s="4">
        <v>40</v>
      </c>
      <c r="M104" s="2">
        <v>17.48</v>
      </c>
      <c r="N104" s="6">
        <v>8233.32</v>
      </c>
      <c r="O104" s="6">
        <f t="shared" si="6"/>
        <v>7533.92</v>
      </c>
      <c r="P104" s="6">
        <f t="shared" si="7"/>
        <v>10.771975979410923</v>
      </c>
      <c r="Q104" s="3">
        <v>11.77</v>
      </c>
      <c r="R104" t="str">
        <f t="shared" si="8"/>
        <v>High</v>
      </c>
      <c r="S104" t="str">
        <f t="shared" si="9"/>
        <v>Valid</v>
      </c>
    </row>
    <row r="105" spans="1:19" x14ac:dyDescent="0.25">
      <c r="A105" s="1">
        <v>45483</v>
      </c>
      <c r="B105" s="1" t="str">
        <f t="shared" si="5"/>
        <v>2024-07</v>
      </c>
      <c r="C105" t="s">
        <v>14</v>
      </c>
      <c r="D105" t="s">
        <v>24</v>
      </c>
      <c r="E105" t="s">
        <v>25</v>
      </c>
      <c r="F105" t="s">
        <v>20</v>
      </c>
      <c r="G105" s="4">
        <v>10704</v>
      </c>
      <c r="H105" s="4">
        <v>489</v>
      </c>
      <c r="I105" s="5">
        <v>4.5699999999999998E-2</v>
      </c>
      <c r="J105" s="2">
        <v>1.71</v>
      </c>
      <c r="K105" s="6">
        <v>836.19</v>
      </c>
      <c r="L105" s="4">
        <v>36</v>
      </c>
      <c r="M105" s="2">
        <v>23.23</v>
      </c>
      <c r="N105" s="6">
        <v>5339.04</v>
      </c>
      <c r="O105" s="6">
        <f t="shared" si="6"/>
        <v>4502.8500000000004</v>
      </c>
      <c r="P105" s="6">
        <f t="shared" si="7"/>
        <v>5.3849603558999748</v>
      </c>
      <c r="Q105" s="3">
        <v>6.38</v>
      </c>
      <c r="R105" t="str">
        <f t="shared" si="8"/>
        <v>High</v>
      </c>
      <c r="S105" t="str">
        <f t="shared" si="9"/>
        <v>Valid</v>
      </c>
    </row>
    <row r="106" spans="1:19" x14ac:dyDescent="0.25">
      <c r="A106" s="1">
        <v>45630</v>
      </c>
      <c r="B106" s="1" t="str">
        <f t="shared" si="5"/>
        <v>2024-12</v>
      </c>
      <c r="C106" t="s">
        <v>18</v>
      </c>
      <c r="D106" t="s">
        <v>15</v>
      </c>
      <c r="E106" t="s">
        <v>30</v>
      </c>
      <c r="F106" t="s">
        <v>32</v>
      </c>
      <c r="G106" s="4">
        <v>22772</v>
      </c>
      <c r="H106" s="4">
        <v>1045</v>
      </c>
      <c r="I106" s="5">
        <v>4.5900000000000003E-2</v>
      </c>
      <c r="J106" s="2">
        <v>0.95</v>
      </c>
      <c r="K106" s="6">
        <v>992.75</v>
      </c>
      <c r="L106" s="4">
        <v>38</v>
      </c>
      <c r="M106" s="2">
        <v>26.12</v>
      </c>
      <c r="N106" s="6">
        <v>5743.6</v>
      </c>
      <c r="O106" s="6">
        <f t="shared" si="6"/>
        <v>4750.8500000000004</v>
      </c>
      <c r="P106" s="6">
        <f t="shared" si="7"/>
        <v>4.7855452027197183</v>
      </c>
      <c r="Q106" s="3">
        <v>5.79</v>
      </c>
      <c r="R106" t="str">
        <f t="shared" si="8"/>
        <v>High</v>
      </c>
      <c r="S106" t="str">
        <f t="shared" si="9"/>
        <v>Valid</v>
      </c>
    </row>
    <row r="107" spans="1:19" x14ac:dyDescent="0.25">
      <c r="A107" s="1">
        <v>45393</v>
      </c>
      <c r="B107" s="1" t="str">
        <f t="shared" si="5"/>
        <v>2024-04</v>
      </c>
      <c r="C107" t="s">
        <v>14</v>
      </c>
      <c r="D107" t="s">
        <v>15</v>
      </c>
      <c r="E107" t="s">
        <v>16</v>
      </c>
      <c r="F107" t="s">
        <v>26</v>
      </c>
      <c r="G107" s="4">
        <v>68449</v>
      </c>
      <c r="H107" s="4">
        <v>3285</v>
      </c>
      <c r="I107" s="5">
        <v>4.8000000000000001E-2</v>
      </c>
      <c r="J107" s="2">
        <v>2.38</v>
      </c>
      <c r="K107" s="6">
        <v>7818.3</v>
      </c>
      <c r="L107" s="4">
        <v>243</v>
      </c>
      <c r="M107" s="2">
        <v>32.17</v>
      </c>
      <c r="N107" s="6">
        <v>60681.21</v>
      </c>
      <c r="O107" s="6">
        <f t="shared" si="6"/>
        <v>52862.909999999996</v>
      </c>
      <c r="P107" s="6">
        <f t="shared" si="7"/>
        <v>6.7614327922949995</v>
      </c>
      <c r="Q107" s="3">
        <v>7.76</v>
      </c>
      <c r="R107" t="str">
        <f t="shared" si="8"/>
        <v>High</v>
      </c>
      <c r="S107" t="str">
        <f t="shared" si="9"/>
        <v>Valid</v>
      </c>
    </row>
    <row r="108" spans="1:19" x14ac:dyDescent="0.25">
      <c r="A108" s="1">
        <v>45591</v>
      </c>
      <c r="B108" s="1" t="str">
        <f t="shared" si="5"/>
        <v>2024-10</v>
      </c>
      <c r="C108" t="s">
        <v>14</v>
      </c>
      <c r="D108" t="s">
        <v>15</v>
      </c>
      <c r="E108" t="s">
        <v>25</v>
      </c>
      <c r="F108" t="s">
        <v>17</v>
      </c>
      <c r="G108" s="4">
        <v>51819</v>
      </c>
      <c r="H108" s="4">
        <v>2497</v>
      </c>
      <c r="I108" s="5">
        <v>4.82E-2</v>
      </c>
      <c r="J108" s="2">
        <v>2.88</v>
      </c>
      <c r="K108" s="6">
        <v>7191.36</v>
      </c>
      <c r="L108" s="4">
        <v>138</v>
      </c>
      <c r="M108" s="2">
        <v>52.11</v>
      </c>
      <c r="N108" s="6">
        <v>37600.620000000003</v>
      </c>
      <c r="O108" s="6">
        <f t="shared" si="6"/>
        <v>30409.260000000002</v>
      </c>
      <c r="P108" s="6">
        <f t="shared" si="7"/>
        <v>4.2285826324923246</v>
      </c>
      <c r="Q108" s="3">
        <v>5.23</v>
      </c>
      <c r="R108" t="str">
        <f t="shared" si="8"/>
        <v>High</v>
      </c>
      <c r="S108" t="str">
        <f t="shared" si="9"/>
        <v>Valid</v>
      </c>
    </row>
    <row r="109" spans="1:19" x14ac:dyDescent="0.25">
      <c r="A109" s="1">
        <v>45615</v>
      </c>
      <c r="B109" s="1" t="str">
        <f t="shared" si="5"/>
        <v>2024-11</v>
      </c>
      <c r="C109" t="s">
        <v>14</v>
      </c>
      <c r="D109" t="s">
        <v>21</v>
      </c>
      <c r="E109" t="s">
        <v>16</v>
      </c>
      <c r="F109" t="s">
        <v>32</v>
      </c>
      <c r="G109" s="4">
        <v>173722</v>
      </c>
      <c r="H109" s="4">
        <v>3821</v>
      </c>
      <c r="I109" s="5">
        <v>2.1999999999999999E-2</v>
      </c>
      <c r="J109" s="2">
        <v>1.54</v>
      </c>
      <c r="K109" s="6">
        <v>5884.34</v>
      </c>
      <c r="L109" s="4">
        <v>201</v>
      </c>
      <c r="M109" s="2">
        <v>29.28</v>
      </c>
      <c r="N109" s="6">
        <v>44895.5</v>
      </c>
      <c r="O109" s="6">
        <f t="shared" si="6"/>
        <v>39011.160000000003</v>
      </c>
      <c r="P109" s="6">
        <f t="shared" si="7"/>
        <v>6.62965770162839</v>
      </c>
      <c r="Q109" s="3">
        <v>7.63</v>
      </c>
      <c r="R109" t="str">
        <f t="shared" si="8"/>
        <v>High</v>
      </c>
      <c r="S109" t="str">
        <f t="shared" si="9"/>
        <v>Valid</v>
      </c>
    </row>
    <row r="110" spans="1:19" x14ac:dyDescent="0.25">
      <c r="A110" s="1">
        <v>45641</v>
      </c>
      <c r="B110" s="1" t="str">
        <f t="shared" si="5"/>
        <v>2024-12</v>
      </c>
      <c r="C110" t="s">
        <v>14</v>
      </c>
      <c r="D110" t="s">
        <v>24</v>
      </c>
      <c r="E110" t="s">
        <v>25</v>
      </c>
      <c r="F110" t="s">
        <v>23</v>
      </c>
      <c r="G110" s="4">
        <v>119014</v>
      </c>
      <c r="H110" s="4">
        <v>5938</v>
      </c>
      <c r="I110" s="5">
        <v>4.99E-2</v>
      </c>
      <c r="J110" s="2">
        <v>2.88</v>
      </c>
      <c r="K110" s="6">
        <v>17101.439999999999</v>
      </c>
      <c r="L110" s="4">
        <v>95</v>
      </c>
      <c r="M110" s="2">
        <v>180.02</v>
      </c>
      <c r="N110" s="6">
        <v>23773.95</v>
      </c>
      <c r="O110" s="6">
        <f t="shared" si="6"/>
        <v>6672.510000000002</v>
      </c>
      <c r="P110" s="6">
        <f t="shared" si="7"/>
        <v>0.39017240653418672</v>
      </c>
      <c r="Q110" s="3">
        <v>1.39</v>
      </c>
      <c r="R110" t="str">
        <f t="shared" si="8"/>
        <v>Medium</v>
      </c>
      <c r="S110" t="str">
        <f t="shared" si="9"/>
        <v>Valid</v>
      </c>
    </row>
    <row r="111" spans="1:19" x14ac:dyDescent="0.25">
      <c r="A111" s="1">
        <v>45432</v>
      </c>
      <c r="B111" s="1" t="str">
        <f t="shared" si="5"/>
        <v>2024-05</v>
      </c>
      <c r="C111" t="s">
        <v>14</v>
      </c>
      <c r="D111" t="s">
        <v>15</v>
      </c>
      <c r="E111" t="s">
        <v>25</v>
      </c>
      <c r="F111" t="s">
        <v>32</v>
      </c>
      <c r="G111" s="4">
        <v>159741</v>
      </c>
      <c r="H111" s="4">
        <v>6868</v>
      </c>
      <c r="I111" s="5">
        <v>4.2999999999999997E-2</v>
      </c>
      <c r="J111" s="2">
        <v>1.37</v>
      </c>
      <c r="K111" s="6">
        <v>9409.16</v>
      </c>
      <c r="L111" s="4">
        <v>336</v>
      </c>
      <c r="M111" s="2">
        <v>28</v>
      </c>
      <c r="N111" s="6">
        <v>33272.11</v>
      </c>
      <c r="O111" s="6">
        <f t="shared" si="6"/>
        <v>23862.95</v>
      </c>
      <c r="P111" s="6">
        <f t="shared" si="7"/>
        <v>2.5361403143319916</v>
      </c>
      <c r="Q111" s="3">
        <v>3.54</v>
      </c>
      <c r="R111" t="str">
        <f t="shared" si="8"/>
        <v>High</v>
      </c>
      <c r="S111" t="str">
        <f t="shared" si="9"/>
        <v>Valid</v>
      </c>
    </row>
    <row r="112" spans="1:19" x14ac:dyDescent="0.25">
      <c r="A112" s="1">
        <v>45351</v>
      </c>
      <c r="B112" s="1" t="str">
        <f t="shared" si="5"/>
        <v>2024-02</v>
      </c>
      <c r="C112" t="s">
        <v>14</v>
      </c>
      <c r="D112" t="s">
        <v>24</v>
      </c>
      <c r="E112" t="s">
        <v>16</v>
      </c>
      <c r="F112" t="s">
        <v>26</v>
      </c>
      <c r="G112" s="4">
        <v>167982</v>
      </c>
      <c r="H112" s="4">
        <v>7693</v>
      </c>
      <c r="I112" s="5">
        <v>4.58E-2</v>
      </c>
      <c r="J112" s="2">
        <v>2.64</v>
      </c>
      <c r="K112" s="6">
        <v>20309.52</v>
      </c>
      <c r="L112" s="4">
        <v>193</v>
      </c>
      <c r="M112" s="2">
        <v>105.23</v>
      </c>
      <c r="N112" s="6">
        <v>10777.69</v>
      </c>
      <c r="O112" s="6">
        <f t="shared" si="6"/>
        <v>-9531.83</v>
      </c>
      <c r="P112" s="6">
        <f t="shared" si="7"/>
        <v>-0.46932817713072489</v>
      </c>
      <c r="Q112" s="3">
        <v>0.53</v>
      </c>
      <c r="R112" t="str">
        <f t="shared" si="8"/>
        <v>Low</v>
      </c>
      <c r="S112" t="str">
        <f t="shared" si="9"/>
        <v>Valid</v>
      </c>
    </row>
    <row r="113" spans="1:19" x14ac:dyDescent="0.25">
      <c r="A113" s="1">
        <v>45451</v>
      </c>
      <c r="B113" s="1" t="str">
        <f t="shared" si="5"/>
        <v>2024-06</v>
      </c>
      <c r="C113" t="s">
        <v>14</v>
      </c>
      <c r="D113" t="s">
        <v>21</v>
      </c>
      <c r="E113" t="s">
        <v>16</v>
      </c>
      <c r="F113" t="s">
        <v>26</v>
      </c>
      <c r="G113" s="4">
        <v>96658</v>
      </c>
      <c r="H113" s="4">
        <v>2822</v>
      </c>
      <c r="I113" s="5">
        <v>2.92E-2</v>
      </c>
      <c r="J113" s="2">
        <v>3.37</v>
      </c>
      <c r="K113" s="6">
        <v>9510.14</v>
      </c>
      <c r="L113" s="4">
        <v>112</v>
      </c>
      <c r="M113" s="2">
        <v>84.91</v>
      </c>
      <c r="N113" s="6">
        <v>25060.16</v>
      </c>
      <c r="O113" s="6">
        <f t="shared" si="6"/>
        <v>15550.02</v>
      </c>
      <c r="P113" s="6">
        <f t="shared" si="7"/>
        <v>1.6350989575337482</v>
      </c>
      <c r="Q113" s="3">
        <v>2.64</v>
      </c>
      <c r="R113" t="str">
        <f t="shared" si="8"/>
        <v>Medium</v>
      </c>
      <c r="S113" t="str">
        <f t="shared" si="9"/>
        <v>Valid</v>
      </c>
    </row>
    <row r="114" spans="1:19" x14ac:dyDescent="0.25">
      <c r="A114" s="1">
        <v>45310</v>
      </c>
      <c r="B114" s="1" t="str">
        <f t="shared" si="5"/>
        <v>2024-01</v>
      </c>
      <c r="C114" t="s">
        <v>28</v>
      </c>
      <c r="D114" t="s">
        <v>21</v>
      </c>
      <c r="E114" t="s">
        <v>19</v>
      </c>
      <c r="F114" t="s">
        <v>31</v>
      </c>
      <c r="G114" s="4">
        <v>43467</v>
      </c>
      <c r="H114" s="4">
        <v>991</v>
      </c>
      <c r="I114" s="5">
        <v>2.2800000000000001E-2</v>
      </c>
      <c r="J114" s="2">
        <v>1.9</v>
      </c>
      <c r="K114" s="6">
        <v>1882.9</v>
      </c>
      <c r="L114" s="4">
        <v>25</v>
      </c>
      <c r="M114" s="2">
        <v>75.319999999999993</v>
      </c>
      <c r="N114" s="6">
        <v>3146.23</v>
      </c>
      <c r="O114" s="6">
        <f t="shared" si="6"/>
        <v>1263.33</v>
      </c>
      <c r="P114" s="6">
        <f t="shared" si="7"/>
        <v>0.6709490679271336</v>
      </c>
      <c r="Q114" s="3">
        <v>1.67</v>
      </c>
      <c r="R114" t="str">
        <f t="shared" si="8"/>
        <v>Medium</v>
      </c>
      <c r="S114" t="str">
        <f t="shared" si="9"/>
        <v>Valid</v>
      </c>
    </row>
    <row r="115" spans="1:19" x14ac:dyDescent="0.25">
      <c r="A115" s="1">
        <v>45296</v>
      </c>
      <c r="B115" s="1" t="str">
        <f t="shared" si="5"/>
        <v>2024-01</v>
      </c>
      <c r="C115" t="s">
        <v>14</v>
      </c>
      <c r="D115" t="s">
        <v>15</v>
      </c>
      <c r="E115" t="s">
        <v>19</v>
      </c>
      <c r="F115" t="s">
        <v>20</v>
      </c>
      <c r="G115" s="4">
        <v>41378</v>
      </c>
      <c r="H115" s="4">
        <v>2023</v>
      </c>
      <c r="I115" s="5">
        <v>4.8899999999999999E-2</v>
      </c>
      <c r="J115" s="2">
        <v>1.23</v>
      </c>
      <c r="K115" s="6">
        <v>2488.29</v>
      </c>
      <c r="L115" s="4">
        <v>73</v>
      </c>
      <c r="M115" s="2">
        <v>34.090000000000003</v>
      </c>
      <c r="N115" s="6">
        <v>9343.6299999999992</v>
      </c>
      <c r="O115" s="6">
        <f t="shared" si="6"/>
        <v>6855.3399999999992</v>
      </c>
      <c r="P115" s="6">
        <f t="shared" si="7"/>
        <v>2.7550406102182619</v>
      </c>
      <c r="Q115" s="3">
        <v>3.76</v>
      </c>
      <c r="R115" t="str">
        <f t="shared" si="8"/>
        <v>High</v>
      </c>
      <c r="S115" t="str">
        <f t="shared" si="9"/>
        <v>Valid</v>
      </c>
    </row>
    <row r="116" spans="1:19" x14ac:dyDescent="0.25">
      <c r="A116" s="1">
        <v>45591</v>
      </c>
      <c r="B116" s="1" t="str">
        <f t="shared" si="5"/>
        <v>2024-10</v>
      </c>
      <c r="C116" t="s">
        <v>18</v>
      </c>
      <c r="D116" t="s">
        <v>21</v>
      </c>
      <c r="E116" t="s">
        <v>19</v>
      </c>
      <c r="F116" t="s">
        <v>31</v>
      </c>
      <c r="G116" s="4">
        <v>100673</v>
      </c>
      <c r="H116" s="4">
        <v>5718</v>
      </c>
      <c r="I116" s="5">
        <v>5.6800000000000003E-2</v>
      </c>
      <c r="J116" s="2">
        <v>1.05</v>
      </c>
      <c r="K116" s="6">
        <v>6003.9</v>
      </c>
      <c r="L116" s="4">
        <v>196</v>
      </c>
      <c r="M116" s="2">
        <v>30.63</v>
      </c>
      <c r="N116" s="6">
        <v>41067.129999999997</v>
      </c>
      <c r="O116" s="6">
        <f t="shared" si="6"/>
        <v>35063.229999999996</v>
      </c>
      <c r="P116" s="6">
        <f t="shared" si="7"/>
        <v>5.8400756175152813</v>
      </c>
      <c r="Q116" s="3">
        <v>6.84</v>
      </c>
      <c r="R116" t="str">
        <f t="shared" si="8"/>
        <v>High</v>
      </c>
      <c r="S116" t="str">
        <f t="shared" si="9"/>
        <v>Valid</v>
      </c>
    </row>
    <row r="117" spans="1:19" x14ac:dyDescent="0.25">
      <c r="A117" s="1">
        <v>45639</v>
      </c>
      <c r="B117" s="1" t="str">
        <f t="shared" si="5"/>
        <v>2024-12</v>
      </c>
      <c r="C117" t="s">
        <v>18</v>
      </c>
      <c r="D117" t="s">
        <v>24</v>
      </c>
      <c r="E117" t="s">
        <v>22</v>
      </c>
      <c r="F117" t="s">
        <v>32</v>
      </c>
      <c r="G117" s="4">
        <v>191994</v>
      </c>
      <c r="H117" s="4">
        <v>14898</v>
      </c>
      <c r="I117" s="5">
        <v>7.7600000000000002E-2</v>
      </c>
      <c r="J117" s="2">
        <v>1.08</v>
      </c>
      <c r="K117" s="6">
        <v>16089.84</v>
      </c>
      <c r="L117" s="4">
        <v>936</v>
      </c>
      <c r="M117" s="2">
        <v>17.190000000000001</v>
      </c>
      <c r="N117" s="6">
        <v>60355.75</v>
      </c>
      <c r="O117" s="6">
        <f t="shared" si="6"/>
        <v>44265.91</v>
      </c>
      <c r="P117" s="6">
        <f t="shared" si="7"/>
        <v>2.7511715467649154</v>
      </c>
      <c r="Q117" s="3">
        <v>3.75</v>
      </c>
      <c r="R117" t="str">
        <f t="shared" si="8"/>
        <v>High</v>
      </c>
      <c r="S117" t="str">
        <f t="shared" si="9"/>
        <v>Valid</v>
      </c>
    </row>
    <row r="118" spans="1:19" x14ac:dyDescent="0.25">
      <c r="A118" s="1">
        <v>45433</v>
      </c>
      <c r="B118" s="1" t="str">
        <f t="shared" si="5"/>
        <v>2024-05</v>
      </c>
      <c r="C118" t="s">
        <v>18</v>
      </c>
      <c r="D118" t="s">
        <v>29</v>
      </c>
      <c r="E118" t="s">
        <v>19</v>
      </c>
      <c r="F118" t="s">
        <v>20</v>
      </c>
      <c r="G118" s="4">
        <v>152235</v>
      </c>
      <c r="H118" s="4">
        <v>6104</v>
      </c>
      <c r="I118" s="5">
        <v>4.0099999999999997E-2</v>
      </c>
      <c r="J118" s="2">
        <v>0.73</v>
      </c>
      <c r="K118" s="6">
        <v>4455.92</v>
      </c>
      <c r="L118" s="4">
        <v>252</v>
      </c>
      <c r="M118" s="2">
        <v>17.68</v>
      </c>
      <c r="N118" s="6">
        <v>48424.44</v>
      </c>
      <c r="O118" s="6">
        <f t="shared" si="6"/>
        <v>43968.520000000004</v>
      </c>
      <c r="P118" s="6">
        <f t="shared" si="7"/>
        <v>9.8674392718002117</v>
      </c>
      <c r="Q118" s="3">
        <v>10.87</v>
      </c>
      <c r="R118" t="str">
        <f t="shared" si="8"/>
        <v>High</v>
      </c>
      <c r="S118" t="str">
        <f t="shared" si="9"/>
        <v>Valid</v>
      </c>
    </row>
    <row r="119" spans="1:19" x14ac:dyDescent="0.25">
      <c r="A119" s="1">
        <v>45633</v>
      </c>
      <c r="B119" s="1" t="str">
        <f t="shared" si="5"/>
        <v>2024-12</v>
      </c>
      <c r="C119" t="s">
        <v>28</v>
      </c>
      <c r="D119" t="s">
        <v>21</v>
      </c>
      <c r="E119" t="s">
        <v>16</v>
      </c>
      <c r="F119" t="s">
        <v>32</v>
      </c>
      <c r="G119" s="4">
        <v>66929</v>
      </c>
      <c r="H119" s="4">
        <v>1539</v>
      </c>
      <c r="I119" s="5">
        <v>2.3E-2</v>
      </c>
      <c r="J119" s="2">
        <v>1.21</v>
      </c>
      <c r="K119" s="6">
        <v>1862.19</v>
      </c>
      <c r="L119" s="4">
        <v>38</v>
      </c>
      <c r="M119" s="2">
        <v>49.01</v>
      </c>
      <c r="N119" s="6">
        <v>9540.2199999999993</v>
      </c>
      <c r="O119" s="6">
        <f t="shared" si="6"/>
        <v>7678.0299999999988</v>
      </c>
      <c r="P119" s="6">
        <f t="shared" si="7"/>
        <v>4.1231184787803601</v>
      </c>
      <c r="Q119" s="3">
        <v>5.12</v>
      </c>
      <c r="R119" t="str">
        <f t="shared" si="8"/>
        <v>High</v>
      </c>
      <c r="S119" t="str">
        <f t="shared" si="9"/>
        <v>Valid</v>
      </c>
    </row>
    <row r="120" spans="1:19" x14ac:dyDescent="0.25">
      <c r="A120" s="1">
        <v>45421</v>
      </c>
      <c r="B120" s="1" t="str">
        <f t="shared" si="5"/>
        <v>2024-05</v>
      </c>
      <c r="C120" t="s">
        <v>14</v>
      </c>
      <c r="D120" t="s">
        <v>21</v>
      </c>
      <c r="E120" t="s">
        <v>25</v>
      </c>
      <c r="F120" t="s">
        <v>27</v>
      </c>
      <c r="G120" s="4">
        <v>188202</v>
      </c>
      <c r="H120" s="4">
        <v>7189</v>
      </c>
      <c r="I120" s="5">
        <v>3.8199999999999998E-2</v>
      </c>
      <c r="J120" s="2">
        <v>1.1499999999999999</v>
      </c>
      <c r="K120" s="6">
        <v>8267.35</v>
      </c>
      <c r="L120" s="4">
        <v>376</v>
      </c>
      <c r="M120" s="2">
        <v>21.99</v>
      </c>
      <c r="N120" s="6">
        <v>88923.49</v>
      </c>
      <c r="O120" s="6">
        <f t="shared" si="6"/>
        <v>80656.14</v>
      </c>
      <c r="P120" s="6">
        <f t="shared" si="7"/>
        <v>9.7559846867496827</v>
      </c>
      <c r="Q120" s="3">
        <v>10.76</v>
      </c>
      <c r="R120" t="str">
        <f t="shared" si="8"/>
        <v>High</v>
      </c>
      <c r="S120" t="str">
        <f t="shared" si="9"/>
        <v>Valid</v>
      </c>
    </row>
    <row r="121" spans="1:19" x14ac:dyDescent="0.25">
      <c r="A121" s="1">
        <v>45316</v>
      </c>
      <c r="B121" s="1" t="str">
        <f t="shared" si="5"/>
        <v>2024-01</v>
      </c>
      <c r="C121" t="s">
        <v>14</v>
      </c>
      <c r="D121" t="s">
        <v>21</v>
      </c>
      <c r="E121" t="s">
        <v>16</v>
      </c>
      <c r="F121" t="s">
        <v>23</v>
      </c>
      <c r="G121" s="4">
        <v>184316</v>
      </c>
      <c r="H121" s="4">
        <v>4091</v>
      </c>
      <c r="I121" s="5">
        <v>2.2200000000000001E-2</v>
      </c>
      <c r="J121" s="2">
        <v>1.04</v>
      </c>
      <c r="K121" s="6">
        <v>4254.6400000000003</v>
      </c>
      <c r="L121" s="4">
        <v>309</v>
      </c>
      <c r="M121" s="2">
        <v>13.77</v>
      </c>
      <c r="N121" s="6">
        <v>82363.460000000006</v>
      </c>
      <c r="O121" s="6">
        <f t="shared" si="6"/>
        <v>78108.820000000007</v>
      </c>
      <c r="P121" s="6">
        <f t="shared" si="7"/>
        <v>18.358502717033637</v>
      </c>
      <c r="Q121" s="3">
        <v>19.36</v>
      </c>
      <c r="R121" t="str">
        <f t="shared" si="8"/>
        <v>High</v>
      </c>
      <c r="S121" t="str">
        <f t="shared" si="9"/>
        <v>Valid</v>
      </c>
    </row>
    <row r="122" spans="1:19" x14ac:dyDescent="0.25">
      <c r="A122" s="1">
        <v>45545</v>
      </c>
      <c r="B122" s="1" t="str">
        <f t="shared" si="5"/>
        <v>2024-09</v>
      </c>
      <c r="C122" t="s">
        <v>14</v>
      </c>
      <c r="D122" t="s">
        <v>21</v>
      </c>
      <c r="E122" t="s">
        <v>22</v>
      </c>
      <c r="F122" t="s">
        <v>27</v>
      </c>
      <c r="G122" s="4">
        <v>65545</v>
      </c>
      <c r="H122" s="4">
        <v>3355</v>
      </c>
      <c r="I122" s="5">
        <v>5.1200000000000002E-2</v>
      </c>
      <c r="J122" s="2">
        <v>1.77</v>
      </c>
      <c r="K122" s="6">
        <v>5938.35</v>
      </c>
      <c r="L122" s="4">
        <v>196</v>
      </c>
      <c r="M122" s="2">
        <v>30.3</v>
      </c>
      <c r="N122" s="6">
        <v>57936.29</v>
      </c>
      <c r="O122" s="6">
        <f t="shared" si="6"/>
        <v>51997.94</v>
      </c>
      <c r="P122" s="6">
        <f t="shared" si="7"/>
        <v>8.7562942568221818</v>
      </c>
      <c r="Q122" s="3">
        <v>9.76</v>
      </c>
      <c r="R122" t="str">
        <f t="shared" si="8"/>
        <v>High</v>
      </c>
      <c r="S122" t="str">
        <f t="shared" si="9"/>
        <v>Valid</v>
      </c>
    </row>
    <row r="123" spans="1:19" x14ac:dyDescent="0.25">
      <c r="A123" s="1">
        <v>45447</v>
      </c>
      <c r="B123" s="1" t="str">
        <f t="shared" si="5"/>
        <v>2024-06</v>
      </c>
      <c r="C123" t="s">
        <v>14</v>
      </c>
      <c r="D123" t="s">
        <v>21</v>
      </c>
      <c r="E123" t="s">
        <v>22</v>
      </c>
      <c r="F123" t="s">
        <v>23</v>
      </c>
      <c r="G123" s="4">
        <v>33141</v>
      </c>
      <c r="H123" s="4">
        <v>798</v>
      </c>
      <c r="I123" s="5">
        <v>2.41E-2</v>
      </c>
      <c r="J123" s="2">
        <v>3.29</v>
      </c>
      <c r="K123" s="6">
        <v>2625.42</v>
      </c>
      <c r="L123" s="4">
        <v>42</v>
      </c>
      <c r="M123" s="2">
        <v>62.51</v>
      </c>
      <c r="N123" s="6">
        <v>7236.65</v>
      </c>
      <c r="O123" s="6">
        <f t="shared" si="6"/>
        <v>4611.2299999999996</v>
      </c>
      <c r="P123" s="6">
        <f t="shared" si="7"/>
        <v>1.7563780271347058</v>
      </c>
      <c r="Q123" s="3">
        <v>2.76</v>
      </c>
      <c r="R123" t="str">
        <f t="shared" si="8"/>
        <v>Medium</v>
      </c>
      <c r="S123" t="str">
        <f t="shared" si="9"/>
        <v>Valid</v>
      </c>
    </row>
    <row r="124" spans="1:19" x14ac:dyDescent="0.25">
      <c r="A124" s="1">
        <v>45482</v>
      </c>
      <c r="B124" s="1" t="str">
        <f t="shared" si="5"/>
        <v>2024-07</v>
      </c>
      <c r="C124" t="s">
        <v>28</v>
      </c>
      <c r="D124" t="s">
        <v>21</v>
      </c>
      <c r="E124" t="s">
        <v>22</v>
      </c>
      <c r="F124" t="s">
        <v>26</v>
      </c>
      <c r="G124" s="4">
        <v>76229</v>
      </c>
      <c r="H124" s="4">
        <v>1562</v>
      </c>
      <c r="I124" s="5">
        <v>2.0500000000000001E-2</v>
      </c>
      <c r="J124" s="2">
        <v>1.01</v>
      </c>
      <c r="K124" s="6">
        <v>1577.62</v>
      </c>
      <c r="L124" s="4">
        <v>30</v>
      </c>
      <c r="M124" s="2">
        <v>52.59</v>
      </c>
      <c r="N124" s="6">
        <v>4290.5</v>
      </c>
      <c r="O124" s="6">
        <f t="shared" si="6"/>
        <v>2712.88</v>
      </c>
      <c r="P124" s="6">
        <f t="shared" si="7"/>
        <v>1.7196029462101141</v>
      </c>
      <c r="Q124" s="3">
        <v>2.72</v>
      </c>
      <c r="R124" t="str">
        <f t="shared" si="8"/>
        <v>Medium</v>
      </c>
      <c r="S124" t="str">
        <f t="shared" si="9"/>
        <v>Valid</v>
      </c>
    </row>
    <row r="125" spans="1:19" x14ac:dyDescent="0.25">
      <c r="A125" s="1">
        <v>45605</v>
      </c>
      <c r="B125" s="1" t="str">
        <f t="shared" si="5"/>
        <v>2024-11</v>
      </c>
      <c r="C125" t="s">
        <v>18</v>
      </c>
      <c r="D125" t="s">
        <v>15</v>
      </c>
      <c r="E125" t="s">
        <v>25</v>
      </c>
      <c r="F125" t="s">
        <v>32</v>
      </c>
      <c r="G125" s="4">
        <v>141614</v>
      </c>
      <c r="H125" s="4">
        <v>10677</v>
      </c>
      <c r="I125" s="5">
        <v>7.5399999999999995E-2</v>
      </c>
      <c r="J125" s="2">
        <v>0.35</v>
      </c>
      <c r="K125" s="6">
        <v>3736.95</v>
      </c>
      <c r="L125" s="4">
        <v>305</v>
      </c>
      <c r="M125" s="2">
        <v>12.25</v>
      </c>
      <c r="N125" s="6">
        <v>62355.519999999997</v>
      </c>
      <c r="O125" s="6">
        <f t="shared" si="6"/>
        <v>58618.57</v>
      </c>
      <c r="P125" s="6">
        <f t="shared" si="7"/>
        <v>15.686206665863873</v>
      </c>
      <c r="Q125" s="3">
        <v>16.690000000000001</v>
      </c>
      <c r="R125" t="str">
        <f t="shared" si="8"/>
        <v>High</v>
      </c>
      <c r="S125" t="str">
        <f t="shared" si="9"/>
        <v>Valid</v>
      </c>
    </row>
    <row r="126" spans="1:19" x14ac:dyDescent="0.25">
      <c r="A126" s="1">
        <v>45487</v>
      </c>
      <c r="B126" s="1" t="str">
        <f t="shared" si="5"/>
        <v>2024-07</v>
      </c>
      <c r="C126" t="s">
        <v>28</v>
      </c>
      <c r="D126" t="s">
        <v>24</v>
      </c>
      <c r="E126" t="s">
        <v>22</v>
      </c>
      <c r="F126" t="s">
        <v>20</v>
      </c>
      <c r="G126" s="4">
        <v>161193</v>
      </c>
      <c r="H126" s="4">
        <v>4916</v>
      </c>
      <c r="I126" s="5">
        <v>3.0499999999999999E-2</v>
      </c>
      <c r="J126" s="2">
        <v>1.37</v>
      </c>
      <c r="K126" s="6">
        <v>6734.92</v>
      </c>
      <c r="L126" s="4">
        <v>377</v>
      </c>
      <c r="M126" s="2">
        <v>17.86</v>
      </c>
      <c r="N126" s="6">
        <v>91408.9</v>
      </c>
      <c r="O126" s="6">
        <f t="shared" si="6"/>
        <v>84673.98</v>
      </c>
      <c r="P126" s="6">
        <f t="shared" si="7"/>
        <v>12.572380963693703</v>
      </c>
      <c r="Q126" s="3">
        <v>13.57</v>
      </c>
      <c r="R126" t="str">
        <f t="shared" si="8"/>
        <v>High</v>
      </c>
      <c r="S126" t="str">
        <f t="shared" si="9"/>
        <v>Valid</v>
      </c>
    </row>
    <row r="127" spans="1:19" x14ac:dyDescent="0.25">
      <c r="A127" s="1">
        <v>45339</v>
      </c>
      <c r="B127" s="1" t="str">
        <f t="shared" si="5"/>
        <v>2024-02</v>
      </c>
      <c r="C127" t="s">
        <v>14</v>
      </c>
      <c r="D127" t="s">
        <v>15</v>
      </c>
      <c r="E127" t="s">
        <v>25</v>
      </c>
      <c r="F127" t="s">
        <v>26</v>
      </c>
      <c r="G127" s="4">
        <v>142244</v>
      </c>
      <c r="H127" s="4">
        <v>4935</v>
      </c>
      <c r="I127" s="5">
        <v>3.4700000000000002E-2</v>
      </c>
      <c r="J127" s="2">
        <v>2.98</v>
      </c>
      <c r="K127" s="6">
        <v>14706.3</v>
      </c>
      <c r="L127" s="4">
        <v>127</v>
      </c>
      <c r="M127" s="2">
        <v>115.8</v>
      </c>
      <c r="N127" s="6">
        <v>34307.21</v>
      </c>
      <c r="O127" s="6">
        <f t="shared" si="6"/>
        <v>19600.91</v>
      </c>
      <c r="P127" s="6">
        <f t="shared" si="7"/>
        <v>1.3328240277976107</v>
      </c>
      <c r="Q127" s="3">
        <v>2.33</v>
      </c>
      <c r="R127" t="str">
        <f t="shared" si="8"/>
        <v>Medium</v>
      </c>
      <c r="S127" t="str">
        <f t="shared" si="9"/>
        <v>Valid</v>
      </c>
    </row>
    <row r="128" spans="1:19" x14ac:dyDescent="0.25">
      <c r="A128" s="1">
        <v>45378</v>
      </c>
      <c r="B128" s="1" t="str">
        <f t="shared" si="5"/>
        <v>2024-03</v>
      </c>
      <c r="C128" t="s">
        <v>28</v>
      </c>
      <c r="D128" t="s">
        <v>15</v>
      </c>
      <c r="E128" t="s">
        <v>16</v>
      </c>
      <c r="F128" t="s">
        <v>17</v>
      </c>
      <c r="G128" s="4">
        <v>178063</v>
      </c>
      <c r="H128" s="4">
        <v>1851</v>
      </c>
      <c r="I128" s="5">
        <v>1.04E-2</v>
      </c>
      <c r="J128" s="2">
        <v>0.45</v>
      </c>
      <c r="K128" s="6">
        <v>832.95</v>
      </c>
      <c r="L128" s="4">
        <v>64</v>
      </c>
      <c r="M128" s="2">
        <v>13.01</v>
      </c>
      <c r="N128" s="6">
        <v>7044.13</v>
      </c>
      <c r="O128" s="6">
        <f t="shared" si="6"/>
        <v>6211.18</v>
      </c>
      <c r="P128" s="6">
        <f t="shared" si="7"/>
        <v>7.4568461492286451</v>
      </c>
      <c r="Q128" s="3">
        <v>8.4600000000000009</v>
      </c>
      <c r="R128" t="str">
        <f t="shared" si="8"/>
        <v>High</v>
      </c>
      <c r="S128" t="str">
        <f t="shared" si="9"/>
        <v>Valid</v>
      </c>
    </row>
    <row r="129" spans="1:19" x14ac:dyDescent="0.25">
      <c r="A129" s="1">
        <v>45319</v>
      </c>
      <c r="B129" s="1" t="str">
        <f t="shared" si="5"/>
        <v>2024-01</v>
      </c>
      <c r="C129" t="s">
        <v>14</v>
      </c>
      <c r="D129" t="s">
        <v>21</v>
      </c>
      <c r="E129" t="s">
        <v>16</v>
      </c>
      <c r="F129" t="s">
        <v>32</v>
      </c>
      <c r="G129" s="4">
        <v>193978</v>
      </c>
      <c r="H129" s="4">
        <v>5780</v>
      </c>
      <c r="I129" s="5">
        <v>2.98E-2</v>
      </c>
      <c r="J129" s="2">
        <v>1.73</v>
      </c>
      <c r="K129" s="6">
        <v>9999.4</v>
      </c>
      <c r="L129" s="4">
        <v>177</v>
      </c>
      <c r="M129" s="2">
        <v>56.49</v>
      </c>
      <c r="N129" s="6">
        <v>42071.17</v>
      </c>
      <c r="O129" s="6">
        <f t="shared" si="6"/>
        <v>32071.769999999997</v>
      </c>
      <c r="P129" s="6">
        <f t="shared" si="7"/>
        <v>3.20736944216653</v>
      </c>
      <c r="Q129" s="3">
        <v>4.21</v>
      </c>
      <c r="R129" t="str">
        <f t="shared" si="8"/>
        <v>High</v>
      </c>
      <c r="S129" t="str">
        <f t="shared" si="9"/>
        <v>Valid</v>
      </c>
    </row>
    <row r="130" spans="1:19" x14ac:dyDescent="0.25">
      <c r="A130" s="1">
        <v>45340</v>
      </c>
      <c r="B130" s="1" t="str">
        <f t="shared" si="5"/>
        <v>2024-02</v>
      </c>
      <c r="C130" t="s">
        <v>28</v>
      </c>
      <c r="D130" t="s">
        <v>29</v>
      </c>
      <c r="E130" t="s">
        <v>25</v>
      </c>
      <c r="F130" t="s">
        <v>27</v>
      </c>
      <c r="G130" s="4">
        <v>187051</v>
      </c>
      <c r="H130" s="4">
        <v>6284</v>
      </c>
      <c r="I130" s="5">
        <v>3.3599999999999998E-2</v>
      </c>
      <c r="J130" s="2">
        <v>2.0099999999999998</v>
      </c>
      <c r="K130" s="6">
        <v>12630.84</v>
      </c>
      <c r="L130" s="4">
        <v>493</v>
      </c>
      <c r="M130" s="2">
        <v>25.62</v>
      </c>
      <c r="N130" s="6">
        <v>94906.46</v>
      </c>
      <c r="O130" s="6">
        <f t="shared" si="6"/>
        <v>82275.62000000001</v>
      </c>
      <c r="P130" s="6">
        <f t="shared" si="7"/>
        <v>6.513867644590543</v>
      </c>
      <c r="Q130" s="3">
        <v>7.51</v>
      </c>
      <c r="R130" t="str">
        <f t="shared" si="8"/>
        <v>High</v>
      </c>
      <c r="S130" t="str">
        <f t="shared" si="9"/>
        <v>Valid</v>
      </c>
    </row>
    <row r="131" spans="1:19" x14ac:dyDescent="0.25">
      <c r="A131" s="1">
        <v>45302</v>
      </c>
      <c r="B131" s="1" t="str">
        <f t="shared" ref="B131:B194" si="10">TEXT(A131, "yyyy-mm")</f>
        <v>2024-01</v>
      </c>
      <c r="C131" t="s">
        <v>28</v>
      </c>
      <c r="D131" t="s">
        <v>21</v>
      </c>
      <c r="E131" t="s">
        <v>19</v>
      </c>
      <c r="F131" t="s">
        <v>20</v>
      </c>
      <c r="G131" s="4">
        <v>152977</v>
      </c>
      <c r="H131" s="4">
        <v>5491</v>
      </c>
      <c r="I131" s="5">
        <v>3.5900000000000001E-2</v>
      </c>
      <c r="J131" s="2">
        <v>1.35</v>
      </c>
      <c r="K131" s="6">
        <v>7412.85</v>
      </c>
      <c r="L131" s="4">
        <v>147</v>
      </c>
      <c r="M131" s="2">
        <v>50.43</v>
      </c>
      <c r="N131" s="6">
        <v>9232.39</v>
      </c>
      <c r="O131" s="6">
        <f t="shared" ref="O131:O194" si="11">N131-K131</f>
        <v>1819.5399999999991</v>
      </c>
      <c r="P131" s="6">
        <f t="shared" ref="P131:P194" si="12">IFERROR(O131/K131, "")</f>
        <v>0.24545755006508954</v>
      </c>
      <c r="Q131" s="3">
        <v>1.25</v>
      </c>
      <c r="R131" t="str">
        <f t="shared" ref="R131:R194" si="13">IF(Q131 &gt;= 3, "High", IF(Q131&gt;=1, "Medium", "Low"))</f>
        <v>Medium</v>
      </c>
      <c r="S131" t="str">
        <f t="shared" ref="S131:S194" si="14">IF(OR(G131=0, H131&gt;G131, L131&gt;H131), "Invalid", "Valid")</f>
        <v>Valid</v>
      </c>
    </row>
    <row r="132" spans="1:19" x14ac:dyDescent="0.25">
      <c r="A132" s="1">
        <v>45413</v>
      </c>
      <c r="B132" s="1" t="str">
        <f t="shared" si="10"/>
        <v>2024-05</v>
      </c>
      <c r="C132" t="s">
        <v>14</v>
      </c>
      <c r="D132" t="s">
        <v>29</v>
      </c>
      <c r="E132" t="s">
        <v>30</v>
      </c>
      <c r="F132" t="s">
        <v>17</v>
      </c>
      <c r="G132" s="4">
        <v>129447</v>
      </c>
      <c r="H132" s="4">
        <v>4310</v>
      </c>
      <c r="I132" s="5">
        <v>3.3300000000000003E-2</v>
      </c>
      <c r="J132" s="2">
        <v>2.7</v>
      </c>
      <c r="K132" s="6">
        <v>11637</v>
      </c>
      <c r="L132" s="4">
        <v>211</v>
      </c>
      <c r="M132" s="2">
        <v>55.15</v>
      </c>
      <c r="N132" s="6">
        <v>16618.47</v>
      </c>
      <c r="O132" s="6">
        <f t="shared" si="11"/>
        <v>4981.4700000000012</v>
      </c>
      <c r="P132" s="6">
        <f t="shared" si="12"/>
        <v>0.42807166795565876</v>
      </c>
      <c r="Q132" s="3">
        <v>1.43</v>
      </c>
      <c r="R132" t="str">
        <f t="shared" si="13"/>
        <v>Medium</v>
      </c>
      <c r="S132" t="str">
        <f t="shared" si="14"/>
        <v>Valid</v>
      </c>
    </row>
    <row r="133" spans="1:19" x14ac:dyDescent="0.25">
      <c r="A133" s="1">
        <v>45313</v>
      </c>
      <c r="B133" s="1" t="str">
        <f t="shared" si="10"/>
        <v>2024-01</v>
      </c>
      <c r="C133" t="s">
        <v>14</v>
      </c>
      <c r="D133" t="s">
        <v>24</v>
      </c>
      <c r="E133" t="s">
        <v>16</v>
      </c>
      <c r="F133" t="s">
        <v>23</v>
      </c>
      <c r="G133" s="4">
        <v>28387</v>
      </c>
      <c r="H133" s="4">
        <v>672</v>
      </c>
      <c r="I133" s="5">
        <v>2.3699999999999999E-2</v>
      </c>
      <c r="J133" s="2">
        <v>3.32</v>
      </c>
      <c r="K133" s="6">
        <v>2231.04</v>
      </c>
      <c r="L133" s="4">
        <v>41</v>
      </c>
      <c r="M133" s="2">
        <v>54.42</v>
      </c>
      <c r="N133" s="6">
        <v>7232.57</v>
      </c>
      <c r="O133" s="6">
        <f t="shared" si="11"/>
        <v>5001.53</v>
      </c>
      <c r="P133" s="6">
        <f t="shared" si="12"/>
        <v>2.2417930651176134</v>
      </c>
      <c r="Q133" s="3">
        <v>3.24</v>
      </c>
      <c r="R133" t="str">
        <f t="shared" si="13"/>
        <v>High</v>
      </c>
      <c r="S133" t="str">
        <f t="shared" si="14"/>
        <v>Valid</v>
      </c>
    </row>
    <row r="134" spans="1:19" x14ac:dyDescent="0.25">
      <c r="A134" s="1">
        <v>45409</v>
      </c>
      <c r="B134" s="1" t="str">
        <f t="shared" si="10"/>
        <v>2024-04</v>
      </c>
      <c r="C134" t="s">
        <v>28</v>
      </c>
      <c r="D134" t="s">
        <v>24</v>
      </c>
      <c r="E134" t="s">
        <v>16</v>
      </c>
      <c r="F134" t="s">
        <v>32</v>
      </c>
      <c r="G134" s="4">
        <v>88986</v>
      </c>
      <c r="H134" s="4">
        <v>1308</v>
      </c>
      <c r="I134" s="5">
        <v>1.47E-2</v>
      </c>
      <c r="J134" s="2">
        <v>0.75</v>
      </c>
      <c r="K134" s="6">
        <v>981</v>
      </c>
      <c r="L134" s="4">
        <v>80</v>
      </c>
      <c r="M134" s="2">
        <v>12.26</v>
      </c>
      <c r="N134" s="6">
        <v>21439.34</v>
      </c>
      <c r="O134" s="6">
        <f t="shared" si="11"/>
        <v>20458.34</v>
      </c>
      <c r="P134" s="6">
        <f t="shared" si="12"/>
        <v>20.854576962283385</v>
      </c>
      <c r="Q134" s="3">
        <v>21.85</v>
      </c>
      <c r="R134" t="str">
        <f t="shared" si="13"/>
        <v>High</v>
      </c>
      <c r="S134" t="str">
        <f t="shared" si="14"/>
        <v>Valid</v>
      </c>
    </row>
    <row r="135" spans="1:19" x14ac:dyDescent="0.25">
      <c r="A135" s="1">
        <v>45301</v>
      </c>
      <c r="B135" s="1" t="str">
        <f t="shared" si="10"/>
        <v>2024-01</v>
      </c>
      <c r="C135" t="s">
        <v>14</v>
      </c>
      <c r="D135" t="s">
        <v>21</v>
      </c>
      <c r="E135" t="s">
        <v>25</v>
      </c>
      <c r="F135" t="s">
        <v>20</v>
      </c>
      <c r="G135" s="4">
        <v>170268</v>
      </c>
      <c r="H135" s="4">
        <v>7917</v>
      </c>
      <c r="I135" s="5">
        <v>4.65E-2</v>
      </c>
      <c r="J135" s="2">
        <v>3.14</v>
      </c>
      <c r="K135" s="6">
        <v>24859.38</v>
      </c>
      <c r="L135" s="4">
        <v>98</v>
      </c>
      <c r="M135" s="2">
        <v>253.67</v>
      </c>
      <c r="N135" s="6">
        <v>22672.12</v>
      </c>
      <c r="O135" s="6">
        <f t="shared" si="11"/>
        <v>-2187.260000000002</v>
      </c>
      <c r="P135" s="6">
        <f t="shared" si="12"/>
        <v>-8.7985299713830428E-2</v>
      </c>
      <c r="Q135" s="3">
        <v>0.91</v>
      </c>
      <c r="R135" t="str">
        <f t="shared" si="13"/>
        <v>Low</v>
      </c>
      <c r="S135" t="str">
        <f t="shared" si="14"/>
        <v>Valid</v>
      </c>
    </row>
    <row r="136" spans="1:19" x14ac:dyDescent="0.25">
      <c r="A136" s="1">
        <v>45311</v>
      </c>
      <c r="B136" s="1" t="str">
        <f t="shared" si="10"/>
        <v>2024-01</v>
      </c>
      <c r="C136" t="s">
        <v>14</v>
      </c>
      <c r="D136" t="s">
        <v>29</v>
      </c>
      <c r="E136" t="s">
        <v>22</v>
      </c>
      <c r="F136" t="s">
        <v>23</v>
      </c>
      <c r="G136" s="4">
        <v>122322</v>
      </c>
      <c r="H136" s="4">
        <v>6152</v>
      </c>
      <c r="I136" s="5">
        <v>5.0299999999999997E-2</v>
      </c>
      <c r="J136" s="2">
        <v>1.23</v>
      </c>
      <c r="K136" s="6">
        <v>7566.96</v>
      </c>
      <c r="L136" s="4">
        <v>155</v>
      </c>
      <c r="M136" s="2">
        <v>48.82</v>
      </c>
      <c r="N136" s="6">
        <v>10417.89</v>
      </c>
      <c r="O136" s="6">
        <f t="shared" si="11"/>
        <v>2850.9299999999994</v>
      </c>
      <c r="P136" s="6">
        <f t="shared" si="12"/>
        <v>0.37676028418281576</v>
      </c>
      <c r="Q136" s="3">
        <v>1.38</v>
      </c>
      <c r="R136" t="str">
        <f t="shared" si="13"/>
        <v>Medium</v>
      </c>
      <c r="S136" t="str">
        <f t="shared" si="14"/>
        <v>Valid</v>
      </c>
    </row>
    <row r="137" spans="1:19" x14ac:dyDescent="0.25">
      <c r="A137" s="1">
        <v>45329</v>
      </c>
      <c r="B137" s="1" t="str">
        <f t="shared" si="10"/>
        <v>2024-02</v>
      </c>
      <c r="C137" t="s">
        <v>28</v>
      </c>
      <c r="D137" t="s">
        <v>29</v>
      </c>
      <c r="E137" t="s">
        <v>22</v>
      </c>
      <c r="F137" t="s">
        <v>20</v>
      </c>
      <c r="G137" s="4">
        <v>69429</v>
      </c>
      <c r="H137" s="4">
        <v>2430</v>
      </c>
      <c r="I137" s="5">
        <v>3.5000000000000003E-2</v>
      </c>
      <c r="J137" s="2">
        <v>1.59</v>
      </c>
      <c r="K137" s="6">
        <v>3863.7</v>
      </c>
      <c r="L137" s="4">
        <v>119</v>
      </c>
      <c r="M137" s="2">
        <v>32.47</v>
      </c>
      <c r="N137" s="6">
        <v>21584.01</v>
      </c>
      <c r="O137" s="6">
        <f t="shared" si="11"/>
        <v>17720.309999999998</v>
      </c>
      <c r="P137" s="6">
        <f t="shared" si="12"/>
        <v>4.5863576364624583</v>
      </c>
      <c r="Q137" s="3">
        <v>5.59</v>
      </c>
      <c r="R137" t="str">
        <f t="shared" si="13"/>
        <v>High</v>
      </c>
      <c r="S137" t="str">
        <f t="shared" si="14"/>
        <v>Valid</v>
      </c>
    </row>
    <row r="138" spans="1:19" x14ac:dyDescent="0.25">
      <c r="A138" s="1">
        <v>45450</v>
      </c>
      <c r="B138" s="1" t="str">
        <f t="shared" si="10"/>
        <v>2024-06</v>
      </c>
      <c r="C138" t="s">
        <v>28</v>
      </c>
      <c r="D138" t="s">
        <v>29</v>
      </c>
      <c r="E138" t="s">
        <v>25</v>
      </c>
      <c r="F138" t="s">
        <v>27</v>
      </c>
      <c r="G138" s="4">
        <v>196675</v>
      </c>
      <c r="H138" s="4">
        <v>4031</v>
      </c>
      <c r="I138" s="5">
        <v>2.0500000000000001E-2</v>
      </c>
      <c r="J138" s="2">
        <v>1.97</v>
      </c>
      <c r="K138" s="6">
        <v>7941.07</v>
      </c>
      <c r="L138" s="4">
        <v>186</v>
      </c>
      <c r="M138" s="2">
        <v>42.69</v>
      </c>
      <c r="N138" s="6">
        <v>27686.79</v>
      </c>
      <c r="O138" s="6">
        <f t="shared" si="11"/>
        <v>19745.72</v>
      </c>
      <c r="P138" s="6">
        <f t="shared" si="12"/>
        <v>2.4865314120137465</v>
      </c>
      <c r="Q138" s="3">
        <v>3.49</v>
      </c>
      <c r="R138" t="str">
        <f t="shared" si="13"/>
        <v>High</v>
      </c>
      <c r="S138" t="str">
        <f t="shared" si="14"/>
        <v>Valid</v>
      </c>
    </row>
    <row r="139" spans="1:19" x14ac:dyDescent="0.25">
      <c r="A139" s="1">
        <v>45437</v>
      </c>
      <c r="B139" s="1" t="str">
        <f t="shared" si="10"/>
        <v>2024-05</v>
      </c>
      <c r="C139" t="s">
        <v>14</v>
      </c>
      <c r="D139" t="s">
        <v>21</v>
      </c>
      <c r="E139" t="s">
        <v>30</v>
      </c>
      <c r="F139" t="s">
        <v>32</v>
      </c>
      <c r="G139" s="4">
        <v>104134</v>
      </c>
      <c r="H139" s="4">
        <v>3603</v>
      </c>
      <c r="I139" s="5">
        <v>3.4599999999999999E-2</v>
      </c>
      <c r="J139" s="2">
        <v>3.46</v>
      </c>
      <c r="K139" s="6">
        <v>12466.38</v>
      </c>
      <c r="L139" s="4">
        <v>234</v>
      </c>
      <c r="M139" s="2">
        <v>53.28</v>
      </c>
      <c r="N139" s="6">
        <v>14496.48</v>
      </c>
      <c r="O139" s="6">
        <f t="shared" si="11"/>
        <v>2030.1000000000004</v>
      </c>
      <c r="P139" s="6">
        <f t="shared" si="12"/>
        <v>0.16284599057625393</v>
      </c>
      <c r="Q139" s="3">
        <v>1.1599999999999999</v>
      </c>
      <c r="R139" t="str">
        <f t="shared" si="13"/>
        <v>Medium</v>
      </c>
      <c r="S139" t="str">
        <f t="shared" si="14"/>
        <v>Valid</v>
      </c>
    </row>
    <row r="140" spans="1:19" x14ac:dyDescent="0.25">
      <c r="A140" s="1">
        <v>45650</v>
      </c>
      <c r="B140" s="1" t="str">
        <f t="shared" si="10"/>
        <v>2024-12</v>
      </c>
      <c r="C140" t="s">
        <v>28</v>
      </c>
      <c r="D140" t="s">
        <v>29</v>
      </c>
      <c r="E140" t="s">
        <v>19</v>
      </c>
      <c r="F140" t="s">
        <v>27</v>
      </c>
      <c r="G140" s="4">
        <v>150544</v>
      </c>
      <c r="H140" s="4">
        <v>2890</v>
      </c>
      <c r="I140" s="5">
        <v>1.9199999999999998E-2</v>
      </c>
      <c r="J140" s="2">
        <v>1.7</v>
      </c>
      <c r="K140" s="6">
        <v>4913</v>
      </c>
      <c r="L140" s="4">
        <v>170</v>
      </c>
      <c r="M140" s="2">
        <v>28.9</v>
      </c>
      <c r="N140" s="6">
        <v>47769.42</v>
      </c>
      <c r="O140" s="6">
        <f t="shared" si="11"/>
        <v>42856.42</v>
      </c>
      <c r="P140" s="6">
        <f t="shared" si="12"/>
        <v>8.7230653368613886</v>
      </c>
      <c r="Q140" s="3">
        <v>9.7200000000000006</v>
      </c>
      <c r="R140" t="str">
        <f t="shared" si="13"/>
        <v>High</v>
      </c>
      <c r="S140" t="str">
        <f t="shared" si="14"/>
        <v>Valid</v>
      </c>
    </row>
    <row r="141" spans="1:19" x14ac:dyDescent="0.25">
      <c r="A141" s="1">
        <v>45593</v>
      </c>
      <c r="B141" s="1" t="str">
        <f t="shared" si="10"/>
        <v>2024-10</v>
      </c>
      <c r="C141" t="s">
        <v>18</v>
      </c>
      <c r="D141" t="s">
        <v>21</v>
      </c>
      <c r="E141" t="s">
        <v>25</v>
      </c>
      <c r="F141" t="s">
        <v>27</v>
      </c>
      <c r="G141" s="4">
        <v>75553</v>
      </c>
      <c r="H141" s="4">
        <v>3331</v>
      </c>
      <c r="I141" s="5">
        <v>4.41E-2</v>
      </c>
      <c r="J141" s="2">
        <v>0.44</v>
      </c>
      <c r="K141" s="6">
        <v>1465.64</v>
      </c>
      <c r="L141" s="4">
        <v>203</v>
      </c>
      <c r="M141" s="2">
        <v>7.22</v>
      </c>
      <c r="N141" s="6">
        <v>33301.040000000001</v>
      </c>
      <c r="O141" s="6">
        <f t="shared" si="11"/>
        <v>31835.4</v>
      </c>
      <c r="P141" s="6">
        <f t="shared" si="12"/>
        <v>21.721159357004449</v>
      </c>
      <c r="Q141" s="3">
        <v>22.72</v>
      </c>
      <c r="R141" t="str">
        <f t="shared" si="13"/>
        <v>High</v>
      </c>
      <c r="S141" t="str">
        <f t="shared" si="14"/>
        <v>Valid</v>
      </c>
    </row>
    <row r="142" spans="1:19" x14ac:dyDescent="0.25">
      <c r="A142" s="1">
        <v>45588</v>
      </c>
      <c r="B142" s="1" t="str">
        <f t="shared" si="10"/>
        <v>2024-10</v>
      </c>
      <c r="C142" t="s">
        <v>28</v>
      </c>
      <c r="D142" t="s">
        <v>15</v>
      </c>
      <c r="E142" t="s">
        <v>19</v>
      </c>
      <c r="F142" t="s">
        <v>31</v>
      </c>
      <c r="G142" s="4">
        <v>149565</v>
      </c>
      <c r="H142" s="4">
        <v>2437</v>
      </c>
      <c r="I142" s="5">
        <v>1.6299999999999999E-2</v>
      </c>
      <c r="J142" s="2">
        <v>0.37</v>
      </c>
      <c r="K142" s="6">
        <v>901.69</v>
      </c>
      <c r="L142" s="4">
        <v>30</v>
      </c>
      <c r="M142" s="2">
        <v>30.06</v>
      </c>
      <c r="N142" s="6">
        <v>3133.33</v>
      </c>
      <c r="O142" s="6">
        <f t="shared" si="11"/>
        <v>2231.64</v>
      </c>
      <c r="P142" s="6">
        <f t="shared" si="12"/>
        <v>2.4749525890272706</v>
      </c>
      <c r="Q142" s="3">
        <v>3.47</v>
      </c>
      <c r="R142" t="str">
        <f t="shared" si="13"/>
        <v>High</v>
      </c>
      <c r="S142" t="str">
        <f t="shared" si="14"/>
        <v>Valid</v>
      </c>
    </row>
    <row r="143" spans="1:19" x14ac:dyDescent="0.25">
      <c r="A143" s="1">
        <v>45397</v>
      </c>
      <c r="B143" s="1" t="str">
        <f t="shared" si="10"/>
        <v>2024-04</v>
      </c>
      <c r="C143" t="s">
        <v>14</v>
      </c>
      <c r="D143" t="s">
        <v>29</v>
      </c>
      <c r="E143" t="s">
        <v>25</v>
      </c>
      <c r="F143" t="s">
        <v>31</v>
      </c>
      <c r="G143" s="4">
        <v>12896</v>
      </c>
      <c r="H143" s="4">
        <v>535</v>
      </c>
      <c r="I143" s="5">
        <v>4.1500000000000002E-2</v>
      </c>
      <c r="J143" s="2">
        <v>0.98</v>
      </c>
      <c r="K143" s="6">
        <v>524.29999999999995</v>
      </c>
      <c r="L143" s="4">
        <v>20</v>
      </c>
      <c r="M143" s="2">
        <v>26.21</v>
      </c>
      <c r="N143" s="6">
        <v>2475.65</v>
      </c>
      <c r="O143" s="6">
        <f t="shared" si="11"/>
        <v>1951.3500000000001</v>
      </c>
      <c r="P143" s="6">
        <f t="shared" si="12"/>
        <v>3.7218195689490754</v>
      </c>
      <c r="Q143" s="3">
        <v>4.72</v>
      </c>
      <c r="R143" t="str">
        <f t="shared" si="13"/>
        <v>High</v>
      </c>
      <c r="S143" t="str">
        <f t="shared" si="14"/>
        <v>Valid</v>
      </c>
    </row>
    <row r="144" spans="1:19" x14ac:dyDescent="0.25">
      <c r="A144" s="1">
        <v>45434</v>
      </c>
      <c r="B144" s="1" t="str">
        <f t="shared" si="10"/>
        <v>2024-05</v>
      </c>
      <c r="C144" t="s">
        <v>18</v>
      </c>
      <c r="D144" t="s">
        <v>29</v>
      </c>
      <c r="E144" t="s">
        <v>16</v>
      </c>
      <c r="F144" t="s">
        <v>26</v>
      </c>
      <c r="G144" s="4">
        <v>70428</v>
      </c>
      <c r="H144" s="4">
        <v>3310</v>
      </c>
      <c r="I144" s="5">
        <v>4.7E-2</v>
      </c>
      <c r="J144" s="2">
        <v>1.17</v>
      </c>
      <c r="K144" s="6">
        <v>3872.7</v>
      </c>
      <c r="L144" s="4">
        <v>164</v>
      </c>
      <c r="M144" s="2">
        <v>23.61</v>
      </c>
      <c r="N144" s="6">
        <v>25462.93</v>
      </c>
      <c r="O144" s="6">
        <f t="shared" si="11"/>
        <v>21590.23</v>
      </c>
      <c r="P144" s="6">
        <f t="shared" si="12"/>
        <v>5.5749812792108866</v>
      </c>
      <c r="Q144" s="3">
        <v>6.57</v>
      </c>
      <c r="R144" t="str">
        <f t="shared" si="13"/>
        <v>High</v>
      </c>
      <c r="S144" t="str">
        <f t="shared" si="14"/>
        <v>Valid</v>
      </c>
    </row>
    <row r="145" spans="1:19" x14ac:dyDescent="0.25">
      <c r="A145" s="1">
        <v>45452</v>
      </c>
      <c r="B145" s="1" t="str">
        <f t="shared" si="10"/>
        <v>2024-06</v>
      </c>
      <c r="C145" t="s">
        <v>18</v>
      </c>
      <c r="D145" t="s">
        <v>24</v>
      </c>
      <c r="E145" t="s">
        <v>19</v>
      </c>
      <c r="F145" t="s">
        <v>23</v>
      </c>
      <c r="G145" s="4">
        <v>12345</v>
      </c>
      <c r="H145" s="4">
        <v>456</v>
      </c>
      <c r="I145" s="5">
        <v>3.6999999999999998E-2</v>
      </c>
      <c r="J145" s="2">
        <v>0.62</v>
      </c>
      <c r="K145" s="6">
        <v>282.72000000000003</v>
      </c>
      <c r="L145" s="4">
        <v>21</v>
      </c>
      <c r="M145" s="2">
        <v>13.46</v>
      </c>
      <c r="N145" s="6">
        <v>5118.9399999999996</v>
      </c>
      <c r="O145" s="6">
        <f t="shared" si="11"/>
        <v>4836.2199999999993</v>
      </c>
      <c r="P145" s="6">
        <f t="shared" si="12"/>
        <v>17.106041312959814</v>
      </c>
      <c r="Q145" s="3">
        <v>18.11</v>
      </c>
      <c r="R145" t="str">
        <f t="shared" si="13"/>
        <v>High</v>
      </c>
      <c r="S145" t="str">
        <f t="shared" si="14"/>
        <v>Valid</v>
      </c>
    </row>
    <row r="146" spans="1:19" x14ac:dyDescent="0.25">
      <c r="A146" s="1">
        <v>45621</v>
      </c>
      <c r="B146" s="1" t="str">
        <f t="shared" si="10"/>
        <v>2024-11</v>
      </c>
      <c r="C146" t="s">
        <v>28</v>
      </c>
      <c r="D146" t="s">
        <v>29</v>
      </c>
      <c r="E146" t="s">
        <v>25</v>
      </c>
      <c r="F146" t="s">
        <v>23</v>
      </c>
      <c r="G146" s="4">
        <v>18140</v>
      </c>
      <c r="H146" s="4">
        <v>455</v>
      </c>
      <c r="I146" s="5">
        <v>2.5100000000000001E-2</v>
      </c>
      <c r="J146" s="2">
        <v>1.1499999999999999</v>
      </c>
      <c r="K146" s="6">
        <v>523.25</v>
      </c>
      <c r="L146" s="4">
        <v>29</v>
      </c>
      <c r="M146" s="2">
        <v>18.04</v>
      </c>
      <c r="N146" s="6">
        <v>1746.46</v>
      </c>
      <c r="O146" s="6">
        <f t="shared" si="11"/>
        <v>1223.21</v>
      </c>
      <c r="P146" s="6">
        <f t="shared" si="12"/>
        <v>2.3377161968466318</v>
      </c>
      <c r="Q146" s="3">
        <v>3.34</v>
      </c>
      <c r="R146" t="str">
        <f t="shared" si="13"/>
        <v>High</v>
      </c>
      <c r="S146" t="str">
        <f t="shared" si="14"/>
        <v>Valid</v>
      </c>
    </row>
    <row r="147" spans="1:19" x14ac:dyDescent="0.25">
      <c r="A147" s="1">
        <v>45340</v>
      </c>
      <c r="B147" s="1" t="str">
        <f t="shared" si="10"/>
        <v>2024-02</v>
      </c>
      <c r="C147" t="s">
        <v>14</v>
      </c>
      <c r="D147" t="s">
        <v>21</v>
      </c>
      <c r="E147" t="s">
        <v>16</v>
      </c>
      <c r="F147" t="s">
        <v>32</v>
      </c>
      <c r="G147" s="4">
        <v>42823</v>
      </c>
      <c r="H147" s="4">
        <v>1588</v>
      </c>
      <c r="I147" s="5">
        <v>3.7100000000000001E-2</v>
      </c>
      <c r="J147" s="2">
        <v>2.97</v>
      </c>
      <c r="K147" s="6">
        <v>4716.3599999999997</v>
      </c>
      <c r="L147" s="4">
        <v>33</v>
      </c>
      <c r="M147" s="2">
        <v>142.91999999999999</v>
      </c>
      <c r="N147" s="6">
        <v>3266.45</v>
      </c>
      <c r="O147" s="6">
        <f t="shared" si="11"/>
        <v>-1449.9099999999999</v>
      </c>
      <c r="P147" s="6">
        <f t="shared" si="12"/>
        <v>-0.30742140125011663</v>
      </c>
      <c r="Q147" s="3">
        <v>0.69</v>
      </c>
      <c r="R147" t="str">
        <f t="shared" si="13"/>
        <v>Low</v>
      </c>
      <c r="S147" t="str">
        <f t="shared" si="14"/>
        <v>Valid</v>
      </c>
    </row>
    <row r="148" spans="1:19" x14ac:dyDescent="0.25">
      <c r="A148" s="1">
        <v>45317</v>
      </c>
      <c r="B148" s="1" t="str">
        <f t="shared" si="10"/>
        <v>2024-01</v>
      </c>
      <c r="C148" t="s">
        <v>18</v>
      </c>
      <c r="D148" t="s">
        <v>24</v>
      </c>
      <c r="E148" t="s">
        <v>25</v>
      </c>
      <c r="F148" t="s">
        <v>26</v>
      </c>
      <c r="G148" s="4">
        <v>34118</v>
      </c>
      <c r="H148" s="4">
        <v>1470</v>
      </c>
      <c r="I148" s="5">
        <v>4.3099999999999999E-2</v>
      </c>
      <c r="J148" s="2">
        <v>0.85</v>
      </c>
      <c r="K148" s="6">
        <v>1249.5</v>
      </c>
      <c r="L148" s="4">
        <v>55</v>
      </c>
      <c r="M148" s="2">
        <v>22.72</v>
      </c>
      <c r="N148" s="6">
        <v>3037.11</v>
      </c>
      <c r="O148" s="6">
        <f t="shared" si="11"/>
        <v>1787.6100000000001</v>
      </c>
      <c r="P148" s="6">
        <f t="shared" si="12"/>
        <v>1.4306602641056423</v>
      </c>
      <c r="Q148" s="3">
        <v>2.4300000000000002</v>
      </c>
      <c r="R148" t="str">
        <f t="shared" si="13"/>
        <v>Medium</v>
      </c>
      <c r="S148" t="str">
        <f t="shared" si="14"/>
        <v>Valid</v>
      </c>
    </row>
    <row r="149" spans="1:19" x14ac:dyDescent="0.25">
      <c r="A149" s="1">
        <v>45299</v>
      </c>
      <c r="B149" s="1" t="str">
        <f t="shared" si="10"/>
        <v>2024-01</v>
      </c>
      <c r="C149" t="s">
        <v>28</v>
      </c>
      <c r="D149" t="s">
        <v>21</v>
      </c>
      <c r="E149" t="s">
        <v>19</v>
      </c>
      <c r="F149" t="s">
        <v>20</v>
      </c>
      <c r="G149" s="4">
        <v>127775</v>
      </c>
      <c r="H149" s="4">
        <v>3871</v>
      </c>
      <c r="I149" s="5">
        <v>3.0300000000000001E-2</v>
      </c>
      <c r="J149" s="2">
        <v>0.76</v>
      </c>
      <c r="K149" s="6">
        <v>2941.96</v>
      </c>
      <c r="L149" s="4">
        <v>159</v>
      </c>
      <c r="M149" s="2">
        <v>18.5</v>
      </c>
      <c r="N149" s="6">
        <v>28717.22</v>
      </c>
      <c r="O149" s="6">
        <f t="shared" si="11"/>
        <v>25775.260000000002</v>
      </c>
      <c r="P149" s="6">
        <f t="shared" si="12"/>
        <v>8.7612544018273546</v>
      </c>
      <c r="Q149" s="3">
        <v>9.76</v>
      </c>
      <c r="R149" t="str">
        <f t="shared" si="13"/>
        <v>High</v>
      </c>
      <c r="S149" t="str">
        <f t="shared" si="14"/>
        <v>Valid</v>
      </c>
    </row>
    <row r="150" spans="1:19" x14ac:dyDescent="0.25">
      <c r="A150" s="1">
        <v>45550</v>
      </c>
      <c r="B150" s="1" t="str">
        <f t="shared" si="10"/>
        <v>2024-09</v>
      </c>
      <c r="C150" t="s">
        <v>14</v>
      </c>
      <c r="D150" t="s">
        <v>24</v>
      </c>
      <c r="E150" t="s">
        <v>16</v>
      </c>
      <c r="F150" t="s">
        <v>17</v>
      </c>
      <c r="G150" s="4">
        <v>136354</v>
      </c>
      <c r="H150" s="4">
        <v>3736</v>
      </c>
      <c r="I150" s="5">
        <v>2.7400000000000001E-2</v>
      </c>
      <c r="J150" s="2">
        <v>1.1599999999999999</v>
      </c>
      <c r="K150" s="6">
        <v>4333.76</v>
      </c>
      <c r="L150" s="4">
        <v>152</v>
      </c>
      <c r="M150" s="2">
        <v>28.51</v>
      </c>
      <c r="N150" s="6">
        <v>29811.83</v>
      </c>
      <c r="O150" s="6">
        <f t="shared" si="11"/>
        <v>25478.07</v>
      </c>
      <c r="P150" s="6">
        <f t="shared" si="12"/>
        <v>5.8789757623864727</v>
      </c>
      <c r="Q150" s="3">
        <v>6.88</v>
      </c>
      <c r="R150" t="str">
        <f t="shared" si="13"/>
        <v>High</v>
      </c>
      <c r="S150" t="str">
        <f t="shared" si="14"/>
        <v>Valid</v>
      </c>
    </row>
    <row r="151" spans="1:19" x14ac:dyDescent="0.25">
      <c r="A151" s="1">
        <v>45593</v>
      </c>
      <c r="B151" s="1" t="str">
        <f t="shared" si="10"/>
        <v>2024-10</v>
      </c>
      <c r="C151" t="s">
        <v>14</v>
      </c>
      <c r="D151" t="s">
        <v>24</v>
      </c>
      <c r="E151" t="s">
        <v>30</v>
      </c>
      <c r="F151" t="s">
        <v>26</v>
      </c>
      <c r="G151" s="4">
        <v>115454</v>
      </c>
      <c r="H151" s="4">
        <v>7227</v>
      </c>
      <c r="I151" s="5">
        <v>6.2600000000000003E-2</v>
      </c>
      <c r="J151" s="2">
        <v>2.46</v>
      </c>
      <c r="K151" s="6">
        <v>17778.419999999998</v>
      </c>
      <c r="L151" s="4">
        <v>154</v>
      </c>
      <c r="M151" s="2">
        <v>115.44</v>
      </c>
      <c r="N151" s="6">
        <v>5144.22</v>
      </c>
      <c r="O151" s="6">
        <f t="shared" si="11"/>
        <v>-12634.199999999997</v>
      </c>
      <c r="P151" s="6">
        <f t="shared" si="12"/>
        <v>-0.71064807783818795</v>
      </c>
      <c r="Q151" s="3">
        <v>0.28999999999999998</v>
      </c>
      <c r="R151" t="str">
        <f t="shared" si="13"/>
        <v>Low</v>
      </c>
      <c r="S151" t="str">
        <f t="shared" si="14"/>
        <v>Valid</v>
      </c>
    </row>
    <row r="152" spans="1:19" x14ac:dyDescent="0.25">
      <c r="A152" s="1">
        <v>45445</v>
      </c>
      <c r="B152" s="1" t="str">
        <f t="shared" si="10"/>
        <v>2024-06</v>
      </c>
      <c r="C152" t="s">
        <v>28</v>
      </c>
      <c r="D152" t="s">
        <v>15</v>
      </c>
      <c r="E152" t="s">
        <v>19</v>
      </c>
      <c r="F152" t="s">
        <v>23</v>
      </c>
      <c r="G152" s="4">
        <v>37994</v>
      </c>
      <c r="H152" s="4">
        <v>1379</v>
      </c>
      <c r="I152" s="5">
        <v>3.6299999999999999E-2</v>
      </c>
      <c r="J152" s="2">
        <v>1.06</v>
      </c>
      <c r="K152" s="6">
        <v>1461.74</v>
      </c>
      <c r="L152" s="4">
        <v>58</v>
      </c>
      <c r="M152" s="2">
        <v>25.2</v>
      </c>
      <c r="N152" s="6">
        <v>7343.12</v>
      </c>
      <c r="O152" s="6">
        <f t="shared" si="11"/>
        <v>5881.38</v>
      </c>
      <c r="P152" s="6">
        <f t="shared" si="12"/>
        <v>4.023547279269911</v>
      </c>
      <c r="Q152" s="3">
        <v>5.0199999999999996</v>
      </c>
      <c r="R152" t="str">
        <f t="shared" si="13"/>
        <v>High</v>
      </c>
      <c r="S152" t="str">
        <f t="shared" si="14"/>
        <v>Valid</v>
      </c>
    </row>
    <row r="153" spans="1:19" x14ac:dyDescent="0.25">
      <c r="A153" s="1">
        <v>45577</v>
      </c>
      <c r="B153" s="1" t="str">
        <f t="shared" si="10"/>
        <v>2024-10</v>
      </c>
      <c r="C153" t="s">
        <v>28</v>
      </c>
      <c r="D153" t="s">
        <v>21</v>
      </c>
      <c r="E153" t="s">
        <v>19</v>
      </c>
      <c r="F153" t="s">
        <v>26</v>
      </c>
      <c r="G153" s="4">
        <v>74615</v>
      </c>
      <c r="H153" s="4">
        <v>2327</v>
      </c>
      <c r="I153" s="5">
        <v>3.1199999999999999E-2</v>
      </c>
      <c r="J153" s="2">
        <v>1.1000000000000001</v>
      </c>
      <c r="K153" s="6">
        <v>2559.6999999999998</v>
      </c>
      <c r="L153" s="4">
        <v>129</v>
      </c>
      <c r="M153" s="2">
        <v>19.84</v>
      </c>
      <c r="N153" s="6">
        <v>25496.94</v>
      </c>
      <c r="O153" s="6">
        <f t="shared" si="11"/>
        <v>22937.239999999998</v>
      </c>
      <c r="P153" s="6">
        <f t="shared" si="12"/>
        <v>8.960909481579872</v>
      </c>
      <c r="Q153" s="3">
        <v>9.9600000000000009</v>
      </c>
      <c r="R153" t="str">
        <f t="shared" si="13"/>
        <v>High</v>
      </c>
      <c r="S153" t="str">
        <f t="shared" si="14"/>
        <v>Valid</v>
      </c>
    </row>
    <row r="154" spans="1:19" x14ac:dyDescent="0.25">
      <c r="A154" s="1">
        <v>45641</v>
      </c>
      <c r="B154" s="1" t="str">
        <f t="shared" si="10"/>
        <v>2024-12</v>
      </c>
      <c r="C154" t="s">
        <v>14</v>
      </c>
      <c r="D154" t="s">
        <v>15</v>
      </c>
      <c r="E154" t="s">
        <v>19</v>
      </c>
      <c r="F154" t="s">
        <v>27</v>
      </c>
      <c r="G154" s="4">
        <v>176790</v>
      </c>
      <c r="H154" s="4">
        <v>4490</v>
      </c>
      <c r="I154" s="5">
        <v>2.5399999999999999E-2</v>
      </c>
      <c r="J154" s="2">
        <v>1.49</v>
      </c>
      <c r="K154" s="6">
        <v>6690.1</v>
      </c>
      <c r="L154" s="4">
        <v>250</v>
      </c>
      <c r="M154" s="2">
        <v>26.76</v>
      </c>
      <c r="N154" s="6">
        <v>74442.63</v>
      </c>
      <c r="O154" s="6">
        <f t="shared" si="11"/>
        <v>67752.53</v>
      </c>
      <c r="P154" s="6">
        <f t="shared" si="12"/>
        <v>10.127282103406525</v>
      </c>
      <c r="Q154" s="3">
        <v>11.13</v>
      </c>
      <c r="R154" t="str">
        <f t="shared" si="13"/>
        <v>High</v>
      </c>
      <c r="S154" t="str">
        <f t="shared" si="14"/>
        <v>Valid</v>
      </c>
    </row>
    <row r="155" spans="1:19" x14ac:dyDescent="0.25">
      <c r="A155" s="1">
        <v>45594</v>
      </c>
      <c r="B155" s="1" t="str">
        <f t="shared" si="10"/>
        <v>2024-10</v>
      </c>
      <c r="C155" t="s">
        <v>14</v>
      </c>
      <c r="D155" t="s">
        <v>24</v>
      </c>
      <c r="E155" t="s">
        <v>16</v>
      </c>
      <c r="F155" t="s">
        <v>26</v>
      </c>
      <c r="G155" s="4">
        <v>60077</v>
      </c>
      <c r="H155" s="4">
        <v>1994</v>
      </c>
      <c r="I155" s="5">
        <v>3.32E-2</v>
      </c>
      <c r="J155" s="2">
        <v>3.11</v>
      </c>
      <c r="K155" s="6">
        <v>6201.34</v>
      </c>
      <c r="L155" s="4">
        <v>28</v>
      </c>
      <c r="M155" s="2">
        <v>221.48</v>
      </c>
      <c r="N155" s="6">
        <v>7635.29</v>
      </c>
      <c r="O155" s="6">
        <f t="shared" si="11"/>
        <v>1433.9499999999998</v>
      </c>
      <c r="P155" s="6">
        <f t="shared" si="12"/>
        <v>0.23123228205516869</v>
      </c>
      <c r="Q155" s="3">
        <v>1.23</v>
      </c>
      <c r="R155" t="str">
        <f t="shared" si="13"/>
        <v>Medium</v>
      </c>
      <c r="S155" t="str">
        <f t="shared" si="14"/>
        <v>Valid</v>
      </c>
    </row>
    <row r="156" spans="1:19" x14ac:dyDescent="0.25">
      <c r="A156" s="1">
        <v>45382</v>
      </c>
      <c r="B156" s="1" t="str">
        <f t="shared" si="10"/>
        <v>2024-03</v>
      </c>
      <c r="C156" t="s">
        <v>28</v>
      </c>
      <c r="D156" t="s">
        <v>29</v>
      </c>
      <c r="E156" t="s">
        <v>16</v>
      </c>
      <c r="F156" t="s">
        <v>27</v>
      </c>
      <c r="G156" s="4">
        <v>151295</v>
      </c>
      <c r="H156" s="4">
        <v>2163</v>
      </c>
      <c r="I156" s="5">
        <v>1.43E-2</v>
      </c>
      <c r="J156" s="2">
        <v>1.58</v>
      </c>
      <c r="K156" s="6">
        <v>3417.54</v>
      </c>
      <c r="L156" s="4">
        <v>85</v>
      </c>
      <c r="M156" s="2">
        <v>40.21</v>
      </c>
      <c r="N156" s="6">
        <v>3173.67</v>
      </c>
      <c r="O156" s="6">
        <f t="shared" si="11"/>
        <v>-243.86999999999989</v>
      </c>
      <c r="P156" s="6">
        <f t="shared" si="12"/>
        <v>-7.1358345476570842E-2</v>
      </c>
      <c r="Q156" s="3">
        <v>0.93</v>
      </c>
      <c r="R156" t="str">
        <f t="shared" si="13"/>
        <v>Low</v>
      </c>
      <c r="S156" t="str">
        <f t="shared" si="14"/>
        <v>Valid</v>
      </c>
    </row>
    <row r="157" spans="1:19" x14ac:dyDescent="0.25">
      <c r="A157" s="1">
        <v>45401</v>
      </c>
      <c r="B157" s="1" t="str">
        <f t="shared" si="10"/>
        <v>2024-04</v>
      </c>
      <c r="C157" t="s">
        <v>18</v>
      </c>
      <c r="D157" t="s">
        <v>29</v>
      </c>
      <c r="E157" t="s">
        <v>30</v>
      </c>
      <c r="F157" t="s">
        <v>27</v>
      </c>
      <c r="G157" s="4">
        <v>20282</v>
      </c>
      <c r="H157" s="4">
        <v>1740</v>
      </c>
      <c r="I157" s="5">
        <v>8.5800000000000001E-2</v>
      </c>
      <c r="J157" s="2">
        <v>1.25</v>
      </c>
      <c r="K157" s="6">
        <v>2175</v>
      </c>
      <c r="L157" s="4">
        <v>94</v>
      </c>
      <c r="M157" s="2">
        <v>23.14</v>
      </c>
      <c r="N157" s="6">
        <v>14237</v>
      </c>
      <c r="O157" s="6">
        <f t="shared" si="11"/>
        <v>12062</v>
      </c>
      <c r="P157" s="6">
        <f t="shared" si="12"/>
        <v>5.5457471264367815</v>
      </c>
      <c r="Q157" s="3">
        <v>6.55</v>
      </c>
      <c r="R157" t="str">
        <f t="shared" si="13"/>
        <v>High</v>
      </c>
      <c r="S157" t="str">
        <f t="shared" si="14"/>
        <v>Valid</v>
      </c>
    </row>
    <row r="158" spans="1:19" x14ac:dyDescent="0.25">
      <c r="A158" s="1">
        <v>45577</v>
      </c>
      <c r="B158" s="1" t="str">
        <f t="shared" si="10"/>
        <v>2024-10</v>
      </c>
      <c r="C158" t="s">
        <v>14</v>
      </c>
      <c r="D158" t="s">
        <v>15</v>
      </c>
      <c r="E158" t="s">
        <v>22</v>
      </c>
      <c r="F158" t="s">
        <v>26</v>
      </c>
      <c r="G158" s="4">
        <v>185488</v>
      </c>
      <c r="H158" s="4">
        <v>3950</v>
      </c>
      <c r="I158" s="5">
        <v>2.1299999999999999E-2</v>
      </c>
      <c r="J158" s="2">
        <v>1.39</v>
      </c>
      <c r="K158" s="6">
        <v>5490.5</v>
      </c>
      <c r="L158" s="4">
        <v>289</v>
      </c>
      <c r="M158" s="2">
        <v>19</v>
      </c>
      <c r="N158" s="6">
        <v>75172.149999999994</v>
      </c>
      <c r="O158" s="6">
        <f t="shared" si="11"/>
        <v>69681.649999999994</v>
      </c>
      <c r="P158" s="6">
        <f t="shared" si="12"/>
        <v>12.691312266642381</v>
      </c>
      <c r="Q158" s="3">
        <v>13.69</v>
      </c>
      <c r="R158" t="str">
        <f t="shared" si="13"/>
        <v>High</v>
      </c>
      <c r="S158" t="str">
        <f t="shared" si="14"/>
        <v>Valid</v>
      </c>
    </row>
    <row r="159" spans="1:19" x14ac:dyDescent="0.25">
      <c r="A159" s="1">
        <v>45546</v>
      </c>
      <c r="B159" s="1" t="str">
        <f t="shared" si="10"/>
        <v>2024-09</v>
      </c>
      <c r="C159" t="s">
        <v>28</v>
      </c>
      <c r="D159" t="s">
        <v>29</v>
      </c>
      <c r="E159" t="s">
        <v>30</v>
      </c>
      <c r="F159" t="s">
        <v>32</v>
      </c>
      <c r="G159" s="4">
        <v>28567</v>
      </c>
      <c r="H159" s="4">
        <v>999</v>
      </c>
      <c r="I159" s="5">
        <v>3.5000000000000003E-2</v>
      </c>
      <c r="J159" s="2">
        <v>1.69</v>
      </c>
      <c r="K159" s="6">
        <v>1688.31</v>
      </c>
      <c r="L159" s="4">
        <v>68</v>
      </c>
      <c r="M159" s="2">
        <v>24.83</v>
      </c>
      <c r="N159" s="6">
        <v>13037.25</v>
      </c>
      <c r="O159" s="6">
        <f t="shared" si="11"/>
        <v>11348.94</v>
      </c>
      <c r="P159" s="6">
        <f t="shared" si="12"/>
        <v>6.7220711836096454</v>
      </c>
      <c r="Q159" s="3">
        <v>7.72</v>
      </c>
      <c r="R159" t="str">
        <f t="shared" si="13"/>
        <v>High</v>
      </c>
      <c r="S159" t="str">
        <f t="shared" si="14"/>
        <v>Valid</v>
      </c>
    </row>
    <row r="160" spans="1:19" x14ac:dyDescent="0.25">
      <c r="A160" s="1">
        <v>45615</v>
      </c>
      <c r="B160" s="1" t="str">
        <f t="shared" si="10"/>
        <v>2024-11</v>
      </c>
      <c r="C160" t="s">
        <v>14</v>
      </c>
      <c r="D160" t="s">
        <v>15</v>
      </c>
      <c r="E160" t="s">
        <v>30</v>
      </c>
      <c r="F160" t="s">
        <v>17</v>
      </c>
      <c r="G160" s="4">
        <v>96170</v>
      </c>
      <c r="H160" s="4">
        <v>5145</v>
      </c>
      <c r="I160" s="5">
        <v>5.3499999999999999E-2</v>
      </c>
      <c r="J160" s="2">
        <v>2.12</v>
      </c>
      <c r="K160" s="6">
        <v>10907.4</v>
      </c>
      <c r="L160" s="4">
        <v>268</v>
      </c>
      <c r="M160" s="2">
        <v>40.700000000000003</v>
      </c>
      <c r="N160" s="6">
        <v>72622.990000000005</v>
      </c>
      <c r="O160" s="6">
        <f t="shared" si="11"/>
        <v>61715.590000000004</v>
      </c>
      <c r="P160" s="6">
        <f t="shared" si="12"/>
        <v>5.6581394282780506</v>
      </c>
      <c r="Q160" s="3">
        <v>6.66</v>
      </c>
      <c r="R160" t="str">
        <f t="shared" si="13"/>
        <v>High</v>
      </c>
      <c r="S160" t="str">
        <f t="shared" si="14"/>
        <v>Valid</v>
      </c>
    </row>
    <row r="161" spans="1:19" x14ac:dyDescent="0.25">
      <c r="A161" s="1">
        <v>45329</v>
      </c>
      <c r="B161" s="1" t="str">
        <f t="shared" si="10"/>
        <v>2024-02</v>
      </c>
      <c r="C161" t="s">
        <v>28</v>
      </c>
      <c r="D161" t="s">
        <v>24</v>
      </c>
      <c r="E161" t="s">
        <v>22</v>
      </c>
      <c r="F161" t="s">
        <v>27</v>
      </c>
      <c r="G161" s="4">
        <v>101019</v>
      </c>
      <c r="H161" s="4">
        <v>2515</v>
      </c>
      <c r="I161" s="5">
        <v>2.4899999999999999E-2</v>
      </c>
      <c r="J161" s="2">
        <v>1.69</v>
      </c>
      <c r="K161" s="6">
        <v>4250.3500000000004</v>
      </c>
      <c r="L161" s="4">
        <v>72</v>
      </c>
      <c r="M161" s="2">
        <v>59.03</v>
      </c>
      <c r="N161" s="6">
        <v>11353.12</v>
      </c>
      <c r="O161" s="6">
        <f t="shared" si="11"/>
        <v>7102.77</v>
      </c>
      <c r="P161" s="6">
        <f t="shared" si="12"/>
        <v>1.6711023798040161</v>
      </c>
      <c r="Q161" s="3">
        <v>2.67</v>
      </c>
      <c r="R161" t="str">
        <f t="shared" si="13"/>
        <v>Medium</v>
      </c>
      <c r="S161" t="str">
        <f t="shared" si="14"/>
        <v>Valid</v>
      </c>
    </row>
    <row r="162" spans="1:19" x14ac:dyDescent="0.25">
      <c r="A162" s="1">
        <v>45352</v>
      </c>
      <c r="B162" s="1" t="str">
        <f t="shared" si="10"/>
        <v>2024-03</v>
      </c>
      <c r="C162" t="s">
        <v>18</v>
      </c>
      <c r="D162" t="s">
        <v>24</v>
      </c>
      <c r="E162" t="s">
        <v>30</v>
      </c>
      <c r="F162" t="s">
        <v>20</v>
      </c>
      <c r="G162" s="4">
        <v>91795</v>
      </c>
      <c r="H162" s="4">
        <v>3800</v>
      </c>
      <c r="I162" s="5">
        <v>4.1399999999999999E-2</v>
      </c>
      <c r="J162" s="2">
        <v>1.22</v>
      </c>
      <c r="K162" s="6">
        <v>4636</v>
      </c>
      <c r="L162" s="4">
        <v>157</v>
      </c>
      <c r="M162" s="2">
        <v>29.53</v>
      </c>
      <c r="N162" s="6">
        <v>24815.09</v>
      </c>
      <c r="O162" s="6">
        <f t="shared" si="11"/>
        <v>20179.09</v>
      </c>
      <c r="P162" s="6">
        <f t="shared" si="12"/>
        <v>4.3526941328731663</v>
      </c>
      <c r="Q162" s="3">
        <v>5.35</v>
      </c>
      <c r="R162" t="str">
        <f t="shared" si="13"/>
        <v>High</v>
      </c>
      <c r="S162" t="str">
        <f t="shared" si="14"/>
        <v>Valid</v>
      </c>
    </row>
    <row r="163" spans="1:19" x14ac:dyDescent="0.25">
      <c r="A163" s="1">
        <v>45481</v>
      </c>
      <c r="B163" s="1" t="str">
        <f t="shared" si="10"/>
        <v>2024-07</v>
      </c>
      <c r="C163" t="s">
        <v>28</v>
      </c>
      <c r="D163" t="s">
        <v>15</v>
      </c>
      <c r="E163" t="s">
        <v>30</v>
      </c>
      <c r="F163" t="s">
        <v>31</v>
      </c>
      <c r="G163" s="4">
        <v>22543</v>
      </c>
      <c r="H163" s="4">
        <v>333</v>
      </c>
      <c r="I163" s="5">
        <v>1.4800000000000001E-2</v>
      </c>
      <c r="J163" s="2">
        <v>1.49</v>
      </c>
      <c r="K163" s="6">
        <v>496.17</v>
      </c>
      <c r="L163" s="4">
        <v>12</v>
      </c>
      <c r="M163" s="2">
        <v>41.35</v>
      </c>
      <c r="N163" s="6">
        <v>642.17999999999995</v>
      </c>
      <c r="O163" s="6">
        <f t="shared" si="11"/>
        <v>146.00999999999993</v>
      </c>
      <c r="P163" s="6">
        <f t="shared" si="12"/>
        <v>0.29427413991172369</v>
      </c>
      <c r="Q163" s="3">
        <v>1.29</v>
      </c>
      <c r="R163" t="str">
        <f t="shared" si="13"/>
        <v>Medium</v>
      </c>
      <c r="S163" t="str">
        <f t="shared" si="14"/>
        <v>Valid</v>
      </c>
    </row>
    <row r="164" spans="1:19" x14ac:dyDescent="0.25">
      <c r="A164" s="1">
        <v>45350</v>
      </c>
      <c r="B164" s="1" t="str">
        <f t="shared" si="10"/>
        <v>2024-02</v>
      </c>
      <c r="C164" t="s">
        <v>28</v>
      </c>
      <c r="D164" t="s">
        <v>24</v>
      </c>
      <c r="E164" t="s">
        <v>22</v>
      </c>
      <c r="F164" t="s">
        <v>27</v>
      </c>
      <c r="G164" s="4">
        <v>119598</v>
      </c>
      <c r="H164" s="4">
        <v>1064</v>
      </c>
      <c r="I164" s="5">
        <v>8.8999999999999999E-3</v>
      </c>
      <c r="J164" s="2">
        <v>2</v>
      </c>
      <c r="K164" s="6">
        <v>2128</v>
      </c>
      <c r="L164" s="4">
        <v>64</v>
      </c>
      <c r="M164" s="2">
        <v>33.25</v>
      </c>
      <c r="N164" s="6">
        <v>17165.43</v>
      </c>
      <c r="O164" s="6">
        <f t="shared" si="11"/>
        <v>15037.43</v>
      </c>
      <c r="P164" s="6">
        <f t="shared" si="12"/>
        <v>7.0664614661654133</v>
      </c>
      <c r="Q164" s="3">
        <v>8.07</v>
      </c>
      <c r="R164" t="str">
        <f t="shared" si="13"/>
        <v>High</v>
      </c>
      <c r="S164" t="str">
        <f t="shared" si="14"/>
        <v>Valid</v>
      </c>
    </row>
    <row r="165" spans="1:19" x14ac:dyDescent="0.25">
      <c r="A165" s="1">
        <v>45531</v>
      </c>
      <c r="B165" s="1" t="str">
        <f t="shared" si="10"/>
        <v>2024-08</v>
      </c>
      <c r="C165" t="s">
        <v>28</v>
      </c>
      <c r="D165" t="s">
        <v>15</v>
      </c>
      <c r="E165" t="s">
        <v>19</v>
      </c>
      <c r="F165" t="s">
        <v>17</v>
      </c>
      <c r="G165" s="4">
        <v>158504</v>
      </c>
      <c r="H165" s="4">
        <v>4897</v>
      </c>
      <c r="I165" s="5">
        <v>3.09E-2</v>
      </c>
      <c r="J165" s="2">
        <v>0.43</v>
      </c>
      <c r="K165" s="6">
        <v>2105.71</v>
      </c>
      <c r="L165" s="4">
        <v>255</v>
      </c>
      <c r="M165" s="2">
        <v>8.26</v>
      </c>
      <c r="N165" s="6">
        <v>54921.72</v>
      </c>
      <c r="O165" s="6">
        <f t="shared" si="11"/>
        <v>52816.01</v>
      </c>
      <c r="P165" s="6">
        <f t="shared" si="12"/>
        <v>25.082281035850141</v>
      </c>
      <c r="Q165" s="3">
        <v>26.08</v>
      </c>
      <c r="R165" t="str">
        <f t="shared" si="13"/>
        <v>High</v>
      </c>
      <c r="S165" t="str">
        <f t="shared" si="14"/>
        <v>Valid</v>
      </c>
    </row>
    <row r="166" spans="1:19" x14ac:dyDescent="0.25">
      <c r="A166" s="1">
        <v>45373</v>
      </c>
      <c r="B166" s="1" t="str">
        <f t="shared" si="10"/>
        <v>2024-03</v>
      </c>
      <c r="C166" t="s">
        <v>14</v>
      </c>
      <c r="D166" t="s">
        <v>29</v>
      </c>
      <c r="E166" t="s">
        <v>30</v>
      </c>
      <c r="F166" t="s">
        <v>32</v>
      </c>
      <c r="G166" s="4">
        <v>39542</v>
      </c>
      <c r="H166" s="4">
        <v>1209</v>
      </c>
      <c r="I166" s="5">
        <v>3.0599999999999999E-2</v>
      </c>
      <c r="J166" s="2">
        <v>1.85</v>
      </c>
      <c r="K166" s="6">
        <v>2236.65</v>
      </c>
      <c r="L166" s="4">
        <v>42</v>
      </c>
      <c r="M166" s="2">
        <v>53.25</v>
      </c>
      <c r="N166" s="6">
        <v>7992.11</v>
      </c>
      <c r="O166" s="6">
        <f t="shared" si="11"/>
        <v>5755.4599999999991</v>
      </c>
      <c r="P166" s="6">
        <f t="shared" si="12"/>
        <v>2.5732501732501727</v>
      </c>
      <c r="Q166" s="3">
        <v>3.57</v>
      </c>
      <c r="R166" t="str">
        <f t="shared" si="13"/>
        <v>High</v>
      </c>
      <c r="S166" t="str">
        <f t="shared" si="14"/>
        <v>Valid</v>
      </c>
    </row>
    <row r="167" spans="1:19" x14ac:dyDescent="0.25">
      <c r="A167" s="1">
        <v>45492</v>
      </c>
      <c r="B167" s="1" t="str">
        <f t="shared" si="10"/>
        <v>2024-07</v>
      </c>
      <c r="C167" t="s">
        <v>14</v>
      </c>
      <c r="D167" t="s">
        <v>29</v>
      </c>
      <c r="E167" t="s">
        <v>16</v>
      </c>
      <c r="F167" t="s">
        <v>31</v>
      </c>
      <c r="G167" s="4">
        <v>110848</v>
      </c>
      <c r="H167" s="4">
        <v>3181</v>
      </c>
      <c r="I167" s="5">
        <v>2.87E-2</v>
      </c>
      <c r="J167" s="2">
        <v>2.4500000000000002</v>
      </c>
      <c r="K167" s="6">
        <v>7793.45</v>
      </c>
      <c r="L167" s="4">
        <v>186</v>
      </c>
      <c r="M167" s="2">
        <v>41.9</v>
      </c>
      <c r="N167" s="6">
        <v>32321.78</v>
      </c>
      <c r="O167" s="6">
        <f t="shared" si="11"/>
        <v>24528.329999999998</v>
      </c>
      <c r="P167" s="6">
        <f t="shared" si="12"/>
        <v>3.1473006178265082</v>
      </c>
      <c r="Q167" s="3">
        <v>4.1500000000000004</v>
      </c>
      <c r="R167" t="str">
        <f t="shared" si="13"/>
        <v>High</v>
      </c>
      <c r="S167" t="str">
        <f t="shared" si="14"/>
        <v>Valid</v>
      </c>
    </row>
    <row r="168" spans="1:19" x14ac:dyDescent="0.25">
      <c r="A168" s="1">
        <v>45648</v>
      </c>
      <c r="B168" s="1" t="str">
        <f t="shared" si="10"/>
        <v>2024-12</v>
      </c>
      <c r="C168" t="s">
        <v>28</v>
      </c>
      <c r="D168" t="s">
        <v>21</v>
      </c>
      <c r="E168" t="s">
        <v>22</v>
      </c>
      <c r="F168" t="s">
        <v>32</v>
      </c>
      <c r="G168" s="4">
        <v>79964</v>
      </c>
      <c r="H168" s="4">
        <v>1487</v>
      </c>
      <c r="I168" s="5">
        <v>1.8599999999999998E-2</v>
      </c>
      <c r="J168" s="2">
        <v>1.07</v>
      </c>
      <c r="K168" s="6">
        <v>1591.09</v>
      </c>
      <c r="L168" s="4">
        <v>22</v>
      </c>
      <c r="M168" s="2">
        <v>72.319999999999993</v>
      </c>
      <c r="N168" s="6">
        <v>3882.65</v>
      </c>
      <c r="O168" s="6">
        <f t="shared" si="11"/>
        <v>2291.5600000000004</v>
      </c>
      <c r="P168" s="6">
        <f t="shared" si="12"/>
        <v>1.4402453663840515</v>
      </c>
      <c r="Q168" s="3">
        <v>2.44</v>
      </c>
      <c r="R168" t="str">
        <f t="shared" si="13"/>
        <v>Medium</v>
      </c>
      <c r="S168" t="str">
        <f t="shared" si="14"/>
        <v>Valid</v>
      </c>
    </row>
    <row r="169" spans="1:19" x14ac:dyDescent="0.25">
      <c r="A169" s="1">
        <v>45645</v>
      </c>
      <c r="B169" s="1" t="str">
        <f t="shared" si="10"/>
        <v>2024-12</v>
      </c>
      <c r="C169" t="s">
        <v>18</v>
      </c>
      <c r="D169" t="s">
        <v>29</v>
      </c>
      <c r="E169" t="s">
        <v>19</v>
      </c>
      <c r="F169" t="s">
        <v>26</v>
      </c>
      <c r="G169" s="4">
        <v>105127</v>
      </c>
      <c r="H169" s="4">
        <v>7747</v>
      </c>
      <c r="I169" s="5">
        <v>7.3700000000000002E-2</v>
      </c>
      <c r="J169" s="2">
        <v>0.88</v>
      </c>
      <c r="K169" s="6">
        <v>6817.36</v>
      </c>
      <c r="L169" s="4">
        <v>460</v>
      </c>
      <c r="M169" s="2">
        <v>14.82</v>
      </c>
      <c r="N169" s="6">
        <v>99299.9</v>
      </c>
      <c r="O169" s="6">
        <f t="shared" si="11"/>
        <v>92482.54</v>
      </c>
      <c r="P169" s="6">
        <f t="shared" si="12"/>
        <v>13.565740990647406</v>
      </c>
      <c r="Q169" s="3">
        <v>14.57</v>
      </c>
      <c r="R169" t="str">
        <f t="shared" si="13"/>
        <v>High</v>
      </c>
      <c r="S169" t="str">
        <f t="shared" si="14"/>
        <v>Valid</v>
      </c>
    </row>
    <row r="170" spans="1:19" x14ac:dyDescent="0.25">
      <c r="A170" s="1">
        <v>45298</v>
      </c>
      <c r="B170" s="1" t="str">
        <f t="shared" si="10"/>
        <v>2024-01</v>
      </c>
      <c r="C170" t="s">
        <v>14</v>
      </c>
      <c r="D170" t="s">
        <v>24</v>
      </c>
      <c r="E170" t="s">
        <v>19</v>
      </c>
      <c r="F170" t="s">
        <v>17</v>
      </c>
      <c r="G170" s="4">
        <v>73803</v>
      </c>
      <c r="H170" s="4">
        <v>1505</v>
      </c>
      <c r="I170" s="5">
        <v>2.0400000000000001E-2</v>
      </c>
      <c r="J170" s="2">
        <v>2.12</v>
      </c>
      <c r="K170" s="6">
        <v>3190.6</v>
      </c>
      <c r="L170" s="4">
        <v>98</v>
      </c>
      <c r="M170" s="2">
        <v>32.56</v>
      </c>
      <c r="N170" s="6">
        <v>18709.86</v>
      </c>
      <c r="O170" s="6">
        <f t="shared" si="11"/>
        <v>15519.26</v>
      </c>
      <c r="P170" s="6">
        <f t="shared" si="12"/>
        <v>4.864056917194258</v>
      </c>
      <c r="Q170" s="3">
        <v>5.86</v>
      </c>
      <c r="R170" t="str">
        <f t="shared" si="13"/>
        <v>High</v>
      </c>
      <c r="S170" t="str">
        <f t="shared" si="14"/>
        <v>Valid</v>
      </c>
    </row>
    <row r="171" spans="1:19" x14ac:dyDescent="0.25">
      <c r="A171" s="1">
        <v>45467</v>
      </c>
      <c r="B171" s="1" t="str">
        <f t="shared" si="10"/>
        <v>2024-06</v>
      </c>
      <c r="C171" t="s">
        <v>14</v>
      </c>
      <c r="D171" t="s">
        <v>24</v>
      </c>
      <c r="E171" t="s">
        <v>22</v>
      </c>
      <c r="F171" t="s">
        <v>20</v>
      </c>
      <c r="G171" s="4">
        <v>96575</v>
      </c>
      <c r="H171" s="4">
        <v>4925</v>
      </c>
      <c r="I171" s="5">
        <v>5.0999999999999997E-2</v>
      </c>
      <c r="J171" s="2">
        <v>2.4</v>
      </c>
      <c r="K171" s="6">
        <v>11820</v>
      </c>
      <c r="L171" s="4">
        <v>181</v>
      </c>
      <c r="M171" s="2">
        <v>65.3</v>
      </c>
      <c r="N171" s="6">
        <v>7335.74</v>
      </c>
      <c r="O171" s="6">
        <f t="shared" si="11"/>
        <v>-4484.26</v>
      </c>
      <c r="P171" s="6">
        <f t="shared" si="12"/>
        <v>-0.37937901861252116</v>
      </c>
      <c r="Q171" s="3">
        <v>0.62</v>
      </c>
      <c r="R171" t="str">
        <f t="shared" si="13"/>
        <v>Low</v>
      </c>
      <c r="S171" t="str">
        <f t="shared" si="14"/>
        <v>Valid</v>
      </c>
    </row>
    <row r="172" spans="1:19" x14ac:dyDescent="0.25">
      <c r="A172" s="1">
        <v>45342</v>
      </c>
      <c r="B172" s="1" t="str">
        <f t="shared" si="10"/>
        <v>2024-02</v>
      </c>
      <c r="C172" t="s">
        <v>14</v>
      </c>
      <c r="D172" t="s">
        <v>24</v>
      </c>
      <c r="E172" t="s">
        <v>16</v>
      </c>
      <c r="F172" t="s">
        <v>20</v>
      </c>
      <c r="G172" s="4">
        <v>162489</v>
      </c>
      <c r="H172" s="4">
        <v>4500</v>
      </c>
      <c r="I172" s="5">
        <v>2.7699999999999999E-2</v>
      </c>
      <c r="J172" s="2">
        <v>3.03</v>
      </c>
      <c r="K172" s="6">
        <v>13635</v>
      </c>
      <c r="L172" s="4">
        <v>184</v>
      </c>
      <c r="M172" s="2">
        <v>74.099999999999994</v>
      </c>
      <c r="N172" s="6">
        <v>54944.54</v>
      </c>
      <c r="O172" s="6">
        <f t="shared" si="11"/>
        <v>41309.54</v>
      </c>
      <c r="P172" s="6">
        <f t="shared" si="12"/>
        <v>3.0296692335900257</v>
      </c>
      <c r="Q172" s="3">
        <v>4.03</v>
      </c>
      <c r="R172" t="str">
        <f t="shared" si="13"/>
        <v>High</v>
      </c>
      <c r="S172" t="str">
        <f t="shared" si="14"/>
        <v>Valid</v>
      </c>
    </row>
    <row r="173" spans="1:19" x14ac:dyDescent="0.25">
      <c r="A173" s="1">
        <v>45417</v>
      </c>
      <c r="B173" s="1" t="str">
        <f t="shared" si="10"/>
        <v>2024-05</v>
      </c>
      <c r="C173" t="s">
        <v>28</v>
      </c>
      <c r="D173" t="s">
        <v>15</v>
      </c>
      <c r="E173" t="s">
        <v>22</v>
      </c>
      <c r="F173" t="s">
        <v>27</v>
      </c>
      <c r="G173" s="4">
        <v>76155</v>
      </c>
      <c r="H173" s="4">
        <v>3548</v>
      </c>
      <c r="I173" s="5">
        <v>4.6600000000000003E-2</v>
      </c>
      <c r="J173" s="2">
        <v>1.25</v>
      </c>
      <c r="K173" s="6">
        <v>4435</v>
      </c>
      <c r="L173" s="4">
        <v>243</v>
      </c>
      <c r="M173" s="2">
        <v>18.25</v>
      </c>
      <c r="N173" s="6">
        <v>30659.34</v>
      </c>
      <c r="O173" s="6">
        <f t="shared" si="11"/>
        <v>26224.34</v>
      </c>
      <c r="P173" s="6">
        <f t="shared" si="12"/>
        <v>5.9130417136414879</v>
      </c>
      <c r="Q173" s="3">
        <v>6.91</v>
      </c>
      <c r="R173" t="str">
        <f t="shared" si="13"/>
        <v>High</v>
      </c>
      <c r="S173" t="str">
        <f t="shared" si="14"/>
        <v>Valid</v>
      </c>
    </row>
    <row r="174" spans="1:19" x14ac:dyDescent="0.25">
      <c r="A174" s="1">
        <v>45632</v>
      </c>
      <c r="B174" s="1" t="str">
        <f t="shared" si="10"/>
        <v>2024-12</v>
      </c>
      <c r="C174" t="s">
        <v>18</v>
      </c>
      <c r="D174" t="s">
        <v>15</v>
      </c>
      <c r="E174" t="s">
        <v>16</v>
      </c>
      <c r="F174" t="s">
        <v>20</v>
      </c>
      <c r="G174" s="4">
        <v>180021</v>
      </c>
      <c r="H174" s="4">
        <v>13105</v>
      </c>
      <c r="I174" s="5">
        <v>7.2800000000000004E-2</v>
      </c>
      <c r="J174" s="2">
        <v>1.61</v>
      </c>
      <c r="K174" s="6">
        <v>21099.05</v>
      </c>
      <c r="L174" s="4">
        <v>880</v>
      </c>
      <c r="M174" s="2">
        <v>23.98</v>
      </c>
      <c r="N174" s="6">
        <v>75656.62</v>
      </c>
      <c r="O174" s="6">
        <f t="shared" si="11"/>
        <v>54557.569999999992</v>
      </c>
      <c r="P174" s="6">
        <f t="shared" si="12"/>
        <v>2.5857832461651116</v>
      </c>
      <c r="Q174" s="3">
        <v>3.59</v>
      </c>
      <c r="R174" t="str">
        <f t="shared" si="13"/>
        <v>High</v>
      </c>
      <c r="S174" t="str">
        <f t="shared" si="14"/>
        <v>Valid</v>
      </c>
    </row>
    <row r="175" spans="1:19" x14ac:dyDescent="0.25">
      <c r="A175" s="1">
        <v>45395</v>
      </c>
      <c r="B175" s="1" t="str">
        <f t="shared" si="10"/>
        <v>2024-04</v>
      </c>
      <c r="C175" t="s">
        <v>18</v>
      </c>
      <c r="D175" t="s">
        <v>21</v>
      </c>
      <c r="E175" t="s">
        <v>19</v>
      </c>
      <c r="F175" t="s">
        <v>20</v>
      </c>
      <c r="G175" s="4">
        <v>79965</v>
      </c>
      <c r="H175" s="4">
        <v>3070</v>
      </c>
      <c r="I175" s="5">
        <v>3.8399999999999997E-2</v>
      </c>
      <c r="J175" s="2">
        <v>1.02</v>
      </c>
      <c r="K175" s="6">
        <v>3131.4</v>
      </c>
      <c r="L175" s="4">
        <v>237</v>
      </c>
      <c r="M175" s="2">
        <v>13.21</v>
      </c>
      <c r="N175" s="6">
        <v>65306</v>
      </c>
      <c r="O175" s="6">
        <f t="shared" si="11"/>
        <v>62174.6</v>
      </c>
      <c r="P175" s="6">
        <f t="shared" si="12"/>
        <v>19.855208532924568</v>
      </c>
      <c r="Q175" s="3">
        <v>20.86</v>
      </c>
      <c r="R175" t="str">
        <f t="shared" si="13"/>
        <v>High</v>
      </c>
      <c r="S175" t="str">
        <f t="shared" si="14"/>
        <v>Valid</v>
      </c>
    </row>
    <row r="176" spans="1:19" x14ac:dyDescent="0.25">
      <c r="A176" s="1">
        <v>45440</v>
      </c>
      <c r="B176" s="1" t="str">
        <f t="shared" si="10"/>
        <v>2024-05</v>
      </c>
      <c r="C176" t="s">
        <v>28</v>
      </c>
      <c r="D176" t="s">
        <v>15</v>
      </c>
      <c r="E176" t="s">
        <v>19</v>
      </c>
      <c r="F176" t="s">
        <v>31</v>
      </c>
      <c r="G176" s="4">
        <v>49789</v>
      </c>
      <c r="H176" s="4">
        <v>622</v>
      </c>
      <c r="I176" s="5">
        <v>1.2500000000000001E-2</v>
      </c>
      <c r="J176" s="2">
        <v>2.08</v>
      </c>
      <c r="K176" s="6">
        <v>1293.76</v>
      </c>
      <c r="L176" s="4">
        <v>48</v>
      </c>
      <c r="M176" s="2">
        <v>26.95</v>
      </c>
      <c r="N176" s="6">
        <v>7704.96</v>
      </c>
      <c r="O176" s="6">
        <f t="shared" si="11"/>
        <v>6411.2</v>
      </c>
      <c r="P176" s="6">
        <f t="shared" si="12"/>
        <v>4.9554786049962898</v>
      </c>
      <c r="Q176" s="3">
        <v>5.96</v>
      </c>
      <c r="R176" t="str">
        <f t="shared" si="13"/>
        <v>High</v>
      </c>
      <c r="S176" t="str">
        <f t="shared" si="14"/>
        <v>Valid</v>
      </c>
    </row>
    <row r="177" spans="1:19" x14ac:dyDescent="0.25">
      <c r="A177" s="1">
        <v>45393</v>
      </c>
      <c r="B177" s="1" t="str">
        <f t="shared" si="10"/>
        <v>2024-04</v>
      </c>
      <c r="C177" t="s">
        <v>18</v>
      </c>
      <c r="D177" t="s">
        <v>21</v>
      </c>
      <c r="E177" t="s">
        <v>25</v>
      </c>
      <c r="F177" t="s">
        <v>26</v>
      </c>
      <c r="G177" s="4">
        <v>195026</v>
      </c>
      <c r="H177" s="4">
        <v>9653</v>
      </c>
      <c r="I177" s="5">
        <v>4.9500000000000002E-2</v>
      </c>
      <c r="J177" s="2">
        <v>1.83</v>
      </c>
      <c r="K177" s="6">
        <v>17664.990000000002</v>
      </c>
      <c r="L177" s="4">
        <v>371</v>
      </c>
      <c r="M177" s="2">
        <v>47.61</v>
      </c>
      <c r="N177" s="6">
        <v>94022.57</v>
      </c>
      <c r="O177" s="6">
        <f t="shared" si="11"/>
        <v>76357.58</v>
      </c>
      <c r="P177" s="6">
        <f t="shared" si="12"/>
        <v>4.3225374030780657</v>
      </c>
      <c r="Q177" s="3">
        <v>5.32</v>
      </c>
      <c r="R177" t="str">
        <f t="shared" si="13"/>
        <v>High</v>
      </c>
      <c r="S177" t="str">
        <f t="shared" si="14"/>
        <v>Valid</v>
      </c>
    </row>
    <row r="178" spans="1:19" x14ac:dyDescent="0.25">
      <c r="A178" s="1">
        <v>45339</v>
      </c>
      <c r="B178" s="1" t="str">
        <f t="shared" si="10"/>
        <v>2024-02</v>
      </c>
      <c r="C178" t="s">
        <v>18</v>
      </c>
      <c r="D178" t="s">
        <v>24</v>
      </c>
      <c r="E178" t="s">
        <v>22</v>
      </c>
      <c r="F178" t="s">
        <v>27</v>
      </c>
      <c r="G178" s="4">
        <v>130438</v>
      </c>
      <c r="H178" s="4">
        <v>7721</v>
      </c>
      <c r="I178" s="5">
        <v>5.9200000000000003E-2</v>
      </c>
      <c r="J178" s="2">
        <v>1.6</v>
      </c>
      <c r="K178" s="6">
        <v>12353.6</v>
      </c>
      <c r="L178" s="4">
        <v>353</v>
      </c>
      <c r="M178" s="2">
        <v>35</v>
      </c>
      <c r="N178" s="6">
        <v>70310.53</v>
      </c>
      <c r="O178" s="6">
        <f t="shared" si="11"/>
        <v>57956.93</v>
      </c>
      <c r="P178" s="6">
        <f t="shared" si="12"/>
        <v>4.6915012627897941</v>
      </c>
      <c r="Q178" s="3">
        <v>5.69</v>
      </c>
      <c r="R178" t="str">
        <f t="shared" si="13"/>
        <v>High</v>
      </c>
      <c r="S178" t="str">
        <f t="shared" si="14"/>
        <v>Valid</v>
      </c>
    </row>
    <row r="179" spans="1:19" x14ac:dyDescent="0.25">
      <c r="A179" s="1">
        <v>45640</v>
      </c>
      <c r="B179" s="1" t="str">
        <f t="shared" si="10"/>
        <v>2024-12</v>
      </c>
      <c r="C179" t="s">
        <v>18</v>
      </c>
      <c r="D179" t="s">
        <v>24</v>
      </c>
      <c r="E179" t="s">
        <v>25</v>
      </c>
      <c r="F179" t="s">
        <v>31</v>
      </c>
      <c r="G179" s="4">
        <v>141917</v>
      </c>
      <c r="H179" s="4">
        <v>4796</v>
      </c>
      <c r="I179" s="5">
        <v>3.3799999999999997E-2</v>
      </c>
      <c r="J179" s="2">
        <v>0.66</v>
      </c>
      <c r="K179" s="6">
        <v>3165.36</v>
      </c>
      <c r="L179" s="4">
        <v>369</v>
      </c>
      <c r="M179" s="2">
        <v>8.58</v>
      </c>
      <c r="N179" s="6">
        <v>11953.05</v>
      </c>
      <c r="O179" s="6">
        <f t="shared" si="11"/>
        <v>8787.6899999999987</v>
      </c>
      <c r="P179" s="6">
        <f t="shared" si="12"/>
        <v>2.7762055500796112</v>
      </c>
      <c r="Q179" s="3">
        <v>3.78</v>
      </c>
      <c r="R179" t="str">
        <f t="shared" si="13"/>
        <v>High</v>
      </c>
      <c r="S179" t="str">
        <f t="shared" si="14"/>
        <v>Valid</v>
      </c>
    </row>
    <row r="180" spans="1:19" x14ac:dyDescent="0.25">
      <c r="A180" s="1">
        <v>45618</v>
      </c>
      <c r="B180" s="1" t="str">
        <f t="shared" si="10"/>
        <v>2024-11</v>
      </c>
      <c r="C180" t="s">
        <v>18</v>
      </c>
      <c r="D180" t="s">
        <v>24</v>
      </c>
      <c r="E180" t="s">
        <v>25</v>
      </c>
      <c r="F180" t="s">
        <v>23</v>
      </c>
      <c r="G180" s="4">
        <v>146958</v>
      </c>
      <c r="H180" s="4">
        <v>7494</v>
      </c>
      <c r="I180" s="5">
        <v>5.0999999999999997E-2</v>
      </c>
      <c r="J180" s="2">
        <v>1.68</v>
      </c>
      <c r="K180" s="6">
        <v>12589.92</v>
      </c>
      <c r="L180" s="4">
        <v>538</v>
      </c>
      <c r="M180" s="2">
        <v>23.4</v>
      </c>
      <c r="N180" s="6">
        <v>117826.98</v>
      </c>
      <c r="O180" s="6">
        <f t="shared" si="11"/>
        <v>105237.06</v>
      </c>
      <c r="P180" s="6">
        <f t="shared" si="12"/>
        <v>8.3588346867970564</v>
      </c>
      <c r="Q180" s="3">
        <v>9.36</v>
      </c>
      <c r="R180" t="str">
        <f t="shared" si="13"/>
        <v>High</v>
      </c>
      <c r="S180" t="str">
        <f t="shared" si="14"/>
        <v>Valid</v>
      </c>
    </row>
    <row r="181" spans="1:19" x14ac:dyDescent="0.25">
      <c r="A181" s="1">
        <v>45551</v>
      </c>
      <c r="B181" s="1" t="str">
        <f t="shared" si="10"/>
        <v>2024-09</v>
      </c>
      <c r="C181" t="s">
        <v>14</v>
      </c>
      <c r="D181" t="s">
        <v>21</v>
      </c>
      <c r="E181" t="s">
        <v>30</v>
      </c>
      <c r="F181" t="s">
        <v>20</v>
      </c>
      <c r="G181" s="4">
        <v>13605</v>
      </c>
      <c r="H181" s="4">
        <v>300</v>
      </c>
      <c r="I181" s="5">
        <v>2.2100000000000002E-2</v>
      </c>
      <c r="J181" s="2">
        <v>2.08</v>
      </c>
      <c r="K181" s="6">
        <v>624</v>
      </c>
      <c r="L181" s="4">
        <v>21</v>
      </c>
      <c r="M181" s="2">
        <v>29.71</v>
      </c>
      <c r="N181" s="6">
        <v>4495.51</v>
      </c>
      <c r="O181" s="6">
        <f t="shared" si="11"/>
        <v>3871.51</v>
      </c>
      <c r="P181" s="6">
        <f t="shared" si="12"/>
        <v>6.2043429487179491</v>
      </c>
      <c r="Q181" s="3">
        <v>7.2</v>
      </c>
      <c r="R181" t="str">
        <f t="shared" si="13"/>
        <v>High</v>
      </c>
      <c r="S181" t="str">
        <f t="shared" si="14"/>
        <v>Valid</v>
      </c>
    </row>
    <row r="182" spans="1:19" x14ac:dyDescent="0.25">
      <c r="A182" s="1">
        <v>45435</v>
      </c>
      <c r="B182" s="1" t="str">
        <f t="shared" si="10"/>
        <v>2024-05</v>
      </c>
      <c r="C182" t="s">
        <v>14</v>
      </c>
      <c r="D182" t="s">
        <v>29</v>
      </c>
      <c r="E182" t="s">
        <v>25</v>
      </c>
      <c r="F182" t="s">
        <v>26</v>
      </c>
      <c r="G182" s="4">
        <v>116041</v>
      </c>
      <c r="H182" s="4">
        <v>6428</v>
      </c>
      <c r="I182" s="5">
        <v>5.5399999999999998E-2</v>
      </c>
      <c r="J182" s="2">
        <v>1.75</v>
      </c>
      <c r="K182" s="6">
        <v>11249</v>
      </c>
      <c r="L182" s="4">
        <v>74</v>
      </c>
      <c r="M182" s="2">
        <v>152.01</v>
      </c>
      <c r="N182" s="6">
        <v>13873.48</v>
      </c>
      <c r="O182" s="6">
        <f t="shared" si="11"/>
        <v>2624.4799999999996</v>
      </c>
      <c r="P182" s="6">
        <f t="shared" si="12"/>
        <v>0.2333078495866299</v>
      </c>
      <c r="Q182" s="3">
        <v>1.23</v>
      </c>
      <c r="R182" t="str">
        <f t="shared" si="13"/>
        <v>Medium</v>
      </c>
      <c r="S182" t="str">
        <f t="shared" si="14"/>
        <v>Valid</v>
      </c>
    </row>
    <row r="183" spans="1:19" x14ac:dyDescent="0.25">
      <c r="A183" s="1">
        <v>45560</v>
      </c>
      <c r="B183" s="1" t="str">
        <f t="shared" si="10"/>
        <v>2024-09</v>
      </c>
      <c r="C183" t="s">
        <v>18</v>
      </c>
      <c r="D183" t="s">
        <v>15</v>
      </c>
      <c r="E183" t="s">
        <v>30</v>
      </c>
      <c r="F183" t="s">
        <v>31</v>
      </c>
      <c r="G183" s="4">
        <v>170396</v>
      </c>
      <c r="H183" s="4">
        <v>10138</v>
      </c>
      <c r="I183" s="5">
        <v>5.9499999999999997E-2</v>
      </c>
      <c r="J183" s="2">
        <v>1.08</v>
      </c>
      <c r="K183" s="6">
        <v>10949.04</v>
      </c>
      <c r="L183" s="4">
        <v>494</v>
      </c>
      <c r="M183" s="2">
        <v>22.16</v>
      </c>
      <c r="N183" s="6">
        <v>99795.18</v>
      </c>
      <c r="O183" s="6">
        <f t="shared" si="11"/>
        <v>88846.139999999985</v>
      </c>
      <c r="P183" s="6">
        <f t="shared" si="12"/>
        <v>8.1145141491856805</v>
      </c>
      <c r="Q183" s="3">
        <v>9.11</v>
      </c>
      <c r="R183" t="str">
        <f t="shared" si="13"/>
        <v>High</v>
      </c>
      <c r="S183" t="str">
        <f t="shared" si="14"/>
        <v>Valid</v>
      </c>
    </row>
    <row r="184" spans="1:19" x14ac:dyDescent="0.25">
      <c r="A184" s="1">
        <v>45344</v>
      </c>
      <c r="B184" s="1" t="str">
        <f t="shared" si="10"/>
        <v>2024-02</v>
      </c>
      <c r="C184" t="s">
        <v>28</v>
      </c>
      <c r="D184" t="s">
        <v>29</v>
      </c>
      <c r="E184" t="s">
        <v>19</v>
      </c>
      <c r="F184" t="s">
        <v>31</v>
      </c>
      <c r="G184" s="4">
        <v>19743</v>
      </c>
      <c r="H184" s="4">
        <v>619</v>
      </c>
      <c r="I184" s="5">
        <v>3.1399999999999997E-2</v>
      </c>
      <c r="J184" s="2">
        <v>1.25</v>
      </c>
      <c r="K184" s="6">
        <v>773.75</v>
      </c>
      <c r="L184" s="4">
        <v>41</v>
      </c>
      <c r="M184" s="2">
        <v>18.87</v>
      </c>
      <c r="N184" s="6">
        <v>9219.4599999999991</v>
      </c>
      <c r="O184" s="6">
        <f t="shared" si="11"/>
        <v>8445.7099999999991</v>
      </c>
      <c r="P184" s="6">
        <f t="shared" si="12"/>
        <v>10.915295638126009</v>
      </c>
      <c r="Q184" s="3">
        <v>11.92</v>
      </c>
      <c r="R184" t="str">
        <f t="shared" si="13"/>
        <v>High</v>
      </c>
      <c r="S184" t="str">
        <f t="shared" si="14"/>
        <v>Valid</v>
      </c>
    </row>
    <row r="185" spans="1:19" x14ac:dyDescent="0.25">
      <c r="A185" s="1">
        <v>45532</v>
      </c>
      <c r="B185" s="1" t="str">
        <f t="shared" si="10"/>
        <v>2024-08</v>
      </c>
      <c r="C185" t="s">
        <v>14</v>
      </c>
      <c r="D185" t="s">
        <v>15</v>
      </c>
      <c r="E185" t="s">
        <v>30</v>
      </c>
      <c r="F185" t="s">
        <v>32</v>
      </c>
      <c r="G185" s="4">
        <v>94081</v>
      </c>
      <c r="H185" s="4">
        <v>5588</v>
      </c>
      <c r="I185" s="5">
        <v>5.9400000000000001E-2</v>
      </c>
      <c r="J185" s="2">
        <v>2.69</v>
      </c>
      <c r="K185" s="6">
        <v>15031.72</v>
      </c>
      <c r="L185" s="4">
        <v>88</v>
      </c>
      <c r="M185" s="2">
        <v>170.81</v>
      </c>
      <c r="N185" s="6">
        <v>24757.88</v>
      </c>
      <c r="O185" s="6">
        <f t="shared" si="11"/>
        <v>9726.1600000000017</v>
      </c>
      <c r="P185" s="6">
        <f t="shared" si="12"/>
        <v>0.64704238769748257</v>
      </c>
      <c r="Q185" s="3">
        <v>1.65</v>
      </c>
      <c r="R185" t="str">
        <f t="shared" si="13"/>
        <v>Medium</v>
      </c>
      <c r="S185" t="str">
        <f t="shared" si="14"/>
        <v>Valid</v>
      </c>
    </row>
    <row r="186" spans="1:19" x14ac:dyDescent="0.25">
      <c r="A186" s="1">
        <v>45453</v>
      </c>
      <c r="B186" s="1" t="str">
        <f t="shared" si="10"/>
        <v>2024-06</v>
      </c>
      <c r="C186" t="s">
        <v>18</v>
      </c>
      <c r="D186" t="s">
        <v>21</v>
      </c>
      <c r="E186" t="s">
        <v>16</v>
      </c>
      <c r="F186" t="s">
        <v>23</v>
      </c>
      <c r="G186" s="4">
        <v>141643</v>
      </c>
      <c r="H186" s="4">
        <v>8526</v>
      </c>
      <c r="I186" s="5">
        <v>6.0199999999999997E-2</v>
      </c>
      <c r="J186" s="2">
        <v>0.46</v>
      </c>
      <c r="K186" s="6">
        <v>3921.96</v>
      </c>
      <c r="L186" s="4">
        <v>379</v>
      </c>
      <c r="M186" s="2">
        <v>10.35</v>
      </c>
      <c r="N186" s="6">
        <v>51038.1</v>
      </c>
      <c r="O186" s="6">
        <f t="shared" si="11"/>
        <v>47116.14</v>
      </c>
      <c r="P186" s="6">
        <f t="shared" si="12"/>
        <v>12.013416761007251</v>
      </c>
      <c r="Q186" s="3">
        <v>13.01</v>
      </c>
      <c r="R186" t="str">
        <f t="shared" si="13"/>
        <v>High</v>
      </c>
      <c r="S186" t="str">
        <f t="shared" si="14"/>
        <v>Valid</v>
      </c>
    </row>
    <row r="187" spans="1:19" x14ac:dyDescent="0.25">
      <c r="A187" s="1">
        <v>45314</v>
      </c>
      <c r="B187" s="1" t="str">
        <f t="shared" si="10"/>
        <v>2024-01</v>
      </c>
      <c r="C187" t="s">
        <v>28</v>
      </c>
      <c r="D187" t="s">
        <v>24</v>
      </c>
      <c r="E187" t="s">
        <v>25</v>
      </c>
      <c r="F187" t="s">
        <v>32</v>
      </c>
      <c r="G187" s="4">
        <v>90716</v>
      </c>
      <c r="H187" s="4">
        <v>3002</v>
      </c>
      <c r="I187" s="5">
        <v>3.3099999999999997E-2</v>
      </c>
      <c r="J187" s="2">
        <v>1.47</v>
      </c>
      <c r="K187" s="6">
        <v>4412.9399999999996</v>
      </c>
      <c r="L187" s="4">
        <v>194</v>
      </c>
      <c r="M187" s="2">
        <v>22.75</v>
      </c>
      <c r="N187" s="6">
        <v>39560.54</v>
      </c>
      <c r="O187" s="6">
        <f t="shared" si="11"/>
        <v>35147.599999999999</v>
      </c>
      <c r="P187" s="6">
        <f t="shared" si="12"/>
        <v>7.9646675458991059</v>
      </c>
      <c r="Q187" s="3">
        <v>8.9600000000000009</v>
      </c>
      <c r="R187" t="str">
        <f t="shared" si="13"/>
        <v>High</v>
      </c>
      <c r="S187" t="str">
        <f t="shared" si="14"/>
        <v>Valid</v>
      </c>
    </row>
    <row r="188" spans="1:19" x14ac:dyDescent="0.25">
      <c r="A188" s="1">
        <v>45646</v>
      </c>
      <c r="B188" s="1" t="str">
        <f t="shared" si="10"/>
        <v>2024-12</v>
      </c>
      <c r="C188" t="s">
        <v>14</v>
      </c>
      <c r="D188" t="s">
        <v>15</v>
      </c>
      <c r="E188" t="s">
        <v>19</v>
      </c>
      <c r="F188" t="s">
        <v>23</v>
      </c>
      <c r="G188" s="4">
        <v>72055</v>
      </c>
      <c r="H188" s="4">
        <v>1678</v>
      </c>
      <c r="I188" s="5">
        <v>2.3300000000000001E-2</v>
      </c>
      <c r="J188" s="2">
        <v>3.17</v>
      </c>
      <c r="K188" s="6">
        <v>5319.26</v>
      </c>
      <c r="L188" s="4">
        <v>41</v>
      </c>
      <c r="M188" s="2">
        <v>129.74</v>
      </c>
      <c r="N188" s="6">
        <v>8506.9</v>
      </c>
      <c r="O188" s="6">
        <f t="shared" si="11"/>
        <v>3187.6399999999994</v>
      </c>
      <c r="P188" s="6">
        <f t="shared" si="12"/>
        <v>0.59926380737170193</v>
      </c>
      <c r="Q188" s="3">
        <v>1.6</v>
      </c>
      <c r="R188" t="str">
        <f t="shared" si="13"/>
        <v>Medium</v>
      </c>
      <c r="S188" t="str">
        <f t="shared" si="14"/>
        <v>Valid</v>
      </c>
    </row>
    <row r="189" spans="1:19" x14ac:dyDescent="0.25">
      <c r="A189" s="1">
        <v>45400</v>
      </c>
      <c r="B189" s="1" t="str">
        <f t="shared" si="10"/>
        <v>2024-04</v>
      </c>
      <c r="C189" t="s">
        <v>28</v>
      </c>
      <c r="D189" t="s">
        <v>24</v>
      </c>
      <c r="E189" t="s">
        <v>30</v>
      </c>
      <c r="F189" t="s">
        <v>26</v>
      </c>
      <c r="G189" s="4">
        <v>112692</v>
      </c>
      <c r="H189" s="4">
        <v>2096</v>
      </c>
      <c r="I189" s="5">
        <v>1.8599999999999998E-2</v>
      </c>
      <c r="J189" s="2">
        <v>2.27</v>
      </c>
      <c r="K189" s="6">
        <v>4757.92</v>
      </c>
      <c r="L189" s="4">
        <v>89</v>
      </c>
      <c r="M189" s="2">
        <v>53.46</v>
      </c>
      <c r="N189" s="6">
        <v>16587.580000000002</v>
      </c>
      <c r="O189" s="6">
        <f t="shared" si="11"/>
        <v>11829.660000000002</v>
      </c>
      <c r="P189" s="6">
        <f t="shared" si="12"/>
        <v>2.4863091434912739</v>
      </c>
      <c r="Q189" s="3">
        <v>3.49</v>
      </c>
      <c r="R189" t="str">
        <f t="shared" si="13"/>
        <v>High</v>
      </c>
      <c r="S189" t="str">
        <f t="shared" si="14"/>
        <v>Valid</v>
      </c>
    </row>
    <row r="190" spans="1:19" x14ac:dyDescent="0.25">
      <c r="A190" s="1">
        <v>45604</v>
      </c>
      <c r="B190" s="1" t="str">
        <f t="shared" si="10"/>
        <v>2024-11</v>
      </c>
      <c r="C190" t="s">
        <v>14</v>
      </c>
      <c r="D190" t="s">
        <v>21</v>
      </c>
      <c r="E190" t="s">
        <v>16</v>
      </c>
      <c r="F190" t="s">
        <v>17</v>
      </c>
      <c r="G190" s="4">
        <v>31672</v>
      </c>
      <c r="H190" s="4">
        <v>877</v>
      </c>
      <c r="I190" s="5">
        <v>2.7699999999999999E-2</v>
      </c>
      <c r="J190" s="2">
        <v>0.72</v>
      </c>
      <c r="K190" s="6">
        <v>631.44000000000005</v>
      </c>
      <c r="L190" s="4">
        <v>16</v>
      </c>
      <c r="M190" s="2">
        <v>39.47</v>
      </c>
      <c r="N190" s="6">
        <v>2266.94</v>
      </c>
      <c r="O190" s="6">
        <f t="shared" si="11"/>
        <v>1635.5</v>
      </c>
      <c r="P190" s="6">
        <f t="shared" si="12"/>
        <v>2.5901114911947292</v>
      </c>
      <c r="Q190" s="3">
        <v>3.59</v>
      </c>
      <c r="R190" t="str">
        <f t="shared" si="13"/>
        <v>High</v>
      </c>
      <c r="S190" t="str">
        <f t="shared" si="14"/>
        <v>Valid</v>
      </c>
    </row>
    <row r="191" spans="1:19" x14ac:dyDescent="0.25">
      <c r="A191" s="1">
        <v>45473</v>
      </c>
      <c r="B191" s="1" t="str">
        <f t="shared" si="10"/>
        <v>2024-06</v>
      </c>
      <c r="C191" t="s">
        <v>28</v>
      </c>
      <c r="D191" t="s">
        <v>21</v>
      </c>
      <c r="E191" t="s">
        <v>30</v>
      </c>
      <c r="F191" t="s">
        <v>26</v>
      </c>
      <c r="G191" s="4">
        <v>59131</v>
      </c>
      <c r="H191" s="4">
        <v>1425</v>
      </c>
      <c r="I191" s="5">
        <v>2.41E-2</v>
      </c>
      <c r="J191" s="2">
        <v>1.04</v>
      </c>
      <c r="K191" s="6">
        <v>1482</v>
      </c>
      <c r="L191" s="4">
        <v>66</v>
      </c>
      <c r="M191" s="2">
        <v>22.45</v>
      </c>
      <c r="N191" s="6">
        <v>19372.57</v>
      </c>
      <c r="O191" s="6">
        <f t="shared" si="11"/>
        <v>17890.57</v>
      </c>
      <c r="P191" s="6">
        <f t="shared" si="12"/>
        <v>12.071909581646423</v>
      </c>
      <c r="Q191" s="3">
        <v>13.07</v>
      </c>
      <c r="R191" t="str">
        <f t="shared" si="13"/>
        <v>High</v>
      </c>
      <c r="S191" t="str">
        <f t="shared" si="14"/>
        <v>Valid</v>
      </c>
    </row>
    <row r="192" spans="1:19" x14ac:dyDescent="0.25">
      <c r="A192" s="1">
        <v>45466</v>
      </c>
      <c r="B192" s="1" t="str">
        <f t="shared" si="10"/>
        <v>2024-06</v>
      </c>
      <c r="C192" t="s">
        <v>14</v>
      </c>
      <c r="D192" t="s">
        <v>15</v>
      </c>
      <c r="E192" t="s">
        <v>25</v>
      </c>
      <c r="F192" t="s">
        <v>27</v>
      </c>
      <c r="G192" s="4">
        <v>119397</v>
      </c>
      <c r="H192" s="4">
        <v>3868</v>
      </c>
      <c r="I192" s="5">
        <v>3.2399999999999998E-2</v>
      </c>
      <c r="J192" s="2">
        <v>1.8</v>
      </c>
      <c r="K192" s="6">
        <v>6962.4</v>
      </c>
      <c r="L192" s="4">
        <v>193</v>
      </c>
      <c r="M192" s="2">
        <v>36.07</v>
      </c>
      <c r="N192" s="6">
        <v>35393.300000000003</v>
      </c>
      <c r="O192" s="6">
        <f t="shared" si="11"/>
        <v>28430.9</v>
      </c>
      <c r="P192" s="6">
        <f t="shared" si="12"/>
        <v>4.0834913248305185</v>
      </c>
      <c r="Q192" s="3">
        <v>5.08</v>
      </c>
      <c r="R192" t="str">
        <f t="shared" si="13"/>
        <v>High</v>
      </c>
      <c r="S192" t="str">
        <f t="shared" si="14"/>
        <v>Valid</v>
      </c>
    </row>
    <row r="193" spans="1:19" x14ac:dyDescent="0.25">
      <c r="A193" s="1">
        <v>45598</v>
      </c>
      <c r="B193" s="1" t="str">
        <f t="shared" si="10"/>
        <v>2024-11</v>
      </c>
      <c r="C193" t="s">
        <v>28</v>
      </c>
      <c r="D193" t="s">
        <v>15</v>
      </c>
      <c r="E193" t="s">
        <v>19</v>
      </c>
      <c r="F193" t="s">
        <v>32</v>
      </c>
      <c r="G193" s="4">
        <v>157008</v>
      </c>
      <c r="H193" s="4">
        <v>5024</v>
      </c>
      <c r="I193" s="5">
        <v>3.2000000000000001E-2</v>
      </c>
      <c r="J193" s="2">
        <v>0.72</v>
      </c>
      <c r="K193" s="6">
        <v>3617.28</v>
      </c>
      <c r="L193" s="4">
        <v>379</v>
      </c>
      <c r="M193" s="2">
        <v>9.5399999999999991</v>
      </c>
      <c r="N193" s="6">
        <v>73104.850000000006</v>
      </c>
      <c r="O193" s="6">
        <f t="shared" si="11"/>
        <v>69487.570000000007</v>
      </c>
      <c r="P193" s="6">
        <f t="shared" si="12"/>
        <v>19.209895280431706</v>
      </c>
      <c r="Q193" s="3">
        <v>20.21</v>
      </c>
      <c r="R193" t="str">
        <f t="shared" si="13"/>
        <v>High</v>
      </c>
      <c r="S193" t="str">
        <f t="shared" si="14"/>
        <v>Valid</v>
      </c>
    </row>
    <row r="194" spans="1:19" x14ac:dyDescent="0.25">
      <c r="A194" s="1">
        <v>45295</v>
      </c>
      <c r="B194" s="1" t="str">
        <f t="shared" si="10"/>
        <v>2024-01</v>
      </c>
      <c r="C194" t="s">
        <v>28</v>
      </c>
      <c r="D194" t="s">
        <v>24</v>
      </c>
      <c r="E194" t="s">
        <v>19</v>
      </c>
      <c r="F194" t="s">
        <v>20</v>
      </c>
      <c r="G194" s="4">
        <v>117217</v>
      </c>
      <c r="H194" s="4">
        <v>2133</v>
      </c>
      <c r="I194" s="5">
        <v>1.8200000000000001E-2</v>
      </c>
      <c r="J194" s="2">
        <v>1.29</v>
      </c>
      <c r="K194" s="6">
        <v>2751.57</v>
      </c>
      <c r="L194" s="4">
        <v>129</v>
      </c>
      <c r="M194" s="2">
        <v>21.33</v>
      </c>
      <c r="N194" s="6">
        <v>25455.360000000001</v>
      </c>
      <c r="O194" s="6">
        <f t="shared" si="11"/>
        <v>22703.79</v>
      </c>
      <c r="P194" s="6">
        <f t="shared" si="12"/>
        <v>8.2512129438829458</v>
      </c>
      <c r="Q194" s="3">
        <v>9.25</v>
      </c>
      <c r="R194" t="str">
        <f t="shared" si="13"/>
        <v>High</v>
      </c>
      <c r="S194" t="str">
        <f t="shared" si="14"/>
        <v>Valid</v>
      </c>
    </row>
    <row r="195" spans="1:19" x14ac:dyDescent="0.25">
      <c r="A195" s="1">
        <v>45592</v>
      </c>
      <c r="B195" s="1" t="str">
        <f t="shared" ref="B195:B258" si="15">TEXT(A195, "yyyy-mm")</f>
        <v>2024-10</v>
      </c>
      <c r="C195" t="s">
        <v>18</v>
      </c>
      <c r="D195" t="s">
        <v>15</v>
      </c>
      <c r="E195" t="s">
        <v>25</v>
      </c>
      <c r="F195" t="s">
        <v>27</v>
      </c>
      <c r="G195" s="4">
        <v>111956</v>
      </c>
      <c r="H195" s="4">
        <v>5911</v>
      </c>
      <c r="I195" s="5">
        <v>5.28E-2</v>
      </c>
      <c r="J195" s="2">
        <v>1.57</v>
      </c>
      <c r="K195" s="6">
        <v>9280.27</v>
      </c>
      <c r="L195" s="4">
        <v>253</v>
      </c>
      <c r="M195" s="2">
        <v>36.68</v>
      </c>
      <c r="N195" s="6">
        <v>68395.539999999994</v>
      </c>
      <c r="O195" s="6">
        <f t="shared" ref="O195:O258" si="16">N195-K195</f>
        <v>59115.26999999999</v>
      </c>
      <c r="P195" s="6">
        <f t="shared" ref="P195:P258" si="17">IFERROR(O195/K195, "")</f>
        <v>6.3699946230012694</v>
      </c>
      <c r="Q195" s="3">
        <v>7.37</v>
      </c>
      <c r="R195" t="str">
        <f t="shared" ref="R195:R258" si="18">IF(Q195 &gt;= 3, "High", IF(Q195&gt;=1, "Medium", "Low"))</f>
        <v>High</v>
      </c>
      <c r="S195" t="str">
        <f t="shared" ref="S195:S258" si="19">IF(OR(G195=0, H195&gt;G195, L195&gt;H195), "Invalid", "Valid")</f>
        <v>Valid</v>
      </c>
    </row>
    <row r="196" spans="1:19" x14ac:dyDescent="0.25">
      <c r="A196" s="1">
        <v>45296</v>
      </c>
      <c r="B196" s="1" t="str">
        <f t="shared" si="15"/>
        <v>2024-01</v>
      </c>
      <c r="C196" t="s">
        <v>28</v>
      </c>
      <c r="D196" t="s">
        <v>29</v>
      </c>
      <c r="E196" t="s">
        <v>25</v>
      </c>
      <c r="F196" t="s">
        <v>23</v>
      </c>
      <c r="G196" s="4">
        <v>10939</v>
      </c>
      <c r="H196" s="4">
        <v>113</v>
      </c>
      <c r="I196" s="5">
        <v>1.04E-2</v>
      </c>
      <c r="J196" s="2">
        <v>1.18</v>
      </c>
      <c r="K196" s="6">
        <v>133.34</v>
      </c>
      <c r="L196" s="4">
        <v>6</v>
      </c>
      <c r="M196" s="2">
        <v>22.22</v>
      </c>
      <c r="N196" s="6">
        <v>1684.43</v>
      </c>
      <c r="O196" s="6">
        <f t="shared" si="16"/>
        <v>1551.0900000000001</v>
      </c>
      <c r="P196" s="6">
        <f t="shared" si="17"/>
        <v>11.632593370331485</v>
      </c>
      <c r="Q196" s="3">
        <v>12.63</v>
      </c>
      <c r="R196" t="str">
        <f t="shared" si="18"/>
        <v>High</v>
      </c>
      <c r="S196" t="str">
        <f t="shared" si="19"/>
        <v>Valid</v>
      </c>
    </row>
    <row r="197" spans="1:19" x14ac:dyDescent="0.25">
      <c r="A197" s="1">
        <v>45514</v>
      </c>
      <c r="B197" s="1" t="str">
        <f t="shared" si="15"/>
        <v>2024-08</v>
      </c>
      <c r="C197" t="s">
        <v>18</v>
      </c>
      <c r="D197" t="s">
        <v>29</v>
      </c>
      <c r="E197" t="s">
        <v>25</v>
      </c>
      <c r="F197" t="s">
        <v>31</v>
      </c>
      <c r="G197" s="4">
        <v>72293</v>
      </c>
      <c r="H197" s="4">
        <v>4532</v>
      </c>
      <c r="I197" s="5">
        <v>6.2700000000000006E-2</v>
      </c>
      <c r="J197" s="2">
        <v>1.81</v>
      </c>
      <c r="K197" s="6">
        <v>8202.92</v>
      </c>
      <c r="L197" s="4">
        <v>169</v>
      </c>
      <c r="M197" s="2">
        <v>48.54</v>
      </c>
      <c r="N197" s="6">
        <v>35145.360000000001</v>
      </c>
      <c r="O197" s="6">
        <f t="shared" si="16"/>
        <v>26942.440000000002</v>
      </c>
      <c r="P197" s="6">
        <f t="shared" si="17"/>
        <v>3.2844938143978002</v>
      </c>
      <c r="Q197" s="3">
        <v>4.28</v>
      </c>
      <c r="R197" t="str">
        <f t="shared" si="18"/>
        <v>High</v>
      </c>
      <c r="S197" t="str">
        <f t="shared" si="19"/>
        <v>Valid</v>
      </c>
    </row>
    <row r="198" spans="1:19" x14ac:dyDescent="0.25">
      <c r="A198" s="1">
        <v>45339</v>
      </c>
      <c r="B198" s="1" t="str">
        <f t="shared" si="15"/>
        <v>2024-02</v>
      </c>
      <c r="C198" t="s">
        <v>14</v>
      </c>
      <c r="D198" t="s">
        <v>24</v>
      </c>
      <c r="E198" t="s">
        <v>16</v>
      </c>
      <c r="F198" t="s">
        <v>26</v>
      </c>
      <c r="G198" s="4">
        <v>78402</v>
      </c>
      <c r="H198" s="4">
        <v>4531</v>
      </c>
      <c r="I198" s="5">
        <v>5.7799999999999997E-2</v>
      </c>
      <c r="J198" s="2">
        <v>2.75</v>
      </c>
      <c r="K198" s="6">
        <v>12460.25</v>
      </c>
      <c r="L198" s="4">
        <v>105</v>
      </c>
      <c r="M198" s="2">
        <v>118.67</v>
      </c>
      <c r="N198" s="6">
        <v>25620.07</v>
      </c>
      <c r="O198" s="6">
        <f t="shared" si="16"/>
        <v>13159.82</v>
      </c>
      <c r="P198" s="6">
        <f t="shared" si="17"/>
        <v>1.0561441383599848</v>
      </c>
      <c r="Q198" s="3">
        <v>2.06</v>
      </c>
      <c r="R198" t="str">
        <f t="shared" si="18"/>
        <v>Medium</v>
      </c>
      <c r="S198" t="str">
        <f t="shared" si="19"/>
        <v>Valid</v>
      </c>
    </row>
    <row r="199" spans="1:19" x14ac:dyDescent="0.25">
      <c r="A199" s="1">
        <v>45590</v>
      </c>
      <c r="B199" s="1" t="str">
        <f t="shared" si="15"/>
        <v>2024-10</v>
      </c>
      <c r="C199" t="s">
        <v>18</v>
      </c>
      <c r="D199" t="s">
        <v>29</v>
      </c>
      <c r="E199" t="s">
        <v>30</v>
      </c>
      <c r="F199" t="s">
        <v>27</v>
      </c>
      <c r="G199" s="4">
        <v>160892</v>
      </c>
      <c r="H199" s="4">
        <v>9122</v>
      </c>
      <c r="I199" s="5">
        <v>5.67E-2</v>
      </c>
      <c r="J199" s="2">
        <v>0.64</v>
      </c>
      <c r="K199" s="6">
        <v>5838.08</v>
      </c>
      <c r="L199" s="4">
        <v>590</v>
      </c>
      <c r="M199" s="2">
        <v>9.9</v>
      </c>
      <c r="N199" s="6">
        <v>170654.73</v>
      </c>
      <c r="O199" s="6">
        <f t="shared" si="16"/>
        <v>164816.65000000002</v>
      </c>
      <c r="P199" s="6">
        <f t="shared" si="17"/>
        <v>28.231310636373607</v>
      </c>
      <c r="Q199" s="3">
        <v>29.23</v>
      </c>
      <c r="R199" t="str">
        <f t="shared" si="18"/>
        <v>High</v>
      </c>
      <c r="S199" t="str">
        <f t="shared" si="19"/>
        <v>Valid</v>
      </c>
    </row>
    <row r="200" spans="1:19" x14ac:dyDescent="0.25">
      <c r="A200" s="1">
        <v>45365</v>
      </c>
      <c r="B200" s="1" t="str">
        <f t="shared" si="15"/>
        <v>2024-03</v>
      </c>
      <c r="C200" t="s">
        <v>18</v>
      </c>
      <c r="D200" t="s">
        <v>15</v>
      </c>
      <c r="E200" t="s">
        <v>19</v>
      </c>
      <c r="F200" t="s">
        <v>23</v>
      </c>
      <c r="G200" s="4">
        <v>154092</v>
      </c>
      <c r="H200" s="4">
        <v>8860</v>
      </c>
      <c r="I200" s="5">
        <v>5.7500000000000002E-2</v>
      </c>
      <c r="J200" s="2">
        <v>1.17</v>
      </c>
      <c r="K200" s="6">
        <v>10366.200000000001</v>
      </c>
      <c r="L200" s="4">
        <v>246</v>
      </c>
      <c r="M200" s="2">
        <v>42.14</v>
      </c>
      <c r="N200" s="6">
        <v>23706.53</v>
      </c>
      <c r="O200" s="6">
        <f t="shared" si="16"/>
        <v>13340.329999999998</v>
      </c>
      <c r="P200" s="6">
        <f t="shared" si="17"/>
        <v>1.2869064845362812</v>
      </c>
      <c r="Q200" s="3">
        <v>2.29</v>
      </c>
      <c r="R200" t="str">
        <f t="shared" si="18"/>
        <v>Medium</v>
      </c>
      <c r="S200" t="str">
        <f t="shared" si="19"/>
        <v>Valid</v>
      </c>
    </row>
    <row r="201" spans="1:19" x14ac:dyDescent="0.25">
      <c r="A201" s="1">
        <v>45301</v>
      </c>
      <c r="B201" s="1" t="str">
        <f t="shared" si="15"/>
        <v>2024-01</v>
      </c>
      <c r="C201" t="s">
        <v>28</v>
      </c>
      <c r="D201" t="s">
        <v>24</v>
      </c>
      <c r="E201" t="s">
        <v>22</v>
      </c>
      <c r="F201" t="s">
        <v>17</v>
      </c>
      <c r="G201" s="4">
        <v>73323</v>
      </c>
      <c r="H201" s="4">
        <v>1928</v>
      </c>
      <c r="I201" s="5">
        <v>2.63E-2</v>
      </c>
      <c r="J201" s="2">
        <v>1.71</v>
      </c>
      <c r="K201" s="6">
        <v>3296.88</v>
      </c>
      <c r="L201" s="4">
        <v>121</v>
      </c>
      <c r="M201" s="2">
        <v>27.25</v>
      </c>
      <c r="N201" s="6">
        <v>33634.99</v>
      </c>
      <c r="O201" s="6">
        <f t="shared" si="16"/>
        <v>30338.109999999997</v>
      </c>
      <c r="P201" s="6">
        <f t="shared" si="17"/>
        <v>9.2020668025527161</v>
      </c>
      <c r="Q201" s="3">
        <v>10.199999999999999</v>
      </c>
      <c r="R201" t="str">
        <f t="shared" si="18"/>
        <v>High</v>
      </c>
      <c r="S201" t="str">
        <f t="shared" si="19"/>
        <v>Valid</v>
      </c>
    </row>
    <row r="202" spans="1:19" x14ac:dyDescent="0.25">
      <c r="A202" s="1">
        <v>45308</v>
      </c>
      <c r="B202" s="1" t="str">
        <f t="shared" si="15"/>
        <v>2024-01</v>
      </c>
      <c r="C202" t="s">
        <v>18</v>
      </c>
      <c r="D202" t="s">
        <v>21</v>
      </c>
      <c r="E202" t="s">
        <v>25</v>
      </c>
      <c r="F202" t="s">
        <v>31</v>
      </c>
      <c r="G202" s="4">
        <v>58521</v>
      </c>
      <c r="H202" s="4">
        <v>3318</v>
      </c>
      <c r="I202" s="5">
        <v>5.67E-2</v>
      </c>
      <c r="J202" s="2">
        <v>1.85</v>
      </c>
      <c r="K202" s="6">
        <v>6138.3</v>
      </c>
      <c r="L202" s="4">
        <v>39</v>
      </c>
      <c r="M202" s="2">
        <v>157.38999999999999</v>
      </c>
      <c r="N202" s="6">
        <v>10013.26</v>
      </c>
      <c r="O202" s="6">
        <f t="shared" si="16"/>
        <v>3874.96</v>
      </c>
      <c r="P202" s="6">
        <f t="shared" si="17"/>
        <v>0.63127576038968447</v>
      </c>
      <c r="Q202" s="3">
        <v>1.63</v>
      </c>
      <c r="R202" t="str">
        <f t="shared" si="18"/>
        <v>Medium</v>
      </c>
      <c r="S202" t="str">
        <f t="shared" si="19"/>
        <v>Valid</v>
      </c>
    </row>
    <row r="203" spans="1:19" x14ac:dyDescent="0.25">
      <c r="A203" s="1">
        <v>45569</v>
      </c>
      <c r="B203" s="1" t="str">
        <f t="shared" si="15"/>
        <v>2024-10</v>
      </c>
      <c r="C203" t="s">
        <v>18</v>
      </c>
      <c r="D203" t="s">
        <v>15</v>
      </c>
      <c r="E203" t="s">
        <v>25</v>
      </c>
      <c r="F203" t="s">
        <v>23</v>
      </c>
      <c r="G203" s="4">
        <v>48361</v>
      </c>
      <c r="H203" s="4">
        <v>2713</v>
      </c>
      <c r="I203" s="5">
        <v>5.6099999999999997E-2</v>
      </c>
      <c r="J203" s="2">
        <v>0.87</v>
      </c>
      <c r="K203" s="6">
        <v>2360.31</v>
      </c>
      <c r="L203" s="4">
        <v>54</v>
      </c>
      <c r="M203" s="2">
        <v>43.71</v>
      </c>
      <c r="N203" s="6">
        <v>7890.9</v>
      </c>
      <c r="O203" s="6">
        <f t="shared" si="16"/>
        <v>5530.59</v>
      </c>
      <c r="P203" s="6">
        <f t="shared" si="17"/>
        <v>2.3431625506819023</v>
      </c>
      <c r="Q203" s="3">
        <v>3.34</v>
      </c>
      <c r="R203" t="str">
        <f t="shared" si="18"/>
        <v>High</v>
      </c>
      <c r="S203" t="str">
        <f t="shared" si="19"/>
        <v>Valid</v>
      </c>
    </row>
    <row r="204" spans="1:19" x14ac:dyDescent="0.25">
      <c r="A204" s="1">
        <v>45423</v>
      </c>
      <c r="B204" s="1" t="str">
        <f t="shared" si="15"/>
        <v>2024-05</v>
      </c>
      <c r="C204" t="s">
        <v>18</v>
      </c>
      <c r="D204" t="s">
        <v>29</v>
      </c>
      <c r="E204" t="s">
        <v>22</v>
      </c>
      <c r="F204" t="s">
        <v>17</v>
      </c>
      <c r="G204" s="4">
        <v>179870</v>
      </c>
      <c r="H204" s="4">
        <v>7500</v>
      </c>
      <c r="I204" s="5">
        <v>4.1700000000000001E-2</v>
      </c>
      <c r="J204" s="2">
        <v>1.44</v>
      </c>
      <c r="K204" s="6">
        <v>10800</v>
      </c>
      <c r="L204" s="4">
        <v>112</v>
      </c>
      <c r="M204" s="2">
        <v>96.43</v>
      </c>
      <c r="N204" s="6">
        <v>5446.79</v>
      </c>
      <c r="O204" s="6">
        <f t="shared" si="16"/>
        <v>-5353.21</v>
      </c>
      <c r="P204" s="6">
        <f t="shared" si="17"/>
        <v>-0.49566759259259258</v>
      </c>
      <c r="Q204" s="3">
        <v>0.5</v>
      </c>
      <c r="R204" t="str">
        <f t="shared" si="18"/>
        <v>Low</v>
      </c>
      <c r="S204" t="str">
        <f t="shared" si="19"/>
        <v>Valid</v>
      </c>
    </row>
    <row r="205" spans="1:19" x14ac:dyDescent="0.25">
      <c r="A205" s="1">
        <v>45571</v>
      </c>
      <c r="B205" s="1" t="str">
        <f t="shared" si="15"/>
        <v>2024-10</v>
      </c>
      <c r="C205" t="s">
        <v>18</v>
      </c>
      <c r="D205" t="s">
        <v>15</v>
      </c>
      <c r="E205" t="s">
        <v>30</v>
      </c>
      <c r="F205" t="s">
        <v>27</v>
      </c>
      <c r="G205" s="4">
        <v>114850</v>
      </c>
      <c r="H205" s="4">
        <v>8234</v>
      </c>
      <c r="I205" s="5">
        <v>7.17E-2</v>
      </c>
      <c r="J205" s="2">
        <v>1.63</v>
      </c>
      <c r="K205" s="6">
        <v>13421.42</v>
      </c>
      <c r="L205" s="4">
        <v>245</v>
      </c>
      <c r="M205" s="2">
        <v>54.78</v>
      </c>
      <c r="N205" s="6">
        <v>35478.839999999997</v>
      </c>
      <c r="O205" s="6">
        <f t="shared" si="16"/>
        <v>22057.42</v>
      </c>
      <c r="P205" s="6">
        <f t="shared" si="17"/>
        <v>1.643449053825899</v>
      </c>
      <c r="Q205" s="3">
        <v>2.64</v>
      </c>
      <c r="R205" t="str">
        <f t="shared" si="18"/>
        <v>Medium</v>
      </c>
      <c r="S205" t="str">
        <f t="shared" si="19"/>
        <v>Valid</v>
      </c>
    </row>
    <row r="206" spans="1:19" x14ac:dyDescent="0.25">
      <c r="A206" s="1">
        <v>45460</v>
      </c>
      <c r="B206" s="1" t="str">
        <f t="shared" si="15"/>
        <v>2024-06</v>
      </c>
      <c r="C206" t="s">
        <v>14</v>
      </c>
      <c r="D206" t="s">
        <v>29</v>
      </c>
      <c r="E206" t="s">
        <v>22</v>
      </c>
      <c r="F206" t="s">
        <v>31</v>
      </c>
      <c r="G206" s="4">
        <v>54976</v>
      </c>
      <c r="H206" s="4">
        <v>2611</v>
      </c>
      <c r="I206" s="5">
        <v>4.7500000000000001E-2</v>
      </c>
      <c r="J206" s="2">
        <v>1.32</v>
      </c>
      <c r="K206" s="6">
        <v>3446.52</v>
      </c>
      <c r="L206" s="4">
        <v>187</v>
      </c>
      <c r="M206" s="2">
        <v>18.43</v>
      </c>
      <c r="N206" s="6">
        <v>8230.48</v>
      </c>
      <c r="O206" s="6">
        <f t="shared" si="16"/>
        <v>4783.9599999999991</v>
      </c>
      <c r="P206" s="6">
        <f t="shared" si="17"/>
        <v>1.388055197706672</v>
      </c>
      <c r="Q206" s="3">
        <v>2.39</v>
      </c>
      <c r="R206" t="str">
        <f t="shared" si="18"/>
        <v>Medium</v>
      </c>
      <c r="S206" t="str">
        <f t="shared" si="19"/>
        <v>Valid</v>
      </c>
    </row>
    <row r="207" spans="1:19" x14ac:dyDescent="0.25">
      <c r="A207" s="1">
        <v>45530</v>
      </c>
      <c r="B207" s="1" t="str">
        <f t="shared" si="15"/>
        <v>2024-08</v>
      </c>
      <c r="C207" t="s">
        <v>14</v>
      </c>
      <c r="D207" t="s">
        <v>24</v>
      </c>
      <c r="E207" t="s">
        <v>16</v>
      </c>
      <c r="F207" t="s">
        <v>32</v>
      </c>
      <c r="G207" s="4">
        <v>162636</v>
      </c>
      <c r="H207" s="4">
        <v>9237</v>
      </c>
      <c r="I207" s="5">
        <v>5.6800000000000003E-2</v>
      </c>
      <c r="J207" s="2">
        <v>1.41</v>
      </c>
      <c r="K207" s="6">
        <v>13024.17</v>
      </c>
      <c r="L207" s="4">
        <v>738</v>
      </c>
      <c r="M207" s="2">
        <v>17.649999999999999</v>
      </c>
      <c r="N207" s="6">
        <v>102989.98</v>
      </c>
      <c r="O207" s="6">
        <f t="shared" si="16"/>
        <v>89965.81</v>
      </c>
      <c r="P207" s="6">
        <f t="shared" si="17"/>
        <v>6.9076040930055429</v>
      </c>
      <c r="Q207" s="3">
        <v>7.91</v>
      </c>
      <c r="R207" t="str">
        <f t="shared" si="18"/>
        <v>High</v>
      </c>
      <c r="S207" t="str">
        <f t="shared" si="19"/>
        <v>Valid</v>
      </c>
    </row>
    <row r="208" spans="1:19" x14ac:dyDescent="0.25">
      <c r="A208" s="1">
        <v>45440</v>
      </c>
      <c r="B208" s="1" t="str">
        <f t="shared" si="15"/>
        <v>2024-05</v>
      </c>
      <c r="C208" t="s">
        <v>14</v>
      </c>
      <c r="D208" t="s">
        <v>29</v>
      </c>
      <c r="E208" t="s">
        <v>22</v>
      </c>
      <c r="F208" t="s">
        <v>31</v>
      </c>
      <c r="G208" s="4">
        <v>23375</v>
      </c>
      <c r="H208" s="4">
        <v>1175</v>
      </c>
      <c r="I208" s="5">
        <v>5.0299999999999997E-2</v>
      </c>
      <c r="J208" s="2">
        <v>1.42</v>
      </c>
      <c r="K208" s="6">
        <v>1668.5</v>
      </c>
      <c r="L208" s="4">
        <v>15</v>
      </c>
      <c r="M208" s="2">
        <v>111.23</v>
      </c>
      <c r="N208" s="6">
        <v>1524.57</v>
      </c>
      <c r="O208" s="6">
        <f t="shared" si="16"/>
        <v>-143.93000000000006</v>
      </c>
      <c r="P208" s="6">
        <f t="shared" si="17"/>
        <v>-8.6263110578363833E-2</v>
      </c>
      <c r="Q208" s="3">
        <v>0.91</v>
      </c>
      <c r="R208" t="str">
        <f t="shared" si="18"/>
        <v>Low</v>
      </c>
      <c r="S208" t="str">
        <f t="shared" si="19"/>
        <v>Valid</v>
      </c>
    </row>
    <row r="209" spans="1:19" x14ac:dyDescent="0.25">
      <c r="A209" s="1">
        <v>45648</v>
      </c>
      <c r="B209" s="1" t="str">
        <f t="shared" si="15"/>
        <v>2024-12</v>
      </c>
      <c r="C209" t="s">
        <v>28</v>
      </c>
      <c r="D209" t="s">
        <v>24</v>
      </c>
      <c r="E209" t="s">
        <v>30</v>
      </c>
      <c r="F209" t="s">
        <v>27</v>
      </c>
      <c r="G209" s="4">
        <v>167917</v>
      </c>
      <c r="H209" s="4">
        <v>6246</v>
      </c>
      <c r="I209" s="5">
        <v>3.7199999999999997E-2</v>
      </c>
      <c r="J209" s="2">
        <v>0.6</v>
      </c>
      <c r="K209" s="6">
        <v>3747.6</v>
      </c>
      <c r="L209" s="4">
        <v>413</v>
      </c>
      <c r="M209" s="2">
        <v>9.07</v>
      </c>
      <c r="N209" s="6">
        <v>25997.62</v>
      </c>
      <c r="O209" s="6">
        <f t="shared" si="16"/>
        <v>22250.02</v>
      </c>
      <c r="P209" s="6">
        <f t="shared" si="17"/>
        <v>5.9371384352652363</v>
      </c>
      <c r="Q209" s="3">
        <v>6.94</v>
      </c>
      <c r="R209" t="str">
        <f t="shared" si="18"/>
        <v>High</v>
      </c>
      <c r="S209" t="str">
        <f t="shared" si="19"/>
        <v>Valid</v>
      </c>
    </row>
    <row r="210" spans="1:19" x14ac:dyDescent="0.25">
      <c r="A210" s="1">
        <v>45542</v>
      </c>
      <c r="B210" s="1" t="str">
        <f t="shared" si="15"/>
        <v>2024-09</v>
      </c>
      <c r="C210" t="s">
        <v>14</v>
      </c>
      <c r="D210" t="s">
        <v>15</v>
      </c>
      <c r="E210" t="s">
        <v>30</v>
      </c>
      <c r="F210" t="s">
        <v>23</v>
      </c>
      <c r="G210" s="4">
        <v>71216</v>
      </c>
      <c r="H210" s="4">
        <v>2357</v>
      </c>
      <c r="I210" s="5">
        <v>3.3099999999999997E-2</v>
      </c>
      <c r="J210" s="2">
        <v>3.17</v>
      </c>
      <c r="K210" s="6">
        <v>7471.69</v>
      </c>
      <c r="L210" s="4">
        <v>179</v>
      </c>
      <c r="M210" s="2">
        <v>41.74</v>
      </c>
      <c r="N210" s="6">
        <v>29354.19</v>
      </c>
      <c r="O210" s="6">
        <f t="shared" si="16"/>
        <v>21882.5</v>
      </c>
      <c r="P210" s="6">
        <f t="shared" si="17"/>
        <v>2.9287216145209451</v>
      </c>
      <c r="Q210" s="3">
        <v>3.93</v>
      </c>
      <c r="R210" t="str">
        <f t="shared" si="18"/>
        <v>High</v>
      </c>
      <c r="S210" t="str">
        <f t="shared" si="19"/>
        <v>Valid</v>
      </c>
    </row>
    <row r="211" spans="1:19" x14ac:dyDescent="0.25">
      <c r="A211" s="1">
        <v>45630</v>
      </c>
      <c r="B211" s="1" t="str">
        <f t="shared" si="15"/>
        <v>2024-12</v>
      </c>
      <c r="C211" t="s">
        <v>14</v>
      </c>
      <c r="D211" t="s">
        <v>21</v>
      </c>
      <c r="E211" t="s">
        <v>19</v>
      </c>
      <c r="F211" t="s">
        <v>26</v>
      </c>
      <c r="G211" s="4">
        <v>29618</v>
      </c>
      <c r="H211" s="4">
        <v>1883</v>
      </c>
      <c r="I211" s="5">
        <v>6.3600000000000004E-2</v>
      </c>
      <c r="J211" s="2">
        <v>2.17</v>
      </c>
      <c r="K211" s="6">
        <v>4086.11</v>
      </c>
      <c r="L211" s="4">
        <v>90</v>
      </c>
      <c r="M211" s="2">
        <v>45.4</v>
      </c>
      <c r="N211" s="6">
        <v>26198.959999999999</v>
      </c>
      <c r="O211" s="6">
        <f t="shared" si="16"/>
        <v>22112.85</v>
      </c>
      <c r="P211" s="6">
        <f t="shared" si="17"/>
        <v>5.4117118726612841</v>
      </c>
      <c r="Q211" s="3">
        <v>6.41</v>
      </c>
      <c r="R211" t="str">
        <f t="shared" si="18"/>
        <v>High</v>
      </c>
      <c r="S211" t="str">
        <f t="shared" si="19"/>
        <v>Valid</v>
      </c>
    </row>
    <row r="212" spans="1:19" x14ac:dyDescent="0.25">
      <c r="A212" s="1">
        <v>45627</v>
      </c>
      <c r="B212" s="1" t="str">
        <f t="shared" si="15"/>
        <v>2024-12</v>
      </c>
      <c r="C212" t="s">
        <v>14</v>
      </c>
      <c r="D212" t="s">
        <v>15</v>
      </c>
      <c r="E212" t="s">
        <v>22</v>
      </c>
      <c r="F212" t="s">
        <v>27</v>
      </c>
      <c r="G212" s="4">
        <v>136461</v>
      </c>
      <c r="H212" s="4">
        <v>3984</v>
      </c>
      <c r="I212" s="5">
        <v>2.92E-2</v>
      </c>
      <c r="J212" s="2">
        <v>1.49</v>
      </c>
      <c r="K212" s="6">
        <v>5936.16</v>
      </c>
      <c r="L212" s="4">
        <v>214</v>
      </c>
      <c r="M212" s="2">
        <v>27.74</v>
      </c>
      <c r="N212" s="6">
        <v>24710.240000000002</v>
      </c>
      <c r="O212" s="6">
        <f t="shared" si="16"/>
        <v>18774.080000000002</v>
      </c>
      <c r="P212" s="6">
        <f t="shared" si="17"/>
        <v>3.1626640791353338</v>
      </c>
      <c r="Q212" s="3">
        <v>4.16</v>
      </c>
      <c r="R212" t="str">
        <f t="shared" si="18"/>
        <v>High</v>
      </c>
      <c r="S212" t="str">
        <f t="shared" si="19"/>
        <v>Valid</v>
      </c>
    </row>
    <row r="213" spans="1:19" x14ac:dyDescent="0.25">
      <c r="A213" s="1">
        <v>45497</v>
      </c>
      <c r="B213" s="1" t="str">
        <f t="shared" si="15"/>
        <v>2024-07</v>
      </c>
      <c r="C213" t="s">
        <v>18</v>
      </c>
      <c r="D213" t="s">
        <v>15</v>
      </c>
      <c r="E213" t="s">
        <v>22</v>
      </c>
      <c r="F213" t="s">
        <v>32</v>
      </c>
      <c r="G213" s="4">
        <v>132426</v>
      </c>
      <c r="H213" s="4">
        <v>7309</v>
      </c>
      <c r="I213" s="5">
        <v>5.5199999999999999E-2</v>
      </c>
      <c r="J213" s="2">
        <v>0.32</v>
      </c>
      <c r="K213" s="6">
        <v>2338.88</v>
      </c>
      <c r="L213" s="4">
        <v>171</v>
      </c>
      <c r="M213" s="2">
        <v>13.68</v>
      </c>
      <c r="N213" s="6">
        <v>24136.13</v>
      </c>
      <c r="O213" s="6">
        <f t="shared" si="16"/>
        <v>21797.25</v>
      </c>
      <c r="P213" s="6">
        <f t="shared" si="17"/>
        <v>9.3195247297851953</v>
      </c>
      <c r="Q213" s="3">
        <v>10.32</v>
      </c>
      <c r="R213" t="str">
        <f t="shared" si="18"/>
        <v>High</v>
      </c>
      <c r="S213" t="str">
        <f t="shared" si="19"/>
        <v>Valid</v>
      </c>
    </row>
    <row r="214" spans="1:19" x14ac:dyDescent="0.25">
      <c r="A214" s="1">
        <v>45625</v>
      </c>
      <c r="B214" s="1" t="str">
        <f t="shared" si="15"/>
        <v>2024-11</v>
      </c>
      <c r="C214" t="s">
        <v>18</v>
      </c>
      <c r="D214" t="s">
        <v>15</v>
      </c>
      <c r="E214" t="s">
        <v>30</v>
      </c>
      <c r="F214" t="s">
        <v>26</v>
      </c>
      <c r="G214" s="4">
        <v>159692</v>
      </c>
      <c r="H214" s="4">
        <v>6882</v>
      </c>
      <c r="I214" s="5">
        <v>4.3099999999999999E-2</v>
      </c>
      <c r="J214" s="2">
        <v>0.37</v>
      </c>
      <c r="K214" s="6">
        <v>2546.34</v>
      </c>
      <c r="L214" s="4">
        <v>523</v>
      </c>
      <c r="M214" s="2">
        <v>4.87</v>
      </c>
      <c r="N214" s="6">
        <v>106309.31</v>
      </c>
      <c r="O214" s="6">
        <f t="shared" si="16"/>
        <v>103762.97</v>
      </c>
      <c r="P214" s="6">
        <f t="shared" si="17"/>
        <v>40.749848802595096</v>
      </c>
      <c r="Q214" s="3">
        <v>41.75</v>
      </c>
      <c r="R214" t="str">
        <f t="shared" si="18"/>
        <v>High</v>
      </c>
      <c r="S214" t="str">
        <f t="shared" si="19"/>
        <v>Valid</v>
      </c>
    </row>
    <row r="215" spans="1:19" x14ac:dyDescent="0.25">
      <c r="A215" s="1">
        <v>45539</v>
      </c>
      <c r="B215" s="1" t="str">
        <f t="shared" si="15"/>
        <v>2024-09</v>
      </c>
      <c r="C215" t="s">
        <v>28</v>
      </c>
      <c r="D215" t="s">
        <v>21</v>
      </c>
      <c r="E215" t="s">
        <v>16</v>
      </c>
      <c r="F215" t="s">
        <v>31</v>
      </c>
      <c r="G215" s="4">
        <v>27931</v>
      </c>
      <c r="H215" s="4">
        <v>608</v>
      </c>
      <c r="I215" s="5">
        <v>2.18E-2</v>
      </c>
      <c r="J215" s="2">
        <v>1.52</v>
      </c>
      <c r="K215" s="6">
        <v>924.16</v>
      </c>
      <c r="L215" s="4">
        <v>10</v>
      </c>
      <c r="M215" s="2">
        <v>92.42</v>
      </c>
      <c r="N215" s="6">
        <v>1389.72</v>
      </c>
      <c r="O215" s="6">
        <f t="shared" si="16"/>
        <v>465.56000000000006</v>
      </c>
      <c r="P215" s="6">
        <f t="shared" si="17"/>
        <v>0.50376558171745156</v>
      </c>
      <c r="Q215" s="3">
        <v>1.5</v>
      </c>
      <c r="R215" t="str">
        <f t="shared" si="18"/>
        <v>Medium</v>
      </c>
      <c r="S215" t="str">
        <f t="shared" si="19"/>
        <v>Valid</v>
      </c>
    </row>
    <row r="216" spans="1:19" x14ac:dyDescent="0.25">
      <c r="A216" s="1">
        <v>45510</v>
      </c>
      <c r="B216" s="1" t="str">
        <f t="shared" si="15"/>
        <v>2024-08</v>
      </c>
      <c r="C216" t="s">
        <v>28</v>
      </c>
      <c r="D216" t="s">
        <v>29</v>
      </c>
      <c r="E216" t="s">
        <v>19</v>
      </c>
      <c r="F216" t="s">
        <v>23</v>
      </c>
      <c r="G216" s="4">
        <v>131155</v>
      </c>
      <c r="H216" s="4">
        <v>4052</v>
      </c>
      <c r="I216" s="5">
        <v>3.09E-2</v>
      </c>
      <c r="J216" s="2">
        <v>1.24</v>
      </c>
      <c r="K216" s="6">
        <v>5024.4799999999996</v>
      </c>
      <c r="L216" s="4">
        <v>209</v>
      </c>
      <c r="M216" s="2">
        <v>24.04</v>
      </c>
      <c r="N216" s="6">
        <v>15982.2</v>
      </c>
      <c r="O216" s="6">
        <f t="shared" si="16"/>
        <v>10957.720000000001</v>
      </c>
      <c r="P216" s="6">
        <f t="shared" si="17"/>
        <v>2.1808664777250586</v>
      </c>
      <c r="Q216" s="3">
        <v>3.18</v>
      </c>
      <c r="R216" t="str">
        <f t="shared" si="18"/>
        <v>High</v>
      </c>
      <c r="S216" t="str">
        <f t="shared" si="19"/>
        <v>Valid</v>
      </c>
    </row>
    <row r="217" spans="1:19" x14ac:dyDescent="0.25">
      <c r="A217" s="1">
        <v>45439</v>
      </c>
      <c r="B217" s="1" t="str">
        <f t="shared" si="15"/>
        <v>2024-05</v>
      </c>
      <c r="C217" t="s">
        <v>18</v>
      </c>
      <c r="D217" t="s">
        <v>24</v>
      </c>
      <c r="E217" t="s">
        <v>16</v>
      </c>
      <c r="F217" t="s">
        <v>23</v>
      </c>
      <c r="G217" s="4">
        <v>66842</v>
      </c>
      <c r="H217" s="4">
        <v>2339</v>
      </c>
      <c r="I217" s="5">
        <v>3.5000000000000003E-2</v>
      </c>
      <c r="J217" s="2">
        <v>1.4</v>
      </c>
      <c r="K217" s="6">
        <v>3274.6</v>
      </c>
      <c r="L217" s="4">
        <v>123</v>
      </c>
      <c r="M217" s="2">
        <v>26.62</v>
      </c>
      <c r="N217" s="6">
        <v>14081.65</v>
      </c>
      <c r="O217" s="6">
        <f t="shared" si="16"/>
        <v>10807.05</v>
      </c>
      <c r="P217" s="6">
        <f t="shared" si="17"/>
        <v>3.3002656813045865</v>
      </c>
      <c r="Q217" s="3">
        <v>4.3</v>
      </c>
      <c r="R217" t="str">
        <f t="shared" si="18"/>
        <v>High</v>
      </c>
      <c r="S217" t="str">
        <f t="shared" si="19"/>
        <v>Valid</v>
      </c>
    </row>
    <row r="218" spans="1:19" x14ac:dyDescent="0.25">
      <c r="A218" s="1">
        <v>45356</v>
      </c>
      <c r="B218" s="1" t="str">
        <f t="shared" si="15"/>
        <v>2024-03</v>
      </c>
      <c r="C218" t="s">
        <v>14</v>
      </c>
      <c r="D218" t="s">
        <v>24</v>
      </c>
      <c r="E218" t="s">
        <v>25</v>
      </c>
      <c r="F218" t="s">
        <v>17</v>
      </c>
      <c r="G218" s="4">
        <v>7642</v>
      </c>
      <c r="H218" s="4">
        <v>202</v>
      </c>
      <c r="I218" s="5">
        <v>2.6499999999999999E-2</v>
      </c>
      <c r="J218" s="2">
        <v>3.38</v>
      </c>
      <c r="K218" s="6">
        <v>682.76</v>
      </c>
      <c r="L218" s="4">
        <v>11</v>
      </c>
      <c r="M218" s="2">
        <v>62.07</v>
      </c>
      <c r="N218" s="6">
        <v>1542.21</v>
      </c>
      <c r="O218" s="6">
        <f t="shared" si="16"/>
        <v>859.45</v>
      </c>
      <c r="P218" s="6">
        <f t="shared" si="17"/>
        <v>1.2587878610346244</v>
      </c>
      <c r="Q218" s="3">
        <v>2.2599999999999998</v>
      </c>
      <c r="R218" t="str">
        <f t="shared" si="18"/>
        <v>Medium</v>
      </c>
      <c r="S218" t="str">
        <f t="shared" si="19"/>
        <v>Valid</v>
      </c>
    </row>
    <row r="219" spans="1:19" x14ac:dyDescent="0.25">
      <c r="A219" s="1">
        <v>45455</v>
      </c>
      <c r="B219" s="1" t="str">
        <f t="shared" si="15"/>
        <v>2024-06</v>
      </c>
      <c r="C219" t="s">
        <v>14</v>
      </c>
      <c r="D219" t="s">
        <v>24</v>
      </c>
      <c r="E219" t="s">
        <v>30</v>
      </c>
      <c r="F219" t="s">
        <v>23</v>
      </c>
      <c r="G219" s="4">
        <v>70618</v>
      </c>
      <c r="H219" s="4">
        <v>3601</v>
      </c>
      <c r="I219" s="5">
        <v>5.0999999999999997E-2</v>
      </c>
      <c r="J219" s="2">
        <v>2.23</v>
      </c>
      <c r="K219" s="6">
        <v>8030.23</v>
      </c>
      <c r="L219" s="4">
        <v>145</v>
      </c>
      <c r="M219" s="2">
        <v>55.38</v>
      </c>
      <c r="N219" s="6">
        <v>7976.29</v>
      </c>
      <c r="O219" s="6">
        <f t="shared" si="16"/>
        <v>-53.9399999999996</v>
      </c>
      <c r="P219" s="6">
        <f t="shared" si="17"/>
        <v>-6.7171176915231078E-3</v>
      </c>
      <c r="Q219" s="3">
        <v>0.99</v>
      </c>
      <c r="R219" t="str">
        <f t="shared" si="18"/>
        <v>Low</v>
      </c>
      <c r="S219" t="str">
        <f t="shared" si="19"/>
        <v>Valid</v>
      </c>
    </row>
    <row r="220" spans="1:19" x14ac:dyDescent="0.25">
      <c r="A220" s="1">
        <v>45562</v>
      </c>
      <c r="B220" s="1" t="str">
        <f t="shared" si="15"/>
        <v>2024-09</v>
      </c>
      <c r="C220" t="s">
        <v>28</v>
      </c>
      <c r="D220" t="s">
        <v>21</v>
      </c>
      <c r="E220" t="s">
        <v>30</v>
      </c>
      <c r="F220" t="s">
        <v>26</v>
      </c>
      <c r="G220" s="4">
        <v>74212</v>
      </c>
      <c r="H220" s="4">
        <v>1528</v>
      </c>
      <c r="I220" s="5">
        <v>2.06E-2</v>
      </c>
      <c r="J220" s="2">
        <v>1.46</v>
      </c>
      <c r="K220" s="6">
        <v>2230.88</v>
      </c>
      <c r="L220" s="4">
        <v>85</v>
      </c>
      <c r="M220" s="2">
        <v>26.25</v>
      </c>
      <c r="N220" s="6">
        <v>21331.58</v>
      </c>
      <c r="O220" s="6">
        <f t="shared" si="16"/>
        <v>19100.7</v>
      </c>
      <c r="P220" s="6">
        <f t="shared" si="17"/>
        <v>8.5619576131392101</v>
      </c>
      <c r="Q220" s="3">
        <v>9.56</v>
      </c>
      <c r="R220" t="str">
        <f t="shared" si="18"/>
        <v>High</v>
      </c>
      <c r="S220" t="str">
        <f t="shared" si="19"/>
        <v>Valid</v>
      </c>
    </row>
    <row r="221" spans="1:19" x14ac:dyDescent="0.25">
      <c r="A221" s="1">
        <v>45360</v>
      </c>
      <c r="B221" s="1" t="str">
        <f t="shared" si="15"/>
        <v>2024-03</v>
      </c>
      <c r="C221" t="s">
        <v>14</v>
      </c>
      <c r="D221" t="s">
        <v>24</v>
      </c>
      <c r="E221" t="s">
        <v>30</v>
      </c>
      <c r="F221" t="s">
        <v>23</v>
      </c>
      <c r="G221" s="4">
        <v>10039</v>
      </c>
      <c r="H221" s="4">
        <v>501</v>
      </c>
      <c r="I221" s="5">
        <v>0.05</v>
      </c>
      <c r="J221" s="2">
        <v>2.29</v>
      </c>
      <c r="K221" s="6">
        <v>1147.29</v>
      </c>
      <c r="L221" s="4">
        <v>36</v>
      </c>
      <c r="M221" s="2">
        <v>31.87</v>
      </c>
      <c r="N221" s="6">
        <v>4805.5200000000004</v>
      </c>
      <c r="O221" s="6">
        <f t="shared" si="16"/>
        <v>3658.2300000000005</v>
      </c>
      <c r="P221" s="6">
        <f t="shared" si="17"/>
        <v>3.1885835316267035</v>
      </c>
      <c r="Q221" s="3">
        <v>4.1900000000000004</v>
      </c>
      <c r="R221" t="str">
        <f t="shared" si="18"/>
        <v>High</v>
      </c>
      <c r="S221" t="str">
        <f t="shared" si="19"/>
        <v>Valid</v>
      </c>
    </row>
    <row r="222" spans="1:19" x14ac:dyDescent="0.25">
      <c r="A222" s="1">
        <v>45649</v>
      </c>
      <c r="B222" s="1" t="str">
        <f t="shared" si="15"/>
        <v>2024-12</v>
      </c>
      <c r="C222" t="s">
        <v>28</v>
      </c>
      <c r="D222" t="s">
        <v>21</v>
      </c>
      <c r="E222" t="s">
        <v>22</v>
      </c>
      <c r="F222" t="s">
        <v>31</v>
      </c>
      <c r="G222" s="4">
        <v>102088</v>
      </c>
      <c r="H222" s="4">
        <v>4481</v>
      </c>
      <c r="I222" s="5">
        <v>4.3900000000000002E-2</v>
      </c>
      <c r="J222" s="2">
        <v>0.73</v>
      </c>
      <c r="K222" s="6">
        <v>3271.13</v>
      </c>
      <c r="L222" s="4">
        <v>316</v>
      </c>
      <c r="M222" s="2">
        <v>10.35</v>
      </c>
      <c r="N222" s="6">
        <v>87569.74</v>
      </c>
      <c r="O222" s="6">
        <f t="shared" si="16"/>
        <v>84298.61</v>
      </c>
      <c r="P222" s="6">
        <f t="shared" si="17"/>
        <v>25.770486039992296</v>
      </c>
      <c r="Q222" s="3">
        <v>26.77</v>
      </c>
      <c r="R222" t="str">
        <f t="shared" si="18"/>
        <v>High</v>
      </c>
      <c r="S222" t="str">
        <f t="shared" si="19"/>
        <v>Valid</v>
      </c>
    </row>
    <row r="223" spans="1:19" x14ac:dyDescent="0.25">
      <c r="A223" s="1">
        <v>45549</v>
      </c>
      <c r="B223" s="1" t="str">
        <f t="shared" si="15"/>
        <v>2024-09</v>
      </c>
      <c r="C223" t="s">
        <v>18</v>
      </c>
      <c r="D223" t="s">
        <v>29</v>
      </c>
      <c r="E223" t="s">
        <v>16</v>
      </c>
      <c r="F223" t="s">
        <v>17</v>
      </c>
      <c r="G223" s="4">
        <v>25025</v>
      </c>
      <c r="H223" s="4">
        <v>1256</v>
      </c>
      <c r="I223" s="5">
        <v>5.0200000000000002E-2</v>
      </c>
      <c r="J223" s="2">
        <v>0.43</v>
      </c>
      <c r="K223" s="6">
        <v>540.08000000000004</v>
      </c>
      <c r="L223" s="4">
        <v>38</v>
      </c>
      <c r="M223" s="2">
        <v>14.21</v>
      </c>
      <c r="N223" s="6">
        <v>5694.61</v>
      </c>
      <c r="O223" s="6">
        <f t="shared" si="16"/>
        <v>5154.53</v>
      </c>
      <c r="P223" s="6">
        <f t="shared" si="17"/>
        <v>9.5440119982224836</v>
      </c>
      <c r="Q223" s="3">
        <v>10.54</v>
      </c>
      <c r="R223" t="str">
        <f t="shared" si="18"/>
        <v>High</v>
      </c>
      <c r="S223" t="str">
        <f t="shared" si="19"/>
        <v>Valid</v>
      </c>
    </row>
    <row r="224" spans="1:19" x14ac:dyDescent="0.25">
      <c r="A224" s="1">
        <v>45601</v>
      </c>
      <c r="B224" s="1" t="str">
        <f t="shared" si="15"/>
        <v>2024-11</v>
      </c>
      <c r="C224" t="s">
        <v>14</v>
      </c>
      <c r="D224" t="s">
        <v>24</v>
      </c>
      <c r="E224" t="s">
        <v>22</v>
      </c>
      <c r="F224" t="s">
        <v>27</v>
      </c>
      <c r="G224" s="4">
        <v>36707</v>
      </c>
      <c r="H224" s="4">
        <v>943</v>
      </c>
      <c r="I224" s="5">
        <v>2.5700000000000001E-2</v>
      </c>
      <c r="J224" s="2">
        <v>1.31</v>
      </c>
      <c r="K224" s="6">
        <v>1235.33</v>
      </c>
      <c r="L224" s="4">
        <v>21</v>
      </c>
      <c r="M224" s="2">
        <v>58.83</v>
      </c>
      <c r="N224" s="6">
        <v>4396.12</v>
      </c>
      <c r="O224" s="6">
        <f t="shared" si="16"/>
        <v>3160.79</v>
      </c>
      <c r="P224" s="6">
        <f t="shared" si="17"/>
        <v>2.5586604389110605</v>
      </c>
      <c r="Q224" s="3">
        <v>3.56</v>
      </c>
      <c r="R224" t="str">
        <f t="shared" si="18"/>
        <v>High</v>
      </c>
      <c r="S224" t="str">
        <f t="shared" si="19"/>
        <v>Valid</v>
      </c>
    </row>
    <row r="225" spans="1:19" x14ac:dyDescent="0.25">
      <c r="A225" s="1">
        <v>45582</v>
      </c>
      <c r="B225" s="1" t="str">
        <f t="shared" si="15"/>
        <v>2024-10</v>
      </c>
      <c r="C225" t="s">
        <v>18</v>
      </c>
      <c r="D225" t="s">
        <v>15</v>
      </c>
      <c r="E225" t="s">
        <v>19</v>
      </c>
      <c r="F225" t="s">
        <v>27</v>
      </c>
      <c r="G225" s="4">
        <v>17356</v>
      </c>
      <c r="H225" s="4">
        <v>925</v>
      </c>
      <c r="I225" s="5">
        <v>5.33E-2</v>
      </c>
      <c r="J225" s="2">
        <v>0.46</v>
      </c>
      <c r="K225" s="6">
        <v>425.5</v>
      </c>
      <c r="L225" s="4">
        <v>62</v>
      </c>
      <c r="M225" s="2">
        <v>6.86</v>
      </c>
      <c r="N225" s="6">
        <v>5476.85</v>
      </c>
      <c r="O225" s="6">
        <f t="shared" si="16"/>
        <v>5051.3500000000004</v>
      </c>
      <c r="P225" s="6">
        <f t="shared" si="17"/>
        <v>11.871562867215042</v>
      </c>
      <c r="Q225" s="3">
        <v>12.87</v>
      </c>
      <c r="R225" t="str">
        <f t="shared" si="18"/>
        <v>High</v>
      </c>
      <c r="S225" t="str">
        <f t="shared" si="19"/>
        <v>Valid</v>
      </c>
    </row>
    <row r="226" spans="1:19" x14ac:dyDescent="0.25">
      <c r="A226" s="1">
        <v>45468</v>
      </c>
      <c r="B226" s="1" t="str">
        <f t="shared" si="15"/>
        <v>2024-06</v>
      </c>
      <c r="C226" t="s">
        <v>18</v>
      </c>
      <c r="D226" t="s">
        <v>15</v>
      </c>
      <c r="E226" t="s">
        <v>19</v>
      </c>
      <c r="F226" t="s">
        <v>31</v>
      </c>
      <c r="G226" s="4">
        <v>86257</v>
      </c>
      <c r="H226" s="4">
        <v>4597</v>
      </c>
      <c r="I226" s="5">
        <v>5.33E-2</v>
      </c>
      <c r="J226" s="2">
        <v>0.83</v>
      </c>
      <c r="K226" s="6">
        <v>3815.51</v>
      </c>
      <c r="L226" s="4">
        <v>301</v>
      </c>
      <c r="M226" s="2">
        <v>12.68</v>
      </c>
      <c r="N226" s="6">
        <v>80903.28</v>
      </c>
      <c r="O226" s="6">
        <f t="shared" si="16"/>
        <v>77087.77</v>
      </c>
      <c r="P226" s="6">
        <f t="shared" si="17"/>
        <v>20.203791891516467</v>
      </c>
      <c r="Q226" s="3">
        <v>21.2</v>
      </c>
      <c r="R226" t="str">
        <f t="shared" si="18"/>
        <v>High</v>
      </c>
      <c r="S226" t="str">
        <f t="shared" si="19"/>
        <v>Valid</v>
      </c>
    </row>
    <row r="227" spans="1:19" x14ac:dyDescent="0.25">
      <c r="A227" s="1">
        <v>45604</v>
      </c>
      <c r="B227" s="1" t="str">
        <f t="shared" si="15"/>
        <v>2024-11</v>
      </c>
      <c r="C227" t="s">
        <v>14</v>
      </c>
      <c r="D227" t="s">
        <v>24</v>
      </c>
      <c r="E227" t="s">
        <v>16</v>
      </c>
      <c r="F227" t="s">
        <v>31</v>
      </c>
      <c r="G227" s="4">
        <v>32518</v>
      </c>
      <c r="H227" s="4">
        <v>1258</v>
      </c>
      <c r="I227" s="5">
        <v>3.8699999999999998E-2</v>
      </c>
      <c r="J227" s="2">
        <v>2.41</v>
      </c>
      <c r="K227" s="6">
        <v>3031.78</v>
      </c>
      <c r="L227" s="4">
        <v>12</v>
      </c>
      <c r="M227" s="2">
        <v>252.65</v>
      </c>
      <c r="N227" s="6">
        <v>2688.72</v>
      </c>
      <c r="O227" s="6">
        <f t="shared" si="16"/>
        <v>-343.0600000000004</v>
      </c>
      <c r="P227" s="6">
        <f t="shared" si="17"/>
        <v>-0.11315464842435809</v>
      </c>
      <c r="Q227" s="3">
        <v>0.89</v>
      </c>
      <c r="R227" t="str">
        <f t="shared" si="18"/>
        <v>Low</v>
      </c>
      <c r="S227" t="str">
        <f t="shared" si="19"/>
        <v>Valid</v>
      </c>
    </row>
    <row r="228" spans="1:19" x14ac:dyDescent="0.25">
      <c r="A228" s="1">
        <v>45500</v>
      </c>
      <c r="B228" s="1" t="str">
        <f t="shared" si="15"/>
        <v>2024-07</v>
      </c>
      <c r="C228" t="s">
        <v>28</v>
      </c>
      <c r="D228" t="s">
        <v>29</v>
      </c>
      <c r="E228" t="s">
        <v>30</v>
      </c>
      <c r="F228" t="s">
        <v>31</v>
      </c>
      <c r="G228" s="4">
        <v>75269</v>
      </c>
      <c r="H228" s="4">
        <v>2604</v>
      </c>
      <c r="I228" s="5">
        <v>3.4599999999999999E-2</v>
      </c>
      <c r="J228" s="2">
        <v>0.83</v>
      </c>
      <c r="K228" s="6">
        <v>2161.3200000000002</v>
      </c>
      <c r="L228" s="4">
        <v>70</v>
      </c>
      <c r="M228" s="2">
        <v>30.88</v>
      </c>
      <c r="N228" s="6">
        <v>3191.14</v>
      </c>
      <c r="O228" s="6">
        <f t="shared" si="16"/>
        <v>1029.8199999999997</v>
      </c>
      <c r="P228" s="6">
        <f t="shared" si="17"/>
        <v>0.47647733792312086</v>
      </c>
      <c r="Q228" s="3">
        <v>1.48</v>
      </c>
      <c r="R228" t="str">
        <f t="shared" si="18"/>
        <v>Medium</v>
      </c>
      <c r="S228" t="str">
        <f t="shared" si="19"/>
        <v>Valid</v>
      </c>
    </row>
    <row r="229" spans="1:19" x14ac:dyDescent="0.25">
      <c r="A229" s="1">
        <v>45428</v>
      </c>
      <c r="B229" s="1" t="str">
        <f t="shared" si="15"/>
        <v>2024-05</v>
      </c>
      <c r="C229" t="s">
        <v>14</v>
      </c>
      <c r="D229" t="s">
        <v>21</v>
      </c>
      <c r="E229" t="s">
        <v>19</v>
      </c>
      <c r="F229" t="s">
        <v>27</v>
      </c>
      <c r="G229" s="4">
        <v>20534</v>
      </c>
      <c r="H229" s="4">
        <v>993</v>
      </c>
      <c r="I229" s="5">
        <v>4.8399999999999999E-2</v>
      </c>
      <c r="J229" s="2">
        <v>2.87</v>
      </c>
      <c r="K229" s="6">
        <v>2849.91</v>
      </c>
      <c r="L229" s="4">
        <v>49</v>
      </c>
      <c r="M229" s="2">
        <v>58.16</v>
      </c>
      <c r="N229" s="6">
        <v>1762.93</v>
      </c>
      <c r="O229" s="6">
        <f t="shared" si="16"/>
        <v>-1086.9799999999998</v>
      </c>
      <c r="P229" s="6">
        <f t="shared" si="17"/>
        <v>-0.38140853570814509</v>
      </c>
      <c r="Q229" s="3">
        <v>0.62</v>
      </c>
      <c r="R229" t="str">
        <f t="shared" si="18"/>
        <v>Low</v>
      </c>
      <c r="S229" t="str">
        <f t="shared" si="19"/>
        <v>Valid</v>
      </c>
    </row>
    <row r="230" spans="1:19" x14ac:dyDescent="0.25">
      <c r="A230" s="1">
        <v>45611</v>
      </c>
      <c r="B230" s="1" t="str">
        <f t="shared" si="15"/>
        <v>2024-11</v>
      </c>
      <c r="C230" t="s">
        <v>18</v>
      </c>
      <c r="D230" t="s">
        <v>24</v>
      </c>
      <c r="E230" t="s">
        <v>30</v>
      </c>
      <c r="F230" t="s">
        <v>17</v>
      </c>
      <c r="G230" s="4">
        <v>98500</v>
      </c>
      <c r="H230" s="4">
        <v>5614</v>
      </c>
      <c r="I230" s="5">
        <v>5.7000000000000002E-2</v>
      </c>
      <c r="J230" s="2">
        <v>0.61</v>
      </c>
      <c r="K230" s="6">
        <v>3424.54</v>
      </c>
      <c r="L230" s="4">
        <v>220</v>
      </c>
      <c r="M230" s="2">
        <v>15.57</v>
      </c>
      <c r="N230" s="6">
        <v>7676.57</v>
      </c>
      <c r="O230" s="6">
        <f t="shared" si="16"/>
        <v>4252.03</v>
      </c>
      <c r="P230" s="6">
        <f t="shared" si="17"/>
        <v>1.2416353729259988</v>
      </c>
      <c r="Q230" s="3">
        <v>2.2400000000000002</v>
      </c>
      <c r="R230" t="str">
        <f t="shared" si="18"/>
        <v>Medium</v>
      </c>
      <c r="S230" t="str">
        <f t="shared" si="19"/>
        <v>Valid</v>
      </c>
    </row>
    <row r="231" spans="1:19" x14ac:dyDescent="0.25">
      <c r="A231" s="1">
        <v>45498</v>
      </c>
      <c r="B231" s="1" t="str">
        <f t="shared" si="15"/>
        <v>2024-07</v>
      </c>
      <c r="C231" t="s">
        <v>18</v>
      </c>
      <c r="D231" t="s">
        <v>15</v>
      </c>
      <c r="E231" t="s">
        <v>16</v>
      </c>
      <c r="F231" t="s">
        <v>17</v>
      </c>
      <c r="G231" s="4">
        <v>41468</v>
      </c>
      <c r="H231" s="4">
        <v>3354</v>
      </c>
      <c r="I231" s="5">
        <v>8.09E-2</v>
      </c>
      <c r="J231" s="2">
        <v>1.1100000000000001</v>
      </c>
      <c r="K231" s="6">
        <v>3722.94</v>
      </c>
      <c r="L231" s="4">
        <v>81</v>
      </c>
      <c r="M231" s="2">
        <v>45.96</v>
      </c>
      <c r="N231" s="6">
        <v>5215.9399999999996</v>
      </c>
      <c r="O231" s="6">
        <f t="shared" si="16"/>
        <v>1492.9999999999995</v>
      </c>
      <c r="P231" s="6">
        <f t="shared" si="17"/>
        <v>0.4010271452131916</v>
      </c>
      <c r="Q231" s="3">
        <v>1.4</v>
      </c>
      <c r="R231" t="str">
        <f t="shared" si="18"/>
        <v>Medium</v>
      </c>
      <c r="S231" t="str">
        <f t="shared" si="19"/>
        <v>Valid</v>
      </c>
    </row>
    <row r="232" spans="1:19" x14ac:dyDescent="0.25">
      <c r="A232" s="1">
        <v>45438</v>
      </c>
      <c r="B232" s="1" t="str">
        <f t="shared" si="15"/>
        <v>2024-05</v>
      </c>
      <c r="C232" t="s">
        <v>14</v>
      </c>
      <c r="D232" t="s">
        <v>21</v>
      </c>
      <c r="E232" t="s">
        <v>22</v>
      </c>
      <c r="F232" t="s">
        <v>27</v>
      </c>
      <c r="G232" s="4">
        <v>123696</v>
      </c>
      <c r="H232" s="4">
        <v>6531</v>
      </c>
      <c r="I232" s="5">
        <v>5.28E-2</v>
      </c>
      <c r="J232" s="2">
        <v>2.58</v>
      </c>
      <c r="K232" s="6">
        <v>16849.98</v>
      </c>
      <c r="L232" s="4">
        <v>466</v>
      </c>
      <c r="M232" s="2">
        <v>36.159999999999997</v>
      </c>
      <c r="N232" s="6">
        <v>62974.93</v>
      </c>
      <c r="O232" s="6">
        <f t="shared" si="16"/>
        <v>46124.95</v>
      </c>
      <c r="P232" s="6">
        <f t="shared" si="17"/>
        <v>2.737389005802974</v>
      </c>
      <c r="Q232" s="3">
        <v>3.74</v>
      </c>
      <c r="R232" t="str">
        <f t="shared" si="18"/>
        <v>High</v>
      </c>
      <c r="S232" t="str">
        <f t="shared" si="19"/>
        <v>Valid</v>
      </c>
    </row>
    <row r="233" spans="1:19" x14ac:dyDescent="0.25">
      <c r="A233" s="1">
        <v>45604</v>
      </c>
      <c r="B233" s="1" t="str">
        <f t="shared" si="15"/>
        <v>2024-11</v>
      </c>
      <c r="C233" t="s">
        <v>28</v>
      </c>
      <c r="D233" t="s">
        <v>24</v>
      </c>
      <c r="E233" t="s">
        <v>19</v>
      </c>
      <c r="F233" t="s">
        <v>26</v>
      </c>
      <c r="G233" s="4">
        <v>81848</v>
      </c>
      <c r="H233" s="4">
        <v>1694</v>
      </c>
      <c r="I233" s="5">
        <v>2.07E-2</v>
      </c>
      <c r="J233" s="2">
        <v>1.29</v>
      </c>
      <c r="K233" s="6">
        <v>2185.2600000000002</v>
      </c>
      <c r="L233" s="4">
        <v>58</v>
      </c>
      <c r="M233" s="2">
        <v>37.68</v>
      </c>
      <c r="N233" s="6">
        <v>7573.87</v>
      </c>
      <c r="O233" s="6">
        <f t="shared" si="16"/>
        <v>5388.61</v>
      </c>
      <c r="P233" s="6">
        <f t="shared" si="17"/>
        <v>2.4658896424224115</v>
      </c>
      <c r="Q233" s="3">
        <v>3.47</v>
      </c>
      <c r="R233" t="str">
        <f t="shared" si="18"/>
        <v>High</v>
      </c>
      <c r="S233" t="str">
        <f t="shared" si="19"/>
        <v>Valid</v>
      </c>
    </row>
    <row r="234" spans="1:19" x14ac:dyDescent="0.25">
      <c r="A234" s="1">
        <v>45351</v>
      </c>
      <c r="B234" s="1" t="str">
        <f t="shared" si="15"/>
        <v>2024-02</v>
      </c>
      <c r="C234" t="s">
        <v>14</v>
      </c>
      <c r="D234" t="s">
        <v>29</v>
      </c>
      <c r="E234" t="s">
        <v>19</v>
      </c>
      <c r="F234" t="s">
        <v>27</v>
      </c>
      <c r="G234" s="4">
        <v>92923</v>
      </c>
      <c r="H234" s="4">
        <v>1932</v>
      </c>
      <c r="I234" s="5">
        <v>2.0799999999999999E-2</v>
      </c>
      <c r="J234" s="2">
        <v>3.17</v>
      </c>
      <c r="K234" s="6">
        <v>6124.44</v>
      </c>
      <c r="L234" s="4">
        <v>32</v>
      </c>
      <c r="M234" s="2">
        <v>191.39</v>
      </c>
      <c r="N234" s="6">
        <v>1855.78</v>
      </c>
      <c r="O234" s="6">
        <f t="shared" si="16"/>
        <v>-4268.66</v>
      </c>
      <c r="P234" s="6">
        <f t="shared" si="17"/>
        <v>-0.69698780623208001</v>
      </c>
      <c r="Q234" s="3">
        <v>0.3</v>
      </c>
      <c r="R234" t="str">
        <f t="shared" si="18"/>
        <v>Low</v>
      </c>
      <c r="S234" t="str">
        <f t="shared" si="19"/>
        <v>Valid</v>
      </c>
    </row>
    <row r="235" spans="1:19" x14ac:dyDescent="0.25">
      <c r="A235" s="1">
        <v>45605</v>
      </c>
      <c r="B235" s="1" t="str">
        <f t="shared" si="15"/>
        <v>2024-11</v>
      </c>
      <c r="C235" t="s">
        <v>14</v>
      </c>
      <c r="D235" t="s">
        <v>24</v>
      </c>
      <c r="E235" t="s">
        <v>30</v>
      </c>
      <c r="F235" t="s">
        <v>20</v>
      </c>
      <c r="G235" s="4">
        <v>170732</v>
      </c>
      <c r="H235" s="4">
        <v>7700</v>
      </c>
      <c r="I235" s="5">
        <v>4.5100000000000001E-2</v>
      </c>
      <c r="J235" s="2">
        <v>0.81</v>
      </c>
      <c r="K235" s="6">
        <v>6237</v>
      </c>
      <c r="L235" s="4">
        <v>434</v>
      </c>
      <c r="M235" s="2">
        <v>14.37</v>
      </c>
      <c r="N235" s="6">
        <v>53677.08</v>
      </c>
      <c r="O235" s="6">
        <f t="shared" si="16"/>
        <v>47440.08</v>
      </c>
      <c r="P235" s="6">
        <f t="shared" si="17"/>
        <v>7.6062337662337667</v>
      </c>
      <c r="Q235" s="3">
        <v>8.61</v>
      </c>
      <c r="R235" t="str">
        <f t="shared" si="18"/>
        <v>High</v>
      </c>
      <c r="S235" t="str">
        <f t="shared" si="19"/>
        <v>Valid</v>
      </c>
    </row>
    <row r="236" spans="1:19" x14ac:dyDescent="0.25">
      <c r="A236" s="1">
        <v>45568</v>
      </c>
      <c r="B236" s="1" t="str">
        <f t="shared" si="15"/>
        <v>2024-10</v>
      </c>
      <c r="C236" t="s">
        <v>14</v>
      </c>
      <c r="D236" t="s">
        <v>29</v>
      </c>
      <c r="E236" t="s">
        <v>30</v>
      </c>
      <c r="F236" t="s">
        <v>32</v>
      </c>
      <c r="G236" s="4">
        <v>86471</v>
      </c>
      <c r="H236" s="4">
        <v>4859</v>
      </c>
      <c r="I236" s="5">
        <v>5.62E-2</v>
      </c>
      <c r="J236" s="2">
        <v>1.57</v>
      </c>
      <c r="K236" s="6">
        <v>7628.63</v>
      </c>
      <c r="L236" s="4">
        <v>248</v>
      </c>
      <c r="M236" s="2">
        <v>30.76</v>
      </c>
      <c r="N236" s="6">
        <v>19852.560000000001</v>
      </c>
      <c r="O236" s="6">
        <f t="shared" si="16"/>
        <v>12223.93</v>
      </c>
      <c r="P236" s="6">
        <f t="shared" si="17"/>
        <v>1.6023755248321128</v>
      </c>
      <c r="Q236" s="3">
        <v>2.6</v>
      </c>
      <c r="R236" t="str">
        <f t="shared" si="18"/>
        <v>Medium</v>
      </c>
      <c r="S236" t="str">
        <f t="shared" si="19"/>
        <v>Valid</v>
      </c>
    </row>
    <row r="237" spans="1:19" x14ac:dyDescent="0.25">
      <c r="A237" s="1">
        <v>45591</v>
      </c>
      <c r="B237" s="1" t="str">
        <f t="shared" si="15"/>
        <v>2024-10</v>
      </c>
      <c r="C237" t="s">
        <v>28</v>
      </c>
      <c r="D237" t="s">
        <v>29</v>
      </c>
      <c r="E237" t="s">
        <v>19</v>
      </c>
      <c r="F237" t="s">
        <v>20</v>
      </c>
      <c r="G237" s="4">
        <v>115986</v>
      </c>
      <c r="H237" s="4">
        <v>1357</v>
      </c>
      <c r="I237" s="5">
        <v>1.17E-2</v>
      </c>
      <c r="J237" s="2">
        <v>1.48</v>
      </c>
      <c r="K237" s="6">
        <v>2008.36</v>
      </c>
      <c r="L237" s="4">
        <v>79</v>
      </c>
      <c r="M237" s="2">
        <v>25.42</v>
      </c>
      <c r="N237" s="6">
        <v>8002.44</v>
      </c>
      <c r="O237" s="6">
        <f t="shared" si="16"/>
        <v>5994.08</v>
      </c>
      <c r="P237" s="6">
        <f t="shared" si="17"/>
        <v>2.9845645203051245</v>
      </c>
      <c r="Q237" s="3">
        <v>3.98</v>
      </c>
      <c r="R237" t="str">
        <f t="shared" si="18"/>
        <v>High</v>
      </c>
      <c r="S237" t="str">
        <f t="shared" si="19"/>
        <v>Valid</v>
      </c>
    </row>
    <row r="238" spans="1:19" x14ac:dyDescent="0.25">
      <c r="A238" s="1">
        <v>45464</v>
      </c>
      <c r="B238" s="1" t="str">
        <f t="shared" si="15"/>
        <v>2024-06</v>
      </c>
      <c r="C238" t="s">
        <v>18</v>
      </c>
      <c r="D238" t="s">
        <v>29</v>
      </c>
      <c r="E238" t="s">
        <v>22</v>
      </c>
      <c r="F238" t="s">
        <v>23</v>
      </c>
      <c r="G238" s="4">
        <v>42019</v>
      </c>
      <c r="H238" s="4">
        <v>2979</v>
      </c>
      <c r="I238" s="5">
        <v>7.0900000000000005E-2</v>
      </c>
      <c r="J238" s="2">
        <v>1.51</v>
      </c>
      <c r="K238" s="6">
        <v>4498.29</v>
      </c>
      <c r="L238" s="4">
        <v>234</v>
      </c>
      <c r="M238" s="2">
        <v>19.22</v>
      </c>
      <c r="N238" s="6">
        <v>56724.23</v>
      </c>
      <c r="O238" s="6">
        <f t="shared" si="16"/>
        <v>52225.94</v>
      </c>
      <c r="P238" s="6">
        <f t="shared" si="17"/>
        <v>11.610176311442792</v>
      </c>
      <c r="Q238" s="3">
        <v>12.61</v>
      </c>
      <c r="R238" t="str">
        <f t="shared" si="18"/>
        <v>High</v>
      </c>
      <c r="S238" t="str">
        <f t="shared" si="19"/>
        <v>Valid</v>
      </c>
    </row>
    <row r="239" spans="1:19" x14ac:dyDescent="0.25">
      <c r="A239" s="1">
        <v>45319</v>
      </c>
      <c r="B239" s="1" t="str">
        <f t="shared" si="15"/>
        <v>2024-01</v>
      </c>
      <c r="C239" t="s">
        <v>18</v>
      </c>
      <c r="D239" t="s">
        <v>24</v>
      </c>
      <c r="E239" t="s">
        <v>19</v>
      </c>
      <c r="F239" t="s">
        <v>23</v>
      </c>
      <c r="G239" s="4">
        <v>34063</v>
      </c>
      <c r="H239" s="4">
        <v>1243</v>
      </c>
      <c r="I239" s="5">
        <v>3.6499999999999998E-2</v>
      </c>
      <c r="J239" s="2">
        <v>0.38</v>
      </c>
      <c r="K239" s="6">
        <v>472.34</v>
      </c>
      <c r="L239" s="4">
        <v>40</v>
      </c>
      <c r="M239" s="2">
        <v>11.81</v>
      </c>
      <c r="N239" s="6">
        <v>10897.53</v>
      </c>
      <c r="O239" s="6">
        <f t="shared" si="16"/>
        <v>10425.19</v>
      </c>
      <c r="P239" s="6">
        <f t="shared" si="17"/>
        <v>22.07136808231359</v>
      </c>
      <c r="Q239" s="3">
        <v>23.07</v>
      </c>
      <c r="R239" t="str">
        <f t="shared" si="18"/>
        <v>High</v>
      </c>
      <c r="S239" t="str">
        <f t="shared" si="19"/>
        <v>Valid</v>
      </c>
    </row>
    <row r="240" spans="1:19" x14ac:dyDescent="0.25">
      <c r="A240" s="1">
        <v>45395</v>
      </c>
      <c r="B240" s="1" t="str">
        <f t="shared" si="15"/>
        <v>2024-04</v>
      </c>
      <c r="C240" t="s">
        <v>18</v>
      </c>
      <c r="D240" t="s">
        <v>24</v>
      </c>
      <c r="E240" t="s">
        <v>22</v>
      </c>
      <c r="F240" t="s">
        <v>32</v>
      </c>
      <c r="G240" s="4">
        <v>107476</v>
      </c>
      <c r="H240" s="4">
        <v>4707</v>
      </c>
      <c r="I240" s="5">
        <v>4.3799999999999999E-2</v>
      </c>
      <c r="J240" s="2">
        <v>1.7</v>
      </c>
      <c r="K240" s="6">
        <v>8001.9</v>
      </c>
      <c r="L240" s="4">
        <v>293</v>
      </c>
      <c r="M240" s="2">
        <v>27.31</v>
      </c>
      <c r="N240" s="6">
        <v>72605.27</v>
      </c>
      <c r="O240" s="6">
        <f t="shared" si="16"/>
        <v>64603.37</v>
      </c>
      <c r="P240" s="6">
        <f t="shared" si="17"/>
        <v>8.0735037928491984</v>
      </c>
      <c r="Q240" s="3">
        <v>9.07</v>
      </c>
      <c r="R240" t="str">
        <f t="shared" si="18"/>
        <v>High</v>
      </c>
      <c r="S240" t="str">
        <f t="shared" si="19"/>
        <v>Valid</v>
      </c>
    </row>
    <row r="241" spans="1:19" x14ac:dyDescent="0.25">
      <c r="A241" s="1">
        <v>45642</v>
      </c>
      <c r="B241" s="1" t="str">
        <f t="shared" si="15"/>
        <v>2024-12</v>
      </c>
      <c r="C241" t="s">
        <v>18</v>
      </c>
      <c r="D241" t="s">
        <v>15</v>
      </c>
      <c r="E241" t="s">
        <v>16</v>
      </c>
      <c r="F241" t="s">
        <v>27</v>
      </c>
      <c r="G241" s="4">
        <v>33302</v>
      </c>
      <c r="H241" s="4">
        <v>3007</v>
      </c>
      <c r="I241" s="5">
        <v>9.0300000000000005E-2</v>
      </c>
      <c r="J241" s="2">
        <v>0.28000000000000003</v>
      </c>
      <c r="K241" s="6">
        <v>841.96</v>
      </c>
      <c r="L241" s="4">
        <v>95</v>
      </c>
      <c r="M241" s="2">
        <v>8.86</v>
      </c>
      <c r="N241" s="6">
        <v>3253.81</v>
      </c>
      <c r="O241" s="6">
        <f t="shared" si="16"/>
        <v>2411.85</v>
      </c>
      <c r="P241" s="6">
        <f t="shared" si="17"/>
        <v>2.8645660126371797</v>
      </c>
      <c r="Q241" s="3">
        <v>3.86</v>
      </c>
      <c r="R241" t="str">
        <f t="shared" si="18"/>
        <v>High</v>
      </c>
      <c r="S241" t="str">
        <f t="shared" si="19"/>
        <v>Valid</v>
      </c>
    </row>
    <row r="242" spans="1:19" x14ac:dyDescent="0.25">
      <c r="A242" s="1">
        <v>45647</v>
      </c>
      <c r="B242" s="1" t="str">
        <f t="shared" si="15"/>
        <v>2024-12</v>
      </c>
      <c r="C242" t="s">
        <v>14</v>
      </c>
      <c r="D242" t="s">
        <v>24</v>
      </c>
      <c r="E242" t="s">
        <v>25</v>
      </c>
      <c r="F242" t="s">
        <v>23</v>
      </c>
      <c r="G242" s="4">
        <v>70206</v>
      </c>
      <c r="H242" s="4">
        <v>3945</v>
      </c>
      <c r="I242" s="5">
        <v>5.62E-2</v>
      </c>
      <c r="J242" s="2">
        <v>3.6</v>
      </c>
      <c r="K242" s="6">
        <v>14202</v>
      </c>
      <c r="L242" s="4">
        <v>248</v>
      </c>
      <c r="M242" s="2">
        <v>57.27</v>
      </c>
      <c r="N242" s="6">
        <v>37055.99</v>
      </c>
      <c r="O242" s="6">
        <f t="shared" si="16"/>
        <v>22853.989999999998</v>
      </c>
      <c r="P242" s="6">
        <f t="shared" si="17"/>
        <v>1.6092092663005209</v>
      </c>
      <c r="Q242" s="3">
        <v>2.61</v>
      </c>
      <c r="R242" t="str">
        <f t="shared" si="18"/>
        <v>Medium</v>
      </c>
      <c r="S242" t="str">
        <f t="shared" si="19"/>
        <v>Valid</v>
      </c>
    </row>
    <row r="243" spans="1:19" x14ac:dyDescent="0.25">
      <c r="A243" s="1">
        <v>45339</v>
      </c>
      <c r="B243" s="1" t="str">
        <f t="shared" si="15"/>
        <v>2024-02</v>
      </c>
      <c r="C243" t="s">
        <v>28</v>
      </c>
      <c r="D243" t="s">
        <v>21</v>
      </c>
      <c r="E243" t="s">
        <v>30</v>
      </c>
      <c r="F243" t="s">
        <v>26</v>
      </c>
      <c r="G243" s="4">
        <v>16094</v>
      </c>
      <c r="H243" s="4">
        <v>616</v>
      </c>
      <c r="I243" s="5">
        <v>3.8300000000000001E-2</v>
      </c>
      <c r="J243" s="2">
        <v>2.29</v>
      </c>
      <c r="K243" s="6">
        <v>1410.64</v>
      </c>
      <c r="L243" s="4">
        <v>40</v>
      </c>
      <c r="M243" s="2">
        <v>35.270000000000003</v>
      </c>
      <c r="N243" s="6">
        <v>8923.08</v>
      </c>
      <c r="O243" s="6">
        <f t="shared" si="16"/>
        <v>7512.44</v>
      </c>
      <c r="P243" s="6">
        <f t="shared" si="17"/>
        <v>5.3255543583054497</v>
      </c>
      <c r="Q243" s="3">
        <v>6.33</v>
      </c>
      <c r="R243" t="str">
        <f t="shared" si="18"/>
        <v>High</v>
      </c>
      <c r="S243" t="str">
        <f t="shared" si="19"/>
        <v>Valid</v>
      </c>
    </row>
    <row r="244" spans="1:19" x14ac:dyDescent="0.25">
      <c r="A244" s="1">
        <v>45446</v>
      </c>
      <c r="B244" s="1" t="str">
        <f t="shared" si="15"/>
        <v>2024-06</v>
      </c>
      <c r="C244" t="s">
        <v>28</v>
      </c>
      <c r="D244" t="s">
        <v>21</v>
      </c>
      <c r="E244" t="s">
        <v>16</v>
      </c>
      <c r="F244" t="s">
        <v>17</v>
      </c>
      <c r="G244" s="4">
        <v>182718</v>
      </c>
      <c r="H244" s="4">
        <v>2558</v>
      </c>
      <c r="I244" s="5">
        <v>1.4E-2</v>
      </c>
      <c r="J244" s="2">
        <v>1.36</v>
      </c>
      <c r="K244" s="6">
        <v>3478.88</v>
      </c>
      <c r="L244" s="4">
        <v>124</v>
      </c>
      <c r="M244" s="2">
        <v>28.06</v>
      </c>
      <c r="N244" s="6">
        <v>28756.15</v>
      </c>
      <c r="O244" s="6">
        <f t="shared" si="16"/>
        <v>25277.27</v>
      </c>
      <c r="P244" s="6">
        <f t="shared" si="17"/>
        <v>7.2659217909212162</v>
      </c>
      <c r="Q244" s="3">
        <v>8.27</v>
      </c>
      <c r="R244" t="str">
        <f t="shared" si="18"/>
        <v>High</v>
      </c>
      <c r="S244" t="str">
        <f t="shared" si="19"/>
        <v>Valid</v>
      </c>
    </row>
    <row r="245" spans="1:19" x14ac:dyDescent="0.25">
      <c r="A245" s="1">
        <v>45505</v>
      </c>
      <c r="B245" s="1" t="str">
        <f t="shared" si="15"/>
        <v>2024-08</v>
      </c>
      <c r="C245" t="s">
        <v>18</v>
      </c>
      <c r="D245" t="s">
        <v>15</v>
      </c>
      <c r="E245" t="s">
        <v>19</v>
      </c>
      <c r="F245" t="s">
        <v>31</v>
      </c>
      <c r="G245" s="4">
        <v>66169</v>
      </c>
      <c r="H245" s="4">
        <v>2057</v>
      </c>
      <c r="I245" s="5">
        <v>3.1099999999999999E-2</v>
      </c>
      <c r="J245" s="2">
        <v>1.49</v>
      </c>
      <c r="K245" s="6">
        <v>3064.93</v>
      </c>
      <c r="L245" s="4">
        <v>136</v>
      </c>
      <c r="M245" s="2">
        <v>22.54</v>
      </c>
      <c r="N245" s="6">
        <v>39364.99</v>
      </c>
      <c r="O245" s="6">
        <f t="shared" si="16"/>
        <v>36300.06</v>
      </c>
      <c r="P245" s="6">
        <f t="shared" si="17"/>
        <v>11.843683216256162</v>
      </c>
      <c r="Q245" s="3">
        <v>12.84</v>
      </c>
      <c r="R245" t="str">
        <f t="shared" si="18"/>
        <v>High</v>
      </c>
      <c r="S245" t="str">
        <f t="shared" si="19"/>
        <v>Valid</v>
      </c>
    </row>
    <row r="246" spans="1:19" x14ac:dyDescent="0.25">
      <c r="A246" s="1">
        <v>45304</v>
      </c>
      <c r="B246" s="1" t="str">
        <f t="shared" si="15"/>
        <v>2024-01</v>
      </c>
      <c r="C246" t="s">
        <v>28</v>
      </c>
      <c r="D246" t="s">
        <v>24</v>
      </c>
      <c r="E246" t="s">
        <v>25</v>
      </c>
      <c r="F246" t="s">
        <v>31</v>
      </c>
      <c r="G246" s="4">
        <v>24404</v>
      </c>
      <c r="H246" s="4">
        <v>710</v>
      </c>
      <c r="I246" s="5">
        <v>2.9100000000000001E-2</v>
      </c>
      <c r="J246" s="2">
        <v>0.61</v>
      </c>
      <c r="K246" s="6">
        <v>433.1</v>
      </c>
      <c r="L246" s="4">
        <v>10</v>
      </c>
      <c r="M246" s="2">
        <v>43.31</v>
      </c>
      <c r="N246" s="6">
        <v>923.15</v>
      </c>
      <c r="O246" s="6">
        <f t="shared" si="16"/>
        <v>490.04999999999995</v>
      </c>
      <c r="P246" s="6">
        <f t="shared" si="17"/>
        <v>1.1314938813207109</v>
      </c>
      <c r="Q246" s="3">
        <v>2.13</v>
      </c>
      <c r="R246" t="str">
        <f t="shared" si="18"/>
        <v>Medium</v>
      </c>
      <c r="S246" t="str">
        <f t="shared" si="19"/>
        <v>Valid</v>
      </c>
    </row>
    <row r="247" spans="1:19" x14ac:dyDescent="0.25">
      <c r="A247" s="1">
        <v>45435</v>
      </c>
      <c r="B247" s="1" t="str">
        <f t="shared" si="15"/>
        <v>2024-05</v>
      </c>
      <c r="C247" t="s">
        <v>18</v>
      </c>
      <c r="D247" t="s">
        <v>24</v>
      </c>
      <c r="E247" t="s">
        <v>19</v>
      </c>
      <c r="F247" t="s">
        <v>32</v>
      </c>
      <c r="G247" s="4">
        <v>30517</v>
      </c>
      <c r="H247" s="4">
        <v>2575</v>
      </c>
      <c r="I247" s="5">
        <v>8.4400000000000003E-2</v>
      </c>
      <c r="J247" s="2">
        <v>0.8</v>
      </c>
      <c r="K247" s="6">
        <v>2060</v>
      </c>
      <c r="L247" s="4">
        <v>205</v>
      </c>
      <c r="M247" s="2">
        <v>10.050000000000001</v>
      </c>
      <c r="N247" s="6">
        <v>7811.94</v>
      </c>
      <c r="O247" s="6">
        <f t="shared" si="16"/>
        <v>5751.94</v>
      </c>
      <c r="P247" s="6">
        <f t="shared" si="17"/>
        <v>2.7922038834951453</v>
      </c>
      <c r="Q247" s="3">
        <v>3.79</v>
      </c>
      <c r="R247" t="str">
        <f t="shared" si="18"/>
        <v>High</v>
      </c>
      <c r="S247" t="str">
        <f t="shared" si="19"/>
        <v>Valid</v>
      </c>
    </row>
    <row r="248" spans="1:19" x14ac:dyDescent="0.25">
      <c r="A248" s="1">
        <v>45386</v>
      </c>
      <c r="B248" s="1" t="str">
        <f t="shared" si="15"/>
        <v>2024-04</v>
      </c>
      <c r="C248" t="s">
        <v>18</v>
      </c>
      <c r="D248" t="s">
        <v>21</v>
      </c>
      <c r="E248" t="s">
        <v>30</v>
      </c>
      <c r="F248" t="s">
        <v>32</v>
      </c>
      <c r="G248" s="4">
        <v>145148</v>
      </c>
      <c r="H248" s="4">
        <v>5762</v>
      </c>
      <c r="I248" s="5">
        <v>3.9699999999999999E-2</v>
      </c>
      <c r="J248" s="2">
        <v>1.49</v>
      </c>
      <c r="K248" s="6">
        <v>8585.3799999999992</v>
      </c>
      <c r="L248" s="4">
        <v>213</v>
      </c>
      <c r="M248" s="2">
        <v>40.31</v>
      </c>
      <c r="N248" s="6">
        <v>10475.219999999999</v>
      </c>
      <c r="O248" s="6">
        <f t="shared" si="16"/>
        <v>1889.8400000000001</v>
      </c>
      <c r="P248" s="6">
        <f t="shared" si="17"/>
        <v>0.22012304638816224</v>
      </c>
      <c r="Q248" s="3">
        <v>1.22</v>
      </c>
      <c r="R248" t="str">
        <f t="shared" si="18"/>
        <v>Medium</v>
      </c>
      <c r="S248" t="str">
        <f t="shared" si="19"/>
        <v>Valid</v>
      </c>
    </row>
    <row r="249" spans="1:19" x14ac:dyDescent="0.25">
      <c r="A249" s="1">
        <v>45341</v>
      </c>
      <c r="B249" s="1" t="str">
        <f t="shared" si="15"/>
        <v>2024-02</v>
      </c>
      <c r="C249" t="s">
        <v>14</v>
      </c>
      <c r="D249" t="s">
        <v>29</v>
      </c>
      <c r="E249" t="s">
        <v>16</v>
      </c>
      <c r="F249" t="s">
        <v>26</v>
      </c>
      <c r="G249" s="4">
        <v>37101</v>
      </c>
      <c r="H249" s="4">
        <v>2166</v>
      </c>
      <c r="I249" s="5">
        <v>5.8400000000000001E-2</v>
      </c>
      <c r="J249" s="2">
        <v>2.95</v>
      </c>
      <c r="K249" s="6">
        <v>6389.7</v>
      </c>
      <c r="L249" s="4">
        <v>45</v>
      </c>
      <c r="M249" s="2">
        <v>141.99</v>
      </c>
      <c r="N249" s="6">
        <v>3868.37</v>
      </c>
      <c r="O249" s="6">
        <f t="shared" si="16"/>
        <v>-2521.33</v>
      </c>
      <c r="P249" s="6">
        <f t="shared" si="17"/>
        <v>-0.39459286038468161</v>
      </c>
      <c r="Q249" s="3">
        <v>0.61</v>
      </c>
      <c r="R249" t="str">
        <f t="shared" si="18"/>
        <v>Low</v>
      </c>
      <c r="S249" t="str">
        <f t="shared" si="19"/>
        <v>Valid</v>
      </c>
    </row>
    <row r="250" spans="1:19" x14ac:dyDescent="0.25">
      <c r="A250" s="1">
        <v>45330</v>
      </c>
      <c r="B250" s="1" t="str">
        <f t="shared" si="15"/>
        <v>2024-02</v>
      </c>
      <c r="C250" t="s">
        <v>28</v>
      </c>
      <c r="D250" t="s">
        <v>15</v>
      </c>
      <c r="E250" t="s">
        <v>19</v>
      </c>
      <c r="F250" t="s">
        <v>20</v>
      </c>
      <c r="G250" s="4">
        <v>151480</v>
      </c>
      <c r="H250" s="4">
        <v>2514</v>
      </c>
      <c r="I250" s="5">
        <v>1.66E-2</v>
      </c>
      <c r="J250" s="2">
        <v>2.06</v>
      </c>
      <c r="K250" s="6">
        <v>5178.84</v>
      </c>
      <c r="L250" s="4">
        <v>72</v>
      </c>
      <c r="M250" s="2">
        <v>71.930000000000007</v>
      </c>
      <c r="N250" s="6">
        <v>4076.45</v>
      </c>
      <c r="O250" s="6">
        <f t="shared" si="16"/>
        <v>-1102.3900000000003</v>
      </c>
      <c r="P250" s="6">
        <f t="shared" si="17"/>
        <v>-0.21286427076333703</v>
      </c>
      <c r="Q250" s="3">
        <v>0.79</v>
      </c>
      <c r="R250" t="str">
        <f t="shared" si="18"/>
        <v>Low</v>
      </c>
      <c r="S250" t="str">
        <f t="shared" si="19"/>
        <v>Valid</v>
      </c>
    </row>
    <row r="251" spans="1:19" x14ac:dyDescent="0.25">
      <c r="A251" s="1">
        <v>45387</v>
      </c>
      <c r="B251" s="1" t="str">
        <f t="shared" si="15"/>
        <v>2024-04</v>
      </c>
      <c r="C251" t="s">
        <v>18</v>
      </c>
      <c r="D251" t="s">
        <v>21</v>
      </c>
      <c r="E251" t="s">
        <v>19</v>
      </c>
      <c r="F251" t="s">
        <v>31</v>
      </c>
      <c r="G251" s="4">
        <v>159813</v>
      </c>
      <c r="H251" s="4">
        <v>7575</v>
      </c>
      <c r="I251" s="5">
        <v>4.7399999999999998E-2</v>
      </c>
      <c r="J251" s="2">
        <v>0.9</v>
      </c>
      <c r="K251" s="6">
        <v>6817.5</v>
      </c>
      <c r="L251" s="4">
        <v>319</v>
      </c>
      <c r="M251" s="2">
        <v>21.37</v>
      </c>
      <c r="N251" s="6">
        <v>35965.699999999997</v>
      </c>
      <c r="O251" s="6">
        <f t="shared" si="16"/>
        <v>29148.199999999997</v>
      </c>
      <c r="P251" s="6">
        <f t="shared" si="17"/>
        <v>4.2754968830216349</v>
      </c>
      <c r="Q251" s="3">
        <v>5.28</v>
      </c>
      <c r="R251" t="str">
        <f t="shared" si="18"/>
        <v>High</v>
      </c>
      <c r="S251" t="str">
        <f t="shared" si="19"/>
        <v>Valid</v>
      </c>
    </row>
    <row r="252" spans="1:19" x14ac:dyDescent="0.25">
      <c r="A252" s="1">
        <v>45556</v>
      </c>
      <c r="B252" s="1" t="str">
        <f t="shared" si="15"/>
        <v>2024-09</v>
      </c>
      <c r="C252" t="s">
        <v>18</v>
      </c>
      <c r="D252" t="s">
        <v>29</v>
      </c>
      <c r="E252" t="s">
        <v>22</v>
      </c>
      <c r="F252" t="s">
        <v>20</v>
      </c>
      <c r="G252" s="4">
        <v>135956</v>
      </c>
      <c r="H252" s="4">
        <v>11529</v>
      </c>
      <c r="I252" s="5">
        <v>8.48E-2</v>
      </c>
      <c r="J252" s="2">
        <v>0.5</v>
      </c>
      <c r="K252" s="6">
        <v>5764.5</v>
      </c>
      <c r="L252" s="4">
        <v>732</v>
      </c>
      <c r="M252" s="2">
        <v>7.88</v>
      </c>
      <c r="N252" s="6">
        <v>207824.45</v>
      </c>
      <c r="O252" s="6">
        <f t="shared" si="16"/>
        <v>202059.95</v>
      </c>
      <c r="P252" s="6">
        <f t="shared" si="17"/>
        <v>35.052467690172612</v>
      </c>
      <c r="Q252" s="3">
        <v>36.049999999999997</v>
      </c>
      <c r="R252" t="str">
        <f t="shared" si="18"/>
        <v>High</v>
      </c>
      <c r="S252" t="str">
        <f t="shared" si="19"/>
        <v>Valid</v>
      </c>
    </row>
    <row r="253" spans="1:19" x14ac:dyDescent="0.25">
      <c r="A253" s="1">
        <v>45499</v>
      </c>
      <c r="B253" s="1" t="str">
        <f t="shared" si="15"/>
        <v>2024-07</v>
      </c>
      <c r="C253" t="s">
        <v>14</v>
      </c>
      <c r="D253" t="s">
        <v>15</v>
      </c>
      <c r="E253" t="s">
        <v>25</v>
      </c>
      <c r="F253" t="s">
        <v>17</v>
      </c>
      <c r="G253" s="4">
        <v>70982</v>
      </c>
      <c r="H253" s="4">
        <v>2548</v>
      </c>
      <c r="I253" s="5">
        <v>3.5900000000000001E-2</v>
      </c>
      <c r="J253" s="2">
        <v>2.88</v>
      </c>
      <c r="K253" s="6">
        <v>7338.24</v>
      </c>
      <c r="L253" s="4">
        <v>117</v>
      </c>
      <c r="M253" s="2">
        <v>62.72</v>
      </c>
      <c r="N253" s="6">
        <v>32045.18</v>
      </c>
      <c r="O253" s="6">
        <f t="shared" si="16"/>
        <v>24706.940000000002</v>
      </c>
      <c r="P253" s="6">
        <f t="shared" si="17"/>
        <v>3.3668754360718651</v>
      </c>
      <c r="Q253" s="3">
        <v>4.37</v>
      </c>
      <c r="R253" t="str">
        <f t="shared" si="18"/>
        <v>High</v>
      </c>
      <c r="S253" t="str">
        <f t="shared" si="19"/>
        <v>Valid</v>
      </c>
    </row>
    <row r="254" spans="1:19" x14ac:dyDescent="0.25">
      <c r="A254" s="1">
        <v>45368</v>
      </c>
      <c r="B254" s="1" t="str">
        <f t="shared" si="15"/>
        <v>2024-03</v>
      </c>
      <c r="C254" t="s">
        <v>18</v>
      </c>
      <c r="D254" t="s">
        <v>15</v>
      </c>
      <c r="E254" t="s">
        <v>22</v>
      </c>
      <c r="F254" t="s">
        <v>31</v>
      </c>
      <c r="G254" s="4">
        <v>132992</v>
      </c>
      <c r="H254" s="4">
        <v>7926</v>
      </c>
      <c r="I254" s="5">
        <v>5.96E-2</v>
      </c>
      <c r="J254" s="2">
        <v>0.64</v>
      </c>
      <c r="K254" s="6">
        <v>5072.6400000000003</v>
      </c>
      <c r="L254" s="4">
        <v>553</v>
      </c>
      <c r="M254" s="2">
        <v>9.17</v>
      </c>
      <c r="N254" s="6">
        <v>41271.279999999999</v>
      </c>
      <c r="O254" s="6">
        <f t="shared" si="16"/>
        <v>36198.639999999999</v>
      </c>
      <c r="P254" s="6">
        <f t="shared" si="17"/>
        <v>7.1360553873328278</v>
      </c>
      <c r="Q254" s="3">
        <v>8.14</v>
      </c>
      <c r="R254" t="str">
        <f t="shared" si="18"/>
        <v>High</v>
      </c>
      <c r="S254" t="str">
        <f t="shared" si="19"/>
        <v>Valid</v>
      </c>
    </row>
    <row r="255" spans="1:19" x14ac:dyDescent="0.25">
      <c r="A255" s="1">
        <v>45517</v>
      </c>
      <c r="B255" s="1" t="str">
        <f t="shared" si="15"/>
        <v>2024-08</v>
      </c>
      <c r="C255" t="s">
        <v>18</v>
      </c>
      <c r="D255" t="s">
        <v>21</v>
      </c>
      <c r="E255" t="s">
        <v>22</v>
      </c>
      <c r="F255" t="s">
        <v>31</v>
      </c>
      <c r="G255" s="4">
        <v>13597</v>
      </c>
      <c r="H255" s="4">
        <v>747</v>
      </c>
      <c r="I255" s="5">
        <v>5.5E-2</v>
      </c>
      <c r="J255" s="2">
        <v>1.91</v>
      </c>
      <c r="K255" s="6">
        <v>1426.77</v>
      </c>
      <c r="L255" s="4">
        <v>25</v>
      </c>
      <c r="M255" s="2">
        <v>57.07</v>
      </c>
      <c r="N255" s="6">
        <v>5673.88</v>
      </c>
      <c r="O255" s="6">
        <f t="shared" si="16"/>
        <v>4247.1100000000006</v>
      </c>
      <c r="P255" s="6">
        <f t="shared" si="17"/>
        <v>2.9767306573589303</v>
      </c>
      <c r="Q255" s="3">
        <v>3.98</v>
      </c>
      <c r="R255" t="str">
        <f t="shared" si="18"/>
        <v>High</v>
      </c>
      <c r="S255" t="str">
        <f t="shared" si="19"/>
        <v>Valid</v>
      </c>
    </row>
    <row r="256" spans="1:19" x14ac:dyDescent="0.25">
      <c r="A256" s="1">
        <v>45418</v>
      </c>
      <c r="B256" s="1" t="str">
        <f t="shared" si="15"/>
        <v>2024-05</v>
      </c>
      <c r="C256" t="s">
        <v>28</v>
      </c>
      <c r="D256" t="s">
        <v>15</v>
      </c>
      <c r="E256" t="s">
        <v>19</v>
      </c>
      <c r="F256" t="s">
        <v>23</v>
      </c>
      <c r="G256" s="4">
        <v>199472</v>
      </c>
      <c r="H256" s="4">
        <v>5286</v>
      </c>
      <c r="I256" s="5">
        <v>2.6499999999999999E-2</v>
      </c>
      <c r="J256" s="2">
        <v>1.32</v>
      </c>
      <c r="K256" s="6">
        <v>6977.52</v>
      </c>
      <c r="L256" s="4">
        <v>192</v>
      </c>
      <c r="M256" s="2">
        <v>36.340000000000003</v>
      </c>
      <c r="N256" s="6">
        <v>17789.77</v>
      </c>
      <c r="O256" s="6">
        <f t="shared" si="16"/>
        <v>10812.25</v>
      </c>
      <c r="P256" s="6">
        <f t="shared" si="17"/>
        <v>1.5495835196459486</v>
      </c>
      <c r="Q256" s="3">
        <v>2.5499999999999998</v>
      </c>
      <c r="R256" t="str">
        <f t="shared" si="18"/>
        <v>Medium</v>
      </c>
      <c r="S256" t="str">
        <f t="shared" si="19"/>
        <v>Valid</v>
      </c>
    </row>
    <row r="257" spans="1:19" x14ac:dyDescent="0.25">
      <c r="A257" s="1">
        <v>45349</v>
      </c>
      <c r="B257" s="1" t="str">
        <f t="shared" si="15"/>
        <v>2024-02</v>
      </c>
      <c r="C257" t="s">
        <v>14</v>
      </c>
      <c r="D257" t="s">
        <v>15</v>
      </c>
      <c r="E257" t="s">
        <v>22</v>
      </c>
      <c r="F257" t="s">
        <v>23</v>
      </c>
      <c r="G257" s="4">
        <v>108751</v>
      </c>
      <c r="H257" s="4">
        <v>5459</v>
      </c>
      <c r="I257" s="5">
        <v>5.0200000000000002E-2</v>
      </c>
      <c r="J257" s="2">
        <v>1.43</v>
      </c>
      <c r="K257" s="6">
        <v>7806.37</v>
      </c>
      <c r="L257" s="4">
        <v>345</v>
      </c>
      <c r="M257" s="2">
        <v>22.63</v>
      </c>
      <c r="N257" s="6">
        <v>24740.95</v>
      </c>
      <c r="O257" s="6">
        <f t="shared" si="16"/>
        <v>16934.580000000002</v>
      </c>
      <c r="P257" s="6">
        <f t="shared" si="17"/>
        <v>2.1693283818215128</v>
      </c>
      <c r="Q257" s="3">
        <v>3.17</v>
      </c>
      <c r="R257" t="str">
        <f t="shared" si="18"/>
        <v>High</v>
      </c>
      <c r="S257" t="str">
        <f t="shared" si="19"/>
        <v>Valid</v>
      </c>
    </row>
    <row r="258" spans="1:19" x14ac:dyDescent="0.25">
      <c r="A258" s="1">
        <v>45650</v>
      </c>
      <c r="B258" s="1" t="str">
        <f t="shared" si="15"/>
        <v>2024-12</v>
      </c>
      <c r="C258" t="s">
        <v>28</v>
      </c>
      <c r="D258" t="s">
        <v>29</v>
      </c>
      <c r="E258" t="s">
        <v>30</v>
      </c>
      <c r="F258" t="s">
        <v>31</v>
      </c>
      <c r="G258" s="4">
        <v>175591</v>
      </c>
      <c r="H258" s="4">
        <v>5864</v>
      </c>
      <c r="I258" s="5">
        <v>3.3399999999999999E-2</v>
      </c>
      <c r="J258" s="2">
        <v>0.44</v>
      </c>
      <c r="K258" s="6">
        <v>2580.16</v>
      </c>
      <c r="L258" s="4">
        <v>333</v>
      </c>
      <c r="M258" s="2">
        <v>7.75</v>
      </c>
      <c r="N258" s="6">
        <v>52097.57</v>
      </c>
      <c r="O258" s="6">
        <f t="shared" si="16"/>
        <v>49517.41</v>
      </c>
      <c r="P258" s="6">
        <f t="shared" si="17"/>
        <v>19.19160439662657</v>
      </c>
      <c r="Q258" s="3">
        <v>20.190000000000001</v>
      </c>
      <c r="R258" t="str">
        <f t="shared" si="18"/>
        <v>High</v>
      </c>
      <c r="S258" t="str">
        <f t="shared" si="19"/>
        <v>Valid</v>
      </c>
    </row>
    <row r="259" spans="1:19" x14ac:dyDescent="0.25">
      <c r="A259" s="1">
        <v>45604</v>
      </c>
      <c r="B259" s="1" t="str">
        <f t="shared" ref="B259:B322" si="20">TEXT(A259, "yyyy-mm")</f>
        <v>2024-11</v>
      </c>
      <c r="C259" t="s">
        <v>18</v>
      </c>
      <c r="D259" t="s">
        <v>15</v>
      </c>
      <c r="E259" t="s">
        <v>19</v>
      </c>
      <c r="F259" t="s">
        <v>31</v>
      </c>
      <c r="G259" s="4">
        <v>36027</v>
      </c>
      <c r="H259" s="4">
        <v>2770</v>
      </c>
      <c r="I259" s="5">
        <v>7.6899999999999996E-2</v>
      </c>
      <c r="J259" s="2">
        <v>1.08</v>
      </c>
      <c r="K259" s="6">
        <v>2991.6</v>
      </c>
      <c r="L259" s="4">
        <v>205</v>
      </c>
      <c r="M259" s="2">
        <v>14.59</v>
      </c>
      <c r="N259" s="6">
        <v>16618.849999999999</v>
      </c>
      <c r="O259" s="6">
        <f t="shared" ref="O259:O322" si="21">N259-K259</f>
        <v>13627.249999999998</v>
      </c>
      <c r="P259" s="6">
        <f t="shared" ref="P259:P322" si="22">IFERROR(O259/K259, "")</f>
        <v>4.555171145875117</v>
      </c>
      <c r="Q259" s="3">
        <v>5.56</v>
      </c>
      <c r="R259" t="str">
        <f t="shared" ref="R259:R322" si="23">IF(Q259 &gt;= 3, "High", IF(Q259&gt;=1, "Medium", "Low"))</f>
        <v>High</v>
      </c>
      <c r="S259" t="str">
        <f t="shared" ref="S259:S322" si="24">IF(OR(G259=0, H259&gt;G259, L259&gt;H259), "Invalid", "Valid")</f>
        <v>Valid</v>
      </c>
    </row>
    <row r="260" spans="1:19" x14ac:dyDescent="0.25">
      <c r="A260" s="1">
        <v>45523</v>
      </c>
      <c r="B260" s="1" t="str">
        <f t="shared" si="20"/>
        <v>2024-08</v>
      </c>
      <c r="C260" t="s">
        <v>18</v>
      </c>
      <c r="D260" t="s">
        <v>24</v>
      </c>
      <c r="E260" t="s">
        <v>30</v>
      </c>
      <c r="F260" t="s">
        <v>27</v>
      </c>
      <c r="G260" s="4">
        <v>57265</v>
      </c>
      <c r="H260" s="4">
        <v>2302</v>
      </c>
      <c r="I260" s="5">
        <v>4.02E-2</v>
      </c>
      <c r="J260" s="2">
        <v>1.3</v>
      </c>
      <c r="K260" s="6">
        <v>2992.6</v>
      </c>
      <c r="L260" s="4">
        <v>85</v>
      </c>
      <c r="M260" s="2">
        <v>35.21</v>
      </c>
      <c r="N260" s="6">
        <v>4068.49</v>
      </c>
      <c r="O260" s="6">
        <f t="shared" si="21"/>
        <v>1075.8899999999999</v>
      </c>
      <c r="P260" s="6">
        <f t="shared" si="22"/>
        <v>0.35951680812671255</v>
      </c>
      <c r="Q260" s="3">
        <v>1.36</v>
      </c>
      <c r="R260" t="str">
        <f t="shared" si="23"/>
        <v>Medium</v>
      </c>
      <c r="S260" t="str">
        <f t="shared" si="24"/>
        <v>Valid</v>
      </c>
    </row>
    <row r="261" spans="1:19" x14ac:dyDescent="0.25">
      <c r="A261" s="1">
        <v>45491</v>
      </c>
      <c r="B261" s="1" t="str">
        <f t="shared" si="20"/>
        <v>2024-07</v>
      </c>
      <c r="C261" t="s">
        <v>14</v>
      </c>
      <c r="D261" t="s">
        <v>24</v>
      </c>
      <c r="E261" t="s">
        <v>16</v>
      </c>
      <c r="F261" t="s">
        <v>31</v>
      </c>
      <c r="G261" s="4">
        <v>161904</v>
      </c>
      <c r="H261" s="4">
        <v>4727</v>
      </c>
      <c r="I261" s="5">
        <v>2.92E-2</v>
      </c>
      <c r="J261" s="2">
        <v>1.64</v>
      </c>
      <c r="K261" s="6">
        <v>7752.28</v>
      </c>
      <c r="L261" s="4">
        <v>263</v>
      </c>
      <c r="M261" s="2">
        <v>29.48</v>
      </c>
      <c r="N261" s="6">
        <v>21545.93</v>
      </c>
      <c r="O261" s="6">
        <f t="shared" si="21"/>
        <v>13793.650000000001</v>
      </c>
      <c r="P261" s="6">
        <f t="shared" si="22"/>
        <v>1.7793023471804426</v>
      </c>
      <c r="Q261" s="3">
        <v>2.78</v>
      </c>
      <c r="R261" t="str">
        <f t="shared" si="23"/>
        <v>Medium</v>
      </c>
      <c r="S261" t="str">
        <f t="shared" si="24"/>
        <v>Valid</v>
      </c>
    </row>
    <row r="262" spans="1:19" x14ac:dyDescent="0.25">
      <c r="A262" s="1">
        <v>45535</v>
      </c>
      <c r="B262" s="1" t="str">
        <f t="shared" si="20"/>
        <v>2024-08</v>
      </c>
      <c r="C262" t="s">
        <v>14</v>
      </c>
      <c r="D262" t="s">
        <v>29</v>
      </c>
      <c r="E262" t="s">
        <v>22</v>
      </c>
      <c r="F262" t="s">
        <v>27</v>
      </c>
      <c r="G262" s="4">
        <v>49757</v>
      </c>
      <c r="H262" s="4">
        <v>1243</v>
      </c>
      <c r="I262" s="5">
        <v>2.5000000000000001E-2</v>
      </c>
      <c r="J262" s="2">
        <v>3.14</v>
      </c>
      <c r="K262" s="6">
        <v>3903.02</v>
      </c>
      <c r="L262" s="4">
        <v>39</v>
      </c>
      <c r="M262" s="2">
        <v>100.08</v>
      </c>
      <c r="N262" s="6">
        <v>4749.8999999999996</v>
      </c>
      <c r="O262" s="6">
        <f t="shared" si="21"/>
        <v>846.87999999999965</v>
      </c>
      <c r="P262" s="6">
        <f t="shared" si="22"/>
        <v>0.21698069699873423</v>
      </c>
      <c r="Q262" s="3">
        <v>1.22</v>
      </c>
      <c r="R262" t="str">
        <f t="shared" si="23"/>
        <v>Medium</v>
      </c>
      <c r="S262" t="str">
        <f t="shared" si="24"/>
        <v>Valid</v>
      </c>
    </row>
    <row r="263" spans="1:19" x14ac:dyDescent="0.25">
      <c r="A263" s="1">
        <v>45501</v>
      </c>
      <c r="B263" s="1" t="str">
        <f t="shared" si="20"/>
        <v>2024-07</v>
      </c>
      <c r="C263" t="s">
        <v>14</v>
      </c>
      <c r="D263" t="s">
        <v>21</v>
      </c>
      <c r="E263" t="s">
        <v>19</v>
      </c>
      <c r="F263" t="s">
        <v>23</v>
      </c>
      <c r="G263" s="4">
        <v>168623</v>
      </c>
      <c r="H263" s="4">
        <v>6896</v>
      </c>
      <c r="I263" s="5">
        <v>4.0899999999999999E-2</v>
      </c>
      <c r="J263" s="2">
        <v>1.42</v>
      </c>
      <c r="K263" s="6">
        <v>9792.32</v>
      </c>
      <c r="L263" s="4">
        <v>200</v>
      </c>
      <c r="M263" s="2">
        <v>48.96</v>
      </c>
      <c r="N263" s="6">
        <v>24436.959999999999</v>
      </c>
      <c r="O263" s="6">
        <f t="shared" si="21"/>
        <v>14644.64</v>
      </c>
      <c r="P263" s="6">
        <f t="shared" si="22"/>
        <v>1.4955230221234601</v>
      </c>
      <c r="Q263" s="3">
        <v>2.5</v>
      </c>
      <c r="R263" t="str">
        <f t="shared" si="23"/>
        <v>Medium</v>
      </c>
      <c r="S263" t="str">
        <f t="shared" si="24"/>
        <v>Valid</v>
      </c>
    </row>
    <row r="264" spans="1:19" x14ac:dyDescent="0.25">
      <c r="A264" s="1">
        <v>45541</v>
      </c>
      <c r="B264" s="1" t="str">
        <f t="shared" si="20"/>
        <v>2024-09</v>
      </c>
      <c r="C264" t="s">
        <v>28</v>
      </c>
      <c r="D264" t="s">
        <v>21</v>
      </c>
      <c r="E264" t="s">
        <v>25</v>
      </c>
      <c r="F264" t="s">
        <v>27</v>
      </c>
      <c r="G264" s="4">
        <v>98079</v>
      </c>
      <c r="H264" s="4">
        <v>3226</v>
      </c>
      <c r="I264" s="5">
        <v>3.2899999999999999E-2</v>
      </c>
      <c r="J264" s="2">
        <v>2.1800000000000002</v>
      </c>
      <c r="K264" s="6">
        <v>7032.68</v>
      </c>
      <c r="L264" s="4">
        <v>44</v>
      </c>
      <c r="M264" s="2">
        <v>159.83000000000001</v>
      </c>
      <c r="N264" s="6">
        <v>1401.71</v>
      </c>
      <c r="O264" s="6">
        <f t="shared" si="21"/>
        <v>-5630.97</v>
      </c>
      <c r="P264" s="6">
        <f t="shared" si="22"/>
        <v>-0.80068622488155294</v>
      </c>
      <c r="Q264" s="3">
        <v>0.2</v>
      </c>
      <c r="R264" t="str">
        <f t="shared" si="23"/>
        <v>Low</v>
      </c>
      <c r="S264" t="str">
        <f t="shared" si="24"/>
        <v>Valid</v>
      </c>
    </row>
    <row r="265" spans="1:19" x14ac:dyDescent="0.25">
      <c r="A265" s="1">
        <v>45466</v>
      </c>
      <c r="B265" s="1" t="str">
        <f t="shared" si="20"/>
        <v>2024-06</v>
      </c>
      <c r="C265" t="s">
        <v>14</v>
      </c>
      <c r="D265" t="s">
        <v>15</v>
      </c>
      <c r="E265" t="s">
        <v>19</v>
      </c>
      <c r="F265" t="s">
        <v>20</v>
      </c>
      <c r="G265" s="4">
        <v>11305</v>
      </c>
      <c r="H265" s="4">
        <v>562</v>
      </c>
      <c r="I265" s="5">
        <v>4.9799999999999997E-2</v>
      </c>
      <c r="J265" s="2">
        <v>1.72</v>
      </c>
      <c r="K265" s="6">
        <v>966.64</v>
      </c>
      <c r="L265" s="4">
        <v>42</v>
      </c>
      <c r="M265" s="2">
        <v>23.02</v>
      </c>
      <c r="N265" s="6">
        <v>8107.06</v>
      </c>
      <c r="O265" s="6">
        <f t="shared" si="21"/>
        <v>7140.42</v>
      </c>
      <c r="P265" s="6">
        <f t="shared" si="22"/>
        <v>7.3868451543490856</v>
      </c>
      <c r="Q265" s="3">
        <v>8.39</v>
      </c>
      <c r="R265" t="str">
        <f t="shared" si="23"/>
        <v>High</v>
      </c>
      <c r="S265" t="str">
        <f t="shared" si="24"/>
        <v>Valid</v>
      </c>
    </row>
    <row r="266" spans="1:19" x14ac:dyDescent="0.25">
      <c r="A266" s="1">
        <v>45585</v>
      </c>
      <c r="B266" s="1" t="str">
        <f t="shared" si="20"/>
        <v>2024-10</v>
      </c>
      <c r="C266" t="s">
        <v>18</v>
      </c>
      <c r="D266" t="s">
        <v>24</v>
      </c>
      <c r="E266" t="s">
        <v>22</v>
      </c>
      <c r="F266" t="s">
        <v>31</v>
      </c>
      <c r="G266" s="4">
        <v>109188</v>
      </c>
      <c r="H266" s="4">
        <v>6354</v>
      </c>
      <c r="I266" s="5">
        <v>5.8200000000000002E-2</v>
      </c>
      <c r="J266" s="2">
        <v>1.26</v>
      </c>
      <c r="K266" s="6">
        <v>8006.04</v>
      </c>
      <c r="L266" s="4">
        <v>216</v>
      </c>
      <c r="M266" s="2">
        <v>37.06</v>
      </c>
      <c r="N266" s="6">
        <v>49228.57</v>
      </c>
      <c r="O266" s="6">
        <f t="shared" si="21"/>
        <v>41222.53</v>
      </c>
      <c r="P266" s="6">
        <f t="shared" si="22"/>
        <v>5.1489288087493943</v>
      </c>
      <c r="Q266" s="3">
        <v>6.15</v>
      </c>
      <c r="R266" t="str">
        <f t="shared" si="23"/>
        <v>High</v>
      </c>
      <c r="S266" t="str">
        <f t="shared" si="24"/>
        <v>Valid</v>
      </c>
    </row>
    <row r="267" spans="1:19" x14ac:dyDescent="0.25">
      <c r="A267" s="1">
        <v>45518</v>
      </c>
      <c r="B267" s="1" t="str">
        <f t="shared" si="20"/>
        <v>2024-08</v>
      </c>
      <c r="C267" t="s">
        <v>28</v>
      </c>
      <c r="D267" t="s">
        <v>29</v>
      </c>
      <c r="E267" t="s">
        <v>22</v>
      </c>
      <c r="F267" t="s">
        <v>26</v>
      </c>
      <c r="G267" s="4">
        <v>73309</v>
      </c>
      <c r="H267" s="4">
        <v>2323</v>
      </c>
      <c r="I267" s="5">
        <v>3.1699999999999999E-2</v>
      </c>
      <c r="J267" s="2">
        <v>0.6</v>
      </c>
      <c r="K267" s="6">
        <v>1393.8</v>
      </c>
      <c r="L267" s="4">
        <v>39</v>
      </c>
      <c r="M267" s="2">
        <v>35.74</v>
      </c>
      <c r="N267" s="6">
        <v>1966.71</v>
      </c>
      <c r="O267" s="6">
        <f t="shared" si="21"/>
        <v>572.91000000000008</v>
      </c>
      <c r="P267" s="6">
        <f t="shared" si="22"/>
        <v>0.41104175634954809</v>
      </c>
      <c r="Q267" s="3">
        <v>1.41</v>
      </c>
      <c r="R267" t="str">
        <f t="shared" si="23"/>
        <v>Medium</v>
      </c>
      <c r="S267" t="str">
        <f t="shared" si="24"/>
        <v>Valid</v>
      </c>
    </row>
    <row r="268" spans="1:19" x14ac:dyDescent="0.25">
      <c r="A268" s="1">
        <v>45640</v>
      </c>
      <c r="B268" s="1" t="str">
        <f t="shared" si="20"/>
        <v>2024-12</v>
      </c>
      <c r="C268" t="s">
        <v>14</v>
      </c>
      <c r="D268" t="s">
        <v>21</v>
      </c>
      <c r="E268" t="s">
        <v>22</v>
      </c>
      <c r="F268" t="s">
        <v>31</v>
      </c>
      <c r="G268" s="4">
        <v>81996</v>
      </c>
      <c r="H268" s="4">
        <v>1508</v>
      </c>
      <c r="I268" s="5">
        <v>1.84E-2</v>
      </c>
      <c r="J268" s="2">
        <v>2.33</v>
      </c>
      <c r="K268" s="6">
        <v>3513.64</v>
      </c>
      <c r="L268" s="4">
        <v>75</v>
      </c>
      <c r="M268" s="2">
        <v>46.85</v>
      </c>
      <c r="N268" s="6">
        <v>8251.24</v>
      </c>
      <c r="O268" s="6">
        <f t="shared" si="21"/>
        <v>4737.6000000000004</v>
      </c>
      <c r="P268" s="6">
        <f t="shared" si="22"/>
        <v>1.3483453057228403</v>
      </c>
      <c r="Q268" s="3">
        <v>2.35</v>
      </c>
      <c r="R268" t="str">
        <f t="shared" si="23"/>
        <v>Medium</v>
      </c>
      <c r="S268" t="str">
        <f t="shared" si="24"/>
        <v>Valid</v>
      </c>
    </row>
    <row r="269" spans="1:19" x14ac:dyDescent="0.25">
      <c r="A269" s="1">
        <v>45385</v>
      </c>
      <c r="B269" s="1" t="str">
        <f t="shared" si="20"/>
        <v>2024-04</v>
      </c>
      <c r="C269" t="s">
        <v>18</v>
      </c>
      <c r="D269" t="s">
        <v>29</v>
      </c>
      <c r="E269" t="s">
        <v>19</v>
      </c>
      <c r="F269" t="s">
        <v>20</v>
      </c>
      <c r="G269" s="4">
        <v>122192</v>
      </c>
      <c r="H269" s="4">
        <v>4398</v>
      </c>
      <c r="I269" s="5">
        <v>3.5999999999999997E-2</v>
      </c>
      <c r="J269" s="2">
        <v>0.99</v>
      </c>
      <c r="K269" s="6">
        <v>4354.0200000000004</v>
      </c>
      <c r="L269" s="4">
        <v>348</v>
      </c>
      <c r="M269" s="2">
        <v>12.51</v>
      </c>
      <c r="N269" s="6">
        <v>64414.080000000002</v>
      </c>
      <c r="O269" s="6">
        <f t="shared" si="21"/>
        <v>60060.06</v>
      </c>
      <c r="P269" s="6">
        <f t="shared" si="22"/>
        <v>13.794162635908883</v>
      </c>
      <c r="Q269" s="3">
        <v>14.79</v>
      </c>
      <c r="R269" t="str">
        <f t="shared" si="23"/>
        <v>High</v>
      </c>
      <c r="S269" t="str">
        <f t="shared" si="24"/>
        <v>Valid</v>
      </c>
    </row>
    <row r="270" spans="1:19" x14ac:dyDescent="0.25">
      <c r="A270" s="1">
        <v>45626</v>
      </c>
      <c r="B270" s="1" t="str">
        <f t="shared" si="20"/>
        <v>2024-11</v>
      </c>
      <c r="C270" t="s">
        <v>14</v>
      </c>
      <c r="D270" t="s">
        <v>29</v>
      </c>
      <c r="E270" t="s">
        <v>25</v>
      </c>
      <c r="F270" t="s">
        <v>17</v>
      </c>
      <c r="G270" s="4">
        <v>79960</v>
      </c>
      <c r="H270" s="4">
        <v>1591</v>
      </c>
      <c r="I270" s="5">
        <v>1.9900000000000001E-2</v>
      </c>
      <c r="J270" s="2">
        <v>1.03</v>
      </c>
      <c r="K270" s="6">
        <v>1638.73</v>
      </c>
      <c r="L270" s="4">
        <v>55</v>
      </c>
      <c r="M270" s="2">
        <v>29.8</v>
      </c>
      <c r="N270" s="6">
        <v>15206.45</v>
      </c>
      <c r="O270" s="6">
        <f t="shared" si="21"/>
        <v>13567.720000000001</v>
      </c>
      <c r="P270" s="6">
        <f t="shared" si="22"/>
        <v>8.2794114954873592</v>
      </c>
      <c r="Q270" s="3">
        <v>9.2799999999999994</v>
      </c>
      <c r="R270" t="str">
        <f t="shared" si="23"/>
        <v>High</v>
      </c>
      <c r="S270" t="str">
        <f t="shared" si="24"/>
        <v>Valid</v>
      </c>
    </row>
    <row r="271" spans="1:19" x14ac:dyDescent="0.25">
      <c r="A271" s="1">
        <v>45601</v>
      </c>
      <c r="B271" s="1" t="str">
        <f t="shared" si="20"/>
        <v>2024-11</v>
      </c>
      <c r="C271" t="s">
        <v>28</v>
      </c>
      <c r="D271" t="s">
        <v>29</v>
      </c>
      <c r="E271" t="s">
        <v>22</v>
      </c>
      <c r="F271" t="s">
        <v>32</v>
      </c>
      <c r="G271" s="4">
        <v>188804</v>
      </c>
      <c r="H271" s="4">
        <v>5267</v>
      </c>
      <c r="I271" s="5">
        <v>2.7900000000000001E-2</v>
      </c>
      <c r="J271" s="2">
        <v>2.1</v>
      </c>
      <c r="K271" s="6">
        <v>11060.7</v>
      </c>
      <c r="L271" s="4">
        <v>64</v>
      </c>
      <c r="M271" s="2">
        <v>172.82</v>
      </c>
      <c r="N271" s="6">
        <v>10138.299999999999</v>
      </c>
      <c r="O271" s="6">
        <f t="shared" si="21"/>
        <v>-922.40000000000146</v>
      </c>
      <c r="P271" s="6">
        <f t="shared" si="22"/>
        <v>-8.3394360212283261E-2</v>
      </c>
      <c r="Q271" s="3">
        <v>0.92</v>
      </c>
      <c r="R271" t="str">
        <f t="shared" si="23"/>
        <v>Low</v>
      </c>
      <c r="S271" t="str">
        <f t="shared" si="24"/>
        <v>Valid</v>
      </c>
    </row>
    <row r="272" spans="1:19" x14ac:dyDescent="0.25">
      <c r="A272" s="1">
        <v>45437</v>
      </c>
      <c r="B272" s="1" t="str">
        <f t="shared" si="20"/>
        <v>2024-05</v>
      </c>
      <c r="C272" t="s">
        <v>28</v>
      </c>
      <c r="D272" t="s">
        <v>29</v>
      </c>
      <c r="E272" t="s">
        <v>16</v>
      </c>
      <c r="F272" t="s">
        <v>20</v>
      </c>
      <c r="G272" s="4">
        <v>80139</v>
      </c>
      <c r="H272" s="4">
        <v>2436</v>
      </c>
      <c r="I272" s="5">
        <v>3.04E-2</v>
      </c>
      <c r="J272" s="2">
        <v>1.58</v>
      </c>
      <c r="K272" s="6">
        <v>3848.88</v>
      </c>
      <c r="L272" s="4">
        <v>37</v>
      </c>
      <c r="M272" s="2">
        <v>104.02</v>
      </c>
      <c r="N272" s="6">
        <v>4653.12</v>
      </c>
      <c r="O272" s="6">
        <f t="shared" si="21"/>
        <v>804.23999999999978</v>
      </c>
      <c r="P272" s="6">
        <f t="shared" si="22"/>
        <v>0.20895429319698192</v>
      </c>
      <c r="Q272" s="3">
        <v>1.21</v>
      </c>
      <c r="R272" t="str">
        <f t="shared" si="23"/>
        <v>Medium</v>
      </c>
      <c r="S272" t="str">
        <f t="shared" si="24"/>
        <v>Valid</v>
      </c>
    </row>
    <row r="273" spans="1:19" x14ac:dyDescent="0.25">
      <c r="A273" s="1">
        <v>45651</v>
      </c>
      <c r="B273" s="1" t="str">
        <f t="shared" si="20"/>
        <v>2024-12</v>
      </c>
      <c r="C273" t="s">
        <v>28</v>
      </c>
      <c r="D273" t="s">
        <v>24</v>
      </c>
      <c r="E273" t="s">
        <v>25</v>
      </c>
      <c r="F273" t="s">
        <v>26</v>
      </c>
      <c r="G273" s="4">
        <v>51999</v>
      </c>
      <c r="H273" s="4">
        <v>930</v>
      </c>
      <c r="I273" s="5">
        <v>1.7899999999999999E-2</v>
      </c>
      <c r="J273" s="2">
        <v>1.2</v>
      </c>
      <c r="K273" s="6">
        <v>1116</v>
      </c>
      <c r="L273" s="4">
        <v>13</v>
      </c>
      <c r="M273" s="2">
        <v>85.85</v>
      </c>
      <c r="N273" s="6">
        <v>1777.36</v>
      </c>
      <c r="O273" s="6">
        <f t="shared" si="21"/>
        <v>661.3599999999999</v>
      </c>
      <c r="P273" s="6">
        <f t="shared" si="22"/>
        <v>0.59261648745519702</v>
      </c>
      <c r="Q273" s="3">
        <v>1.59</v>
      </c>
      <c r="R273" t="str">
        <f t="shared" si="23"/>
        <v>Medium</v>
      </c>
      <c r="S273" t="str">
        <f t="shared" si="24"/>
        <v>Valid</v>
      </c>
    </row>
    <row r="274" spans="1:19" x14ac:dyDescent="0.25">
      <c r="A274" s="1">
        <v>45637</v>
      </c>
      <c r="B274" s="1" t="str">
        <f t="shared" si="20"/>
        <v>2024-12</v>
      </c>
      <c r="C274" t="s">
        <v>14</v>
      </c>
      <c r="D274" t="s">
        <v>21</v>
      </c>
      <c r="E274" t="s">
        <v>19</v>
      </c>
      <c r="F274" t="s">
        <v>31</v>
      </c>
      <c r="G274" s="4">
        <v>119527</v>
      </c>
      <c r="H274" s="4">
        <v>6597</v>
      </c>
      <c r="I274" s="5">
        <v>5.5199999999999999E-2</v>
      </c>
      <c r="J274" s="2">
        <v>3.1</v>
      </c>
      <c r="K274" s="6">
        <v>20450.7</v>
      </c>
      <c r="L274" s="4">
        <v>497</v>
      </c>
      <c r="M274" s="2">
        <v>41.15</v>
      </c>
      <c r="N274" s="6">
        <v>137884.47</v>
      </c>
      <c r="O274" s="6">
        <f t="shared" si="21"/>
        <v>117433.77</v>
      </c>
      <c r="P274" s="6">
        <f t="shared" si="22"/>
        <v>5.7422860831169595</v>
      </c>
      <c r="Q274" s="3">
        <v>6.74</v>
      </c>
      <c r="R274" t="str">
        <f t="shared" si="23"/>
        <v>High</v>
      </c>
      <c r="S274" t="str">
        <f t="shared" si="24"/>
        <v>Valid</v>
      </c>
    </row>
    <row r="275" spans="1:19" x14ac:dyDescent="0.25">
      <c r="A275" s="1">
        <v>45521</v>
      </c>
      <c r="B275" s="1" t="str">
        <f t="shared" si="20"/>
        <v>2024-08</v>
      </c>
      <c r="C275" t="s">
        <v>28</v>
      </c>
      <c r="D275" t="s">
        <v>15</v>
      </c>
      <c r="E275" t="s">
        <v>16</v>
      </c>
      <c r="F275" t="s">
        <v>31</v>
      </c>
      <c r="G275" s="4">
        <v>194073</v>
      </c>
      <c r="H275" s="4">
        <v>6346</v>
      </c>
      <c r="I275" s="5">
        <v>3.27E-2</v>
      </c>
      <c r="J275" s="2">
        <v>1.8</v>
      </c>
      <c r="K275" s="6">
        <v>11422.8</v>
      </c>
      <c r="L275" s="4">
        <v>168</v>
      </c>
      <c r="M275" s="2">
        <v>67.989999999999995</v>
      </c>
      <c r="N275" s="6">
        <v>9921.3799999999992</v>
      </c>
      <c r="O275" s="6">
        <f t="shared" si="21"/>
        <v>-1501.42</v>
      </c>
      <c r="P275" s="6">
        <f t="shared" si="22"/>
        <v>-0.13144062751689606</v>
      </c>
      <c r="Q275" s="3">
        <v>0.87</v>
      </c>
      <c r="R275" t="str">
        <f t="shared" si="23"/>
        <v>Low</v>
      </c>
      <c r="S275" t="str">
        <f t="shared" si="24"/>
        <v>Valid</v>
      </c>
    </row>
    <row r="276" spans="1:19" x14ac:dyDescent="0.25">
      <c r="A276" s="1">
        <v>45562</v>
      </c>
      <c r="B276" s="1" t="str">
        <f t="shared" si="20"/>
        <v>2024-09</v>
      </c>
      <c r="C276" t="s">
        <v>18</v>
      </c>
      <c r="D276" t="s">
        <v>29</v>
      </c>
      <c r="E276" t="s">
        <v>25</v>
      </c>
      <c r="F276" t="s">
        <v>20</v>
      </c>
      <c r="G276" s="4">
        <v>55599</v>
      </c>
      <c r="H276" s="4">
        <v>3697</v>
      </c>
      <c r="I276" s="5">
        <v>6.6500000000000004E-2</v>
      </c>
      <c r="J276" s="2">
        <v>1.64</v>
      </c>
      <c r="K276" s="6">
        <v>6063.08</v>
      </c>
      <c r="L276" s="4">
        <v>217</v>
      </c>
      <c r="M276" s="2">
        <v>27.94</v>
      </c>
      <c r="N276" s="6">
        <v>25513.42</v>
      </c>
      <c r="O276" s="6">
        <f t="shared" si="21"/>
        <v>19450.339999999997</v>
      </c>
      <c r="P276" s="6">
        <f t="shared" si="22"/>
        <v>3.2079965957895982</v>
      </c>
      <c r="Q276" s="3">
        <v>4.21</v>
      </c>
      <c r="R276" t="str">
        <f t="shared" si="23"/>
        <v>High</v>
      </c>
      <c r="S276" t="str">
        <f t="shared" si="24"/>
        <v>Valid</v>
      </c>
    </row>
    <row r="277" spans="1:19" x14ac:dyDescent="0.25">
      <c r="A277" s="1">
        <v>45582</v>
      </c>
      <c r="B277" s="1" t="str">
        <f t="shared" si="20"/>
        <v>2024-10</v>
      </c>
      <c r="C277" t="s">
        <v>14</v>
      </c>
      <c r="D277" t="s">
        <v>21</v>
      </c>
      <c r="E277" t="s">
        <v>22</v>
      </c>
      <c r="F277" t="s">
        <v>31</v>
      </c>
      <c r="G277" s="4">
        <v>176541</v>
      </c>
      <c r="H277" s="4">
        <v>4378</v>
      </c>
      <c r="I277" s="5">
        <v>2.4799999999999999E-2</v>
      </c>
      <c r="J277" s="2">
        <v>2.87</v>
      </c>
      <c r="K277" s="6">
        <v>12564.86</v>
      </c>
      <c r="L277" s="4">
        <v>175</v>
      </c>
      <c r="M277" s="2">
        <v>71.8</v>
      </c>
      <c r="N277" s="6">
        <v>19637.27</v>
      </c>
      <c r="O277" s="6">
        <f t="shared" si="21"/>
        <v>7072.41</v>
      </c>
      <c r="P277" s="6">
        <f t="shared" si="22"/>
        <v>0.5628721688900632</v>
      </c>
      <c r="Q277" s="3">
        <v>1.56</v>
      </c>
      <c r="R277" t="str">
        <f t="shared" si="23"/>
        <v>Medium</v>
      </c>
      <c r="S277" t="str">
        <f t="shared" si="24"/>
        <v>Valid</v>
      </c>
    </row>
    <row r="278" spans="1:19" x14ac:dyDescent="0.25">
      <c r="A278" s="1">
        <v>45466</v>
      </c>
      <c r="B278" s="1" t="str">
        <f t="shared" si="20"/>
        <v>2024-06</v>
      </c>
      <c r="C278" t="s">
        <v>14</v>
      </c>
      <c r="D278" t="s">
        <v>29</v>
      </c>
      <c r="E278" t="s">
        <v>16</v>
      </c>
      <c r="F278" t="s">
        <v>17</v>
      </c>
      <c r="G278" s="4">
        <v>118710</v>
      </c>
      <c r="H278" s="4">
        <v>4036</v>
      </c>
      <c r="I278" s="5">
        <v>3.4000000000000002E-2</v>
      </c>
      <c r="J278" s="2">
        <v>2.48</v>
      </c>
      <c r="K278" s="6">
        <v>10009.280000000001</v>
      </c>
      <c r="L278" s="4">
        <v>235</v>
      </c>
      <c r="M278" s="2">
        <v>42.59</v>
      </c>
      <c r="N278" s="6">
        <v>28657.57</v>
      </c>
      <c r="O278" s="6">
        <f t="shared" si="21"/>
        <v>18648.29</v>
      </c>
      <c r="P278" s="6">
        <f t="shared" si="22"/>
        <v>1.8631000431599476</v>
      </c>
      <c r="Q278" s="3">
        <v>2.86</v>
      </c>
      <c r="R278" t="str">
        <f t="shared" si="23"/>
        <v>Medium</v>
      </c>
      <c r="S278" t="str">
        <f t="shared" si="24"/>
        <v>Valid</v>
      </c>
    </row>
    <row r="279" spans="1:19" x14ac:dyDescent="0.25">
      <c r="A279" s="1">
        <v>45339</v>
      </c>
      <c r="B279" s="1" t="str">
        <f t="shared" si="20"/>
        <v>2024-02</v>
      </c>
      <c r="C279" t="s">
        <v>18</v>
      </c>
      <c r="D279" t="s">
        <v>15</v>
      </c>
      <c r="E279" t="s">
        <v>16</v>
      </c>
      <c r="F279" t="s">
        <v>26</v>
      </c>
      <c r="G279" s="4">
        <v>113297</v>
      </c>
      <c r="H279" s="4">
        <v>9675</v>
      </c>
      <c r="I279" s="5">
        <v>8.5400000000000004E-2</v>
      </c>
      <c r="J279" s="2">
        <v>1.81</v>
      </c>
      <c r="K279" s="6">
        <v>17511.75</v>
      </c>
      <c r="L279" s="4">
        <v>380</v>
      </c>
      <c r="M279" s="2">
        <v>46.08</v>
      </c>
      <c r="N279" s="6">
        <v>16593.87</v>
      </c>
      <c r="O279" s="6">
        <f t="shared" si="21"/>
        <v>-917.88000000000102</v>
      </c>
      <c r="P279" s="6">
        <f t="shared" si="22"/>
        <v>-5.2415092723457166E-2</v>
      </c>
      <c r="Q279" s="3">
        <v>0.95</v>
      </c>
      <c r="R279" t="str">
        <f t="shared" si="23"/>
        <v>Low</v>
      </c>
      <c r="S279" t="str">
        <f t="shared" si="24"/>
        <v>Valid</v>
      </c>
    </row>
    <row r="280" spans="1:19" x14ac:dyDescent="0.25">
      <c r="A280" s="1">
        <v>45478</v>
      </c>
      <c r="B280" s="1" t="str">
        <f t="shared" si="20"/>
        <v>2024-07</v>
      </c>
      <c r="C280" t="s">
        <v>14</v>
      </c>
      <c r="D280" t="s">
        <v>15</v>
      </c>
      <c r="E280" t="s">
        <v>16</v>
      </c>
      <c r="F280" t="s">
        <v>20</v>
      </c>
      <c r="G280" s="4">
        <v>6881</v>
      </c>
      <c r="H280" s="4">
        <v>357</v>
      </c>
      <c r="I280" s="5">
        <v>5.1999999999999998E-2</v>
      </c>
      <c r="J280" s="2">
        <v>2.29</v>
      </c>
      <c r="K280" s="6">
        <v>817.53</v>
      </c>
      <c r="L280" s="4">
        <v>5</v>
      </c>
      <c r="M280" s="2">
        <v>163.51</v>
      </c>
      <c r="N280" s="6">
        <v>872.75</v>
      </c>
      <c r="O280" s="6">
        <f t="shared" si="21"/>
        <v>55.220000000000027</v>
      </c>
      <c r="P280" s="6">
        <f t="shared" si="22"/>
        <v>6.7544921898890595E-2</v>
      </c>
      <c r="Q280" s="3">
        <v>1.07</v>
      </c>
      <c r="R280" t="str">
        <f t="shared" si="23"/>
        <v>Medium</v>
      </c>
      <c r="S280" t="str">
        <f t="shared" si="24"/>
        <v>Valid</v>
      </c>
    </row>
    <row r="281" spans="1:19" x14ac:dyDescent="0.25">
      <c r="A281" s="1">
        <v>45432</v>
      </c>
      <c r="B281" s="1" t="str">
        <f t="shared" si="20"/>
        <v>2024-05</v>
      </c>
      <c r="C281" t="s">
        <v>28</v>
      </c>
      <c r="D281" t="s">
        <v>24</v>
      </c>
      <c r="E281" t="s">
        <v>19</v>
      </c>
      <c r="F281" t="s">
        <v>26</v>
      </c>
      <c r="G281" s="4">
        <v>121477</v>
      </c>
      <c r="H281" s="4">
        <v>1834</v>
      </c>
      <c r="I281" s="5">
        <v>1.5100000000000001E-2</v>
      </c>
      <c r="J281" s="2">
        <v>0.49</v>
      </c>
      <c r="K281" s="6">
        <v>898.66</v>
      </c>
      <c r="L281" s="4">
        <v>98</v>
      </c>
      <c r="M281" s="2">
        <v>9.17</v>
      </c>
      <c r="N281" s="6">
        <v>10542.66</v>
      </c>
      <c r="O281" s="6">
        <f t="shared" si="21"/>
        <v>9644</v>
      </c>
      <c r="P281" s="6">
        <f t="shared" si="22"/>
        <v>10.731533616718226</v>
      </c>
      <c r="Q281" s="3">
        <v>11.73</v>
      </c>
      <c r="R281" t="str">
        <f t="shared" si="23"/>
        <v>High</v>
      </c>
      <c r="S281" t="str">
        <f t="shared" si="24"/>
        <v>Valid</v>
      </c>
    </row>
    <row r="282" spans="1:19" x14ac:dyDescent="0.25">
      <c r="A282" s="1">
        <v>45471</v>
      </c>
      <c r="B282" s="1" t="str">
        <f t="shared" si="20"/>
        <v>2024-06</v>
      </c>
      <c r="C282" t="s">
        <v>14</v>
      </c>
      <c r="D282" t="s">
        <v>29</v>
      </c>
      <c r="E282" t="s">
        <v>25</v>
      </c>
      <c r="F282" t="s">
        <v>32</v>
      </c>
      <c r="G282" s="4">
        <v>188419</v>
      </c>
      <c r="H282" s="4">
        <v>10231</v>
      </c>
      <c r="I282" s="5">
        <v>5.4300000000000001E-2</v>
      </c>
      <c r="J282" s="2">
        <v>2.15</v>
      </c>
      <c r="K282" s="6">
        <v>21996.65</v>
      </c>
      <c r="L282" s="4">
        <v>754</v>
      </c>
      <c r="M282" s="2">
        <v>29.17</v>
      </c>
      <c r="N282" s="6">
        <v>134062.71</v>
      </c>
      <c r="O282" s="6">
        <f t="shared" si="21"/>
        <v>112066.06</v>
      </c>
      <c r="P282" s="6">
        <f t="shared" si="22"/>
        <v>5.0946876001572958</v>
      </c>
      <c r="Q282" s="3">
        <v>6.09</v>
      </c>
      <c r="R282" t="str">
        <f t="shared" si="23"/>
        <v>High</v>
      </c>
      <c r="S282" t="str">
        <f t="shared" si="24"/>
        <v>Valid</v>
      </c>
    </row>
    <row r="283" spans="1:19" x14ac:dyDescent="0.25">
      <c r="A283" s="1">
        <v>45515</v>
      </c>
      <c r="B283" s="1" t="str">
        <f t="shared" si="20"/>
        <v>2024-08</v>
      </c>
      <c r="C283" t="s">
        <v>28</v>
      </c>
      <c r="D283" t="s">
        <v>21</v>
      </c>
      <c r="E283" t="s">
        <v>19</v>
      </c>
      <c r="F283" t="s">
        <v>20</v>
      </c>
      <c r="G283" s="4">
        <v>46743</v>
      </c>
      <c r="H283" s="4">
        <v>1523</v>
      </c>
      <c r="I283" s="5">
        <v>3.2599999999999997E-2</v>
      </c>
      <c r="J283" s="2">
        <v>0.8</v>
      </c>
      <c r="K283" s="6">
        <v>1218.4000000000001</v>
      </c>
      <c r="L283" s="4">
        <v>51</v>
      </c>
      <c r="M283" s="2">
        <v>23.89</v>
      </c>
      <c r="N283" s="6">
        <v>5825.03</v>
      </c>
      <c r="O283" s="6">
        <f t="shared" si="21"/>
        <v>4606.6299999999992</v>
      </c>
      <c r="P283" s="6">
        <f t="shared" si="22"/>
        <v>3.7808847669074188</v>
      </c>
      <c r="Q283" s="3">
        <v>4.78</v>
      </c>
      <c r="R283" t="str">
        <f t="shared" si="23"/>
        <v>High</v>
      </c>
      <c r="S283" t="str">
        <f t="shared" si="24"/>
        <v>Valid</v>
      </c>
    </row>
    <row r="284" spans="1:19" x14ac:dyDescent="0.25">
      <c r="A284" s="1">
        <v>45361</v>
      </c>
      <c r="B284" s="1" t="str">
        <f t="shared" si="20"/>
        <v>2024-03</v>
      </c>
      <c r="C284" t="s">
        <v>14</v>
      </c>
      <c r="D284" t="s">
        <v>21</v>
      </c>
      <c r="E284" t="s">
        <v>16</v>
      </c>
      <c r="F284" t="s">
        <v>31</v>
      </c>
      <c r="G284" s="4">
        <v>93302</v>
      </c>
      <c r="H284" s="4">
        <v>4058</v>
      </c>
      <c r="I284" s="5">
        <v>4.3499999999999997E-2</v>
      </c>
      <c r="J284" s="2">
        <v>0.81</v>
      </c>
      <c r="K284" s="6">
        <v>3286.98</v>
      </c>
      <c r="L284" s="4">
        <v>50</v>
      </c>
      <c r="M284" s="2">
        <v>65.739999999999995</v>
      </c>
      <c r="N284" s="6">
        <v>14861.71</v>
      </c>
      <c r="O284" s="6">
        <f t="shared" si="21"/>
        <v>11574.73</v>
      </c>
      <c r="P284" s="6">
        <f t="shared" si="22"/>
        <v>3.5213874133703276</v>
      </c>
      <c r="Q284" s="3">
        <v>4.5199999999999996</v>
      </c>
      <c r="R284" t="str">
        <f t="shared" si="23"/>
        <v>High</v>
      </c>
      <c r="S284" t="str">
        <f t="shared" si="24"/>
        <v>Valid</v>
      </c>
    </row>
    <row r="285" spans="1:19" x14ac:dyDescent="0.25">
      <c r="A285" s="1">
        <v>45426</v>
      </c>
      <c r="B285" s="1" t="str">
        <f t="shared" si="20"/>
        <v>2024-05</v>
      </c>
      <c r="C285" t="s">
        <v>14</v>
      </c>
      <c r="D285" t="s">
        <v>15</v>
      </c>
      <c r="E285" t="s">
        <v>25</v>
      </c>
      <c r="F285" t="s">
        <v>32</v>
      </c>
      <c r="G285" s="4">
        <v>140747</v>
      </c>
      <c r="H285" s="4">
        <v>8571</v>
      </c>
      <c r="I285" s="5">
        <v>6.0900000000000003E-2</v>
      </c>
      <c r="J285" s="2">
        <v>3.25</v>
      </c>
      <c r="K285" s="6">
        <v>27855.75</v>
      </c>
      <c r="L285" s="4">
        <v>332</v>
      </c>
      <c r="M285" s="2">
        <v>83.9</v>
      </c>
      <c r="N285" s="6">
        <v>48279.89</v>
      </c>
      <c r="O285" s="6">
        <f t="shared" si="21"/>
        <v>20424.14</v>
      </c>
      <c r="P285" s="6">
        <f t="shared" si="22"/>
        <v>0.73321091695610419</v>
      </c>
      <c r="Q285" s="3">
        <v>1.73</v>
      </c>
      <c r="R285" t="str">
        <f t="shared" si="23"/>
        <v>Medium</v>
      </c>
      <c r="S285" t="str">
        <f t="shared" si="24"/>
        <v>Valid</v>
      </c>
    </row>
    <row r="286" spans="1:19" x14ac:dyDescent="0.25">
      <c r="A286" s="1">
        <v>45398</v>
      </c>
      <c r="B286" s="1" t="str">
        <f t="shared" si="20"/>
        <v>2024-04</v>
      </c>
      <c r="C286" t="s">
        <v>14</v>
      </c>
      <c r="D286" t="s">
        <v>15</v>
      </c>
      <c r="E286" t="s">
        <v>22</v>
      </c>
      <c r="F286" t="s">
        <v>32</v>
      </c>
      <c r="G286" s="4">
        <v>36831</v>
      </c>
      <c r="H286" s="4">
        <v>1572</v>
      </c>
      <c r="I286" s="5">
        <v>4.2700000000000002E-2</v>
      </c>
      <c r="J286" s="2">
        <v>3.45</v>
      </c>
      <c r="K286" s="6">
        <v>5423.4</v>
      </c>
      <c r="L286" s="4">
        <v>48</v>
      </c>
      <c r="M286" s="2">
        <v>112.99</v>
      </c>
      <c r="N286" s="6">
        <v>4165.7299999999996</v>
      </c>
      <c r="O286" s="6">
        <f t="shared" si="21"/>
        <v>-1257.67</v>
      </c>
      <c r="P286" s="6">
        <f t="shared" si="22"/>
        <v>-0.23189696500350337</v>
      </c>
      <c r="Q286" s="3">
        <v>0.77</v>
      </c>
      <c r="R286" t="str">
        <f t="shared" si="23"/>
        <v>Low</v>
      </c>
      <c r="S286" t="str">
        <f t="shared" si="24"/>
        <v>Valid</v>
      </c>
    </row>
    <row r="287" spans="1:19" x14ac:dyDescent="0.25">
      <c r="A287" s="1">
        <v>45399</v>
      </c>
      <c r="B287" s="1" t="str">
        <f t="shared" si="20"/>
        <v>2024-04</v>
      </c>
      <c r="C287" t="s">
        <v>18</v>
      </c>
      <c r="D287" t="s">
        <v>29</v>
      </c>
      <c r="E287" t="s">
        <v>25</v>
      </c>
      <c r="F287" t="s">
        <v>26</v>
      </c>
      <c r="G287" s="4">
        <v>146842</v>
      </c>
      <c r="H287" s="4">
        <v>10646</v>
      </c>
      <c r="I287" s="5">
        <v>7.2499999999999995E-2</v>
      </c>
      <c r="J287" s="2">
        <v>1.23</v>
      </c>
      <c r="K287" s="6">
        <v>13094.58</v>
      </c>
      <c r="L287" s="4">
        <v>615</v>
      </c>
      <c r="M287" s="2">
        <v>21.29</v>
      </c>
      <c r="N287" s="6">
        <v>113988.39</v>
      </c>
      <c r="O287" s="6">
        <f t="shared" si="21"/>
        <v>100893.81</v>
      </c>
      <c r="P287" s="6">
        <f t="shared" si="22"/>
        <v>7.7050054297274135</v>
      </c>
      <c r="Q287" s="3">
        <v>8.7100000000000009</v>
      </c>
      <c r="R287" t="str">
        <f t="shared" si="23"/>
        <v>High</v>
      </c>
      <c r="S287" t="str">
        <f t="shared" si="24"/>
        <v>Valid</v>
      </c>
    </row>
    <row r="288" spans="1:19" x14ac:dyDescent="0.25">
      <c r="A288" s="1">
        <v>45387</v>
      </c>
      <c r="B288" s="1" t="str">
        <f t="shared" si="20"/>
        <v>2024-04</v>
      </c>
      <c r="C288" t="s">
        <v>28</v>
      </c>
      <c r="D288" t="s">
        <v>29</v>
      </c>
      <c r="E288" t="s">
        <v>19</v>
      </c>
      <c r="F288" t="s">
        <v>23</v>
      </c>
      <c r="G288" s="4">
        <v>69892</v>
      </c>
      <c r="H288" s="4">
        <v>2851</v>
      </c>
      <c r="I288" s="5">
        <v>4.0800000000000003E-2</v>
      </c>
      <c r="J288" s="2">
        <v>0.78</v>
      </c>
      <c r="K288" s="6">
        <v>2223.7800000000002</v>
      </c>
      <c r="L288" s="4">
        <v>52</v>
      </c>
      <c r="M288" s="2">
        <v>42.77</v>
      </c>
      <c r="N288" s="6">
        <v>11407.42</v>
      </c>
      <c r="O288" s="6">
        <f t="shared" si="21"/>
        <v>9183.64</v>
      </c>
      <c r="P288" s="6">
        <f t="shared" si="22"/>
        <v>4.1297430501218644</v>
      </c>
      <c r="Q288" s="3">
        <v>5.13</v>
      </c>
      <c r="R288" t="str">
        <f t="shared" si="23"/>
        <v>High</v>
      </c>
      <c r="S288" t="str">
        <f t="shared" si="24"/>
        <v>Valid</v>
      </c>
    </row>
    <row r="289" spans="1:19" x14ac:dyDescent="0.25">
      <c r="A289" s="1">
        <v>45380</v>
      </c>
      <c r="B289" s="1" t="str">
        <f t="shared" si="20"/>
        <v>2024-03</v>
      </c>
      <c r="C289" t="s">
        <v>14</v>
      </c>
      <c r="D289" t="s">
        <v>24</v>
      </c>
      <c r="E289" t="s">
        <v>25</v>
      </c>
      <c r="F289" t="s">
        <v>20</v>
      </c>
      <c r="G289" s="4">
        <v>118985</v>
      </c>
      <c r="H289" s="4">
        <v>4545</v>
      </c>
      <c r="I289" s="5">
        <v>3.8199999999999998E-2</v>
      </c>
      <c r="J289" s="2">
        <v>3.23</v>
      </c>
      <c r="K289" s="6">
        <v>14680.35</v>
      </c>
      <c r="L289" s="4">
        <v>259</v>
      </c>
      <c r="M289" s="2">
        <v>56.68</v>
      </c>
      <c r="N289" s="6">
        <v>58417.120000000003</v>
      </c>
      <c r="O289" s="6">
        <f t="shared" si="21"/>
        <v>43736.770000000004</v>
      </c>
      <c r="P289" s="6">
        <f t="shared" si="22"/>
        <v>2.9792729737370025</v>
      </c>
      <c r="Q289" s="3">
        <v>3.98</v>
      </c>
      <c r="R289" t="str">
        <f t="shared" si="23"/>
        <v>High</v>
      </c>
      <c r="S289" t="str">
        <f t="shared" si="24"/>
        <v>Valid</v>
      </c>
    </row>
    <row r="290" spans="1:19" x14ac:dyDescent="0.25">
      <c r="A290" s="1">
        <v>45485</v>
      </c>
      <c r="B290" s="1" t="str">
        <f t="shared" si="20"/>
        <v>2024-07</v>
      </c>
      <c r="C290" t="s">
        <v>28</v>
      </c>
      <c r="D290" t="s">
        <v>29</v>
      </c>
      <c r="E290" t="s">
        <v>30</v>
      </c>
      <c r="F290" t="s">
        <v>31</v>
      </c>
      <c r="G290" s="4">
        <v>12452</v>
      </c>
      <c r="H290" s="4">
        <v>280</v>
      </c>
      <c r="I290" s="5">
        <v>2.2499999999999999E-2</v>
      </c>
      <c r="J290" s="2">
        <v>1.23</v>
      </c>
      <c r="K290" s="6">
        <v>344.4</v>
      </c>
      <c r="L290" s="4">
        <v>18</v>
      </c>
      <c r="M290" s="2">
        <v>19.13</v>
      </c>
      <c r="N290" s="6">
        <v>4734.22</v>
      </c>
      <c r="O290" s="6">
        <f t="shared" si="21"/>
        <v>4389.8200000000006</v>
      </c>
      <c r="P290" s="6">
        <f t="shared" si="22"/>
        <v>12.746283391405345</v>
      </c>
      <c r="Q290" s="3">
        <v>13.75</v>
      </c>
      <c r="R290" t="str">
        <f t="shared" si="23"/>
        <v>High</v>
      </c>
      <c r="S290" t="str">
        <f t="shared" si="24"/>
        <v>Valid</v>
      </c>
    </row>
    <row r="291" spans="1:19" x14ac:dyDescent="0.25">
      <c r="A291" s="1">
        <v>45313</v>
      </c>
      <c r="B291" s="1" t="str">
        <f t="shared" si="20"/>
        <v>2024-01</v>
      </c>
      <c r="C291" t="s">
        <v>14</v>
      </c>
      <c r="D291" t="s">
        <v>29</v>
      </c>
      <c r="E291" t="s">
        <v>19</v>
      </c>
      <c r="F291" t="s">
        <v>17</v>
      </c>
      <c r="G291" s="4">
        <v>85077</v>
      </c>
      <c r="H291" s="4">
        <v>4032</v>
      </c>
      <c r="I291" s="5">
        <v>4.7399999999999998E-2</v>
      </c>
      <c r="J291" s="2">
        <v>2.84</v>
      </c>
      <c r="K291" s="6">
        <v>11450.88</v>
      </c>
      <c r="L291" s="4">
        <v>253</v>
      </c>
      <c r="M291" s="2">
        <v>45.26</v>
      </c>
      <c r="N291" s="6">
        <v>13168.69</v>
      </c>
      <c r="O291" s="6">
        <f t="shared" si="21"/>
        <v>1717.8100000000013</v>
      </c>
      <c r="P291" s="6">
        <f t="shared" si="22"/>
        <v>0.15001554465682998</v>
      </c>
      <c r="Q291" s="3">
        <v>1.1499999999999999</v>
      </c>
      <c r="R291" t="str">
        <f t="shared" si="23"/>
        <v>Medium</v>
      </c>
      <c r="S291" t="str">
        <f t="shared" si="24"/>
        <v>Valid</v>
      </c>
    </row>
    <row r="292" spans="1:19" x14ac:dyDescent="0.25">
      <c r="A292" s="1">
        <v>45522</v>
      </c>
      <c r="B292" s="1" t="str">
        <f t="shared" si="20"/>
        <v>2024-08</v>
      </c>
      <c r="C292" t="s">
        <v>18</v>
      </c>
      <c r="D292" t="s">
        <v>15</v>
      </c>
      <c r="E292" t="s">
        <v>16</v>
      </c>
      <c r="F292" t="s">
        <v>31</v>
      </c>
      <c r="G292" s="4">
        <v>39782</v>
      </c>
      <c r="H292" s="4">
        <v>3393</v>
      </c>
      <c r="I292" s="5">
        <v>8.5300000000000001E-2</v>
      </c>
      <c r="J292" s="2">
        <v>1.71</v>
      </c>
      <c r="K292" s="6">
        <v>5802.03</v>
      </c>
      <c r="L292" s="4">
        <v>143</v>
      </c>
      <c r="M292" s="2">
        <v>40.57</v>
      </c>
      <c r="N292" s="6">
        <v>23555.27</v>
      </c>
      <c r="O292" s="6">
        <f t="shared" si="21"/>
        <v>17753.240000000002</v>
      </c>
      <c r="P292" s="6">
        <f t="shared" si="22"/>
        <v>3.0598325068984482</v>
      </c>
      <c r="Q292" s="3">
        <v>4.0599999999999996</v>
      </c>
      <c r="R292" t="str">
        <f t="shared" si="23"/>
        <v>High</v>
      </c>
      <c r="S292" t="str">
        <f t="shared" si="24"/>
        <v>Valid</v>
      </c>
    </row>
    <row r="293" spans="1:19" x14ac:dyDescent="0.25">
      <c r="A293" s="1">
        <v>45395</v>
      </c>
      <c r="B293" s="1" t="str">
        <f t="shared" si="20"/>
        <v>2024-04</v>
      </c>
      <c r="C293" t="s">
        <v>14</v>
      </c>
      <c r="D293" t="s">
        <v>21</v>
      </c>
      <c r="E293" t="s">
        <v>19</v>
      </c>
      <c r="F293" t="s">
        <v>32</v>
      </c>
      <c r="G293" s="4">
        <v>192135</v>
      </c>
      <c r="H293" s="4">
        <v>10663</v>
      </c>
      <c r="I293" s="5">
        <v>5.5500000000000001E-2</v>
      </c>
      <c r="J293" s="2">
        <v>1.78</v>
      </c>
      <c r="K293" s="6">
        <v>18980.14</v>
      </c>
      <c r="L293" s="4">
        <v>741</v>
      </c>
      <c r="M293" s="2">
        <v>25.61</v>
      </c>
      <c r="N293" s="6">
        <v>213823.35999999999</v>
      </c>
      <c r="O293" s="6">
        <f t="shared" si="21"/>
        <v>194843.21999999997</v>
      </c>
      <c r="P293" s="6">
        <f t="shared" si="22"/>
        <v>10.265636607527657</v>
      </c>
      <c r="Q293" s="3">
        <v>11.27</v>
      </c>
      <c r="R293" t="str">
        <f t="shared" si="23"/>
        <v>High</v>
      </c>
      <c r="S293" t="str">
        <f t="shared" si="24"/>
        <v>Valid</v>
      </c>
    </row>
    <row r="294" spans="1:19" x14ac:dyDescent="0.25">
      <c r="A294" s="1">
        <v>45386</v>
      </c>
      <c r="B294" s="1" t="str">
        <f t="shared" si="20"/>
        <v>2024-04</v>
      </c>
      <c r="C294" t="s">
        <v>28</v>
      </c>
      <c r="D294" t="s">
        <v>15</v>
      </c>
      <c r="E294" t="s">
        <v>22</v>
      </c>
      <c r="F294" t="s">
        <v>31</v>
      </c>
      <c r="G294" s="4">
        <v>156317</v>
      </c>
      <c r="H294" s="4">
        <v>5924</v>
      </c>
      <c r="I294" s="5">
        <v>3.7900000000000003E-2</v>
      </c>
      <c r="J294" s="2">
        <v>0.71</v>
      </c>
      <c r="K294" s="6">
        <v>4206.04</v>
      </c>
      <c r="L294" s="4">
        <v>464</v>
      </c>
      <c r="M294" s="2">
        <v>9.06</v>
      </c>
      <c r="N294" s="6">
        <v>64623.96</v>
      </c>
      <c r="O294" s="6">
        <f t="shared" si="21"/>
        <v>60417.919999999998</v>
      </c>
      <c r="P294" s="6">
        <f t="shared" si="22"/>
        <v>14.364561440214548</v>
      </c>
      <c r="Q294" s="3">
        <v>15.36</v>
      </c>
      <c r="R294" t="str">
        <f t="shared" si="23"/>
        <v>High</v>
      </c>
      <c r="S294" t="str">
        <f t="shared" si="24"/>
        <v>Valid</v>
      </c>
    </row>
    <row r="295" spans="1:19" x14ac:dyDescent="0.25">
      <c r="A295" s="1">
        <v>45337</v>
      </c>
      <c r="B295" s="1" t="str">
        <f t="shared" si="20"/>
        <v>2024-02</v>
      </c>
      <c r="C295" t="s">
        <v>14</v>
      </c>
      <c r="D295" t="s">
        <v>24</v>
      </c>
      <c r="E295" t="s">
        <v>16</v>
      </c>
      <c r="F295" t="s">
        <v>26</v>
      </c>
      <c r="G295" s="4">
        <v>39754</v>
      </c>
      <c r="H295" s="4">
        <v>2007</v>
      </c>
      <c r="I295" s="5">
        <v>5.0500000000000003E-2</v>
      </c>
      <c r="J295" s="2">
        <v>2.33</v>
      </c>
      <c r="K295" s="6">
        <v>4676.3100000000004</v>
      </c>
      <c r="L295" s="4">
        <v>108</v>
      </c>
      <c r="M295" s="2">
        <v>43.3</v>
      </c>
      <c r="N295" s="6">
        <v>6981.98</v>
      </c>
      <c r="O295" s="6">
        <f t="shared" si="21"/>
        <v>2305.6699999999992</v>
      </c>
      <c r="P295" s="6">
        <f t="shared" si="22"/>
        <v>0.49305328346495397</v>
      </c>
      <c r="Q295" s="3">
        <v>1.49</v>
      </c>
      <c r="R295" t="str">
        <f t="shared" si="23"/>
        <v>Medium</v>
      </c>
      <c r="S295" t="str">
        <f t="shared" si="24"/>
        <v>Valid</v>
      </c>
    </row>
    <row r="296" spans="1:19" x14ac:dyDescent="0.25">
      <c r="A296" s="1">
        <v>45567</v>
      </c>
      <c r="B296" s="1" t="str">
        <f t="shared" si="20"/>
        <v>2024-10</v>
      </c>
      <c r="C296" t="s">
        <v>28</v>
      </c>
      <c r="D296" t="s">
        <v>24</v>
      </c>
      <c r="E296" t="s">
        <v>19</v>
      </c>
      <c r="F296" t="s">
        <v>17</v>
      </c>
      <c r="G296" s="4">
        <v>84526</v>
      </c>
      <c r="H296" s="4">
        <v>2214</v>
      </c>
      <c r="I296" s="5">
        <v>2.6200000000000001E-2</v>
      </c>
      <c r="J296" s="2">
        <v>0.44</v>
      </c>
      <c r="K296" s="6">
        <v>974.16</v>
      </c>
      <c r="L296" s="4">
        <v>117</v>
      </c>
      <c r="M296" s="2">
        <v>8.33</v>
      </c>
      <c r="N296" s="6">
        <v>30360.22</v>
      </c>
      <c r="O296" s="6">
        <f t="shared" si="21"/>
        <v>29386.06</v>
      </c>
      <c r="P296" s="6">
        <f t="shared" si="22"/>
        <v>30.165537488708221</v>
      </c>
      <c r="Q296" s="3">
        <v>31.17</v>
      </c>
      <c r="R296" t="str">
        <f t="shared" si="23"/>
        <v>High</v>
      </c>
      <c r="S296" t="str">
        <f t="shared" si="24"/>
        <v>Valid</v>
      </c>
    </row>
    <row r="297" spans="1:19" x14ac:dyDescent="0.25">
      <c r="A297" s="1">
        <v>45531</v>
      </c>
      <c r="B297" s="1" t="str">
        <f t="shared" si="20"/>
        <v>2024-08</v>
      </c>
      <c r="C297" t="s">
        <v>14</v>
      </c>
      <c r="D297" t="s">
        <v>24</v>
      </c>
      <c r="E297" t="s">
        <v>25</v>
      </c>
      <c r="F297" t="s">
        <v>20</v>
      </c>
      <c r="G297" s="4">
        <v>159226</v>
      </c>
      <c r="H297" s="4">
        <v>5206</v>
      </c>
      <c r="I297" s="5">
        <v>3.27E-2</v>
      </c>
      <c r="J297" s="2">
        <v>0.97</v>
      </c>
      <c r="K297" s="6">
        <v>5049.82</v>
      </c>
      <c r="L297" s="4">
        <v>137</v>
      </c>
      <c r="M297" s="2">
        <v>36.86</v>
      </c>
      <c r="N297" s="6">
        <v>27701.27</v>
      </c>
      <c r="O297" s="6">
        <f t="shared" si="21"/>
        <v>22651.45</v>
      </c>
      <c r="P297" s="6">
        <f t="shared" si="22"/>
        <v>4.4855955261771712</v>
      </c>
      <c r="Q297" s="3">
        <v>5.49</v>
      </c>
      <c r="R297" t="str">
        <f t="shared" si="23"/>
        <v>High</v>
      </c>
      <c r="S297" t="str">
        <f t="shared" si="24"/>
        <v>Valid</v>
      </c>
    </row>
    <row r="298" spans="1:19" x14ac:dyDescent="0.25">
      <c r="A298" s="1">
        <v>45566</v>
      </c>
      <c r="B298" s="1" t="str">
        <f t="shared" si="20"/>
        <v>2024-10</v>
      </c>
      <c r="C298" t="s">
        <v>18</v>
      </c>
      <c r="D298" t="s">
        <v>29</v>
      </c>
      <c r="E298" t="s">
        <v>25</v>
      </c>
      <c r="F298" t="s">
        <v>27</v>
      </c>
      <c r="G298" s="4">
        <v>178503</v>
      </c>
      <c r="H298" s="4">
        <v>9639</v>
      </c>
      <c r="I298" s="5">
        <v>5.3999999999999999E-2</v>
      </c>
      <c r="J298" s="2">
        <v>0.56000000000000005</v>
      </c>
      <c r="K298" s="6">
        <v>5397.84</v>
      </c>
      <c r="L298" s="4">
        <v>146</v>
      </c>
      <c r="M298" s="2">
        <v>36.97</v>
      </c>
      <c r="N298" s="6">
        <v>40162.93</v>
      </c>
      <c r="O298" s="6">
        <f t="shared" si="21"/>
        <v>34765.089999999997</v>
      </c>
      <c r="P298" s="6">
        <f t="shared" si="22"/>
        <v>6.4405558519704167</v>
      </c>
      <c r="Q298" s="3">
        <v>7.44</v>
      </c>
      <c r="R298" t="str">
        <f t="shared" si="23"/>
        <v>High</v>
      </c>
      <c r="S298" t="str">
        <f t="shared" si="24"/>
        <v>Valid</v>
      </c>
    </row>
    <row r="299" spans="1:19" x14ac:dyDescent="0.25">
      <c r="A299" s="1">
        <v>45431</v>
      </c>
      <c r="B299" s="1" t="str">
        <f t="shared" si="20"/>
        <v>2024-05</v>
      </c>
      <c r="C299" t="s">
        <v>18</v>
      </c>
      <c r="D299" t="s">
        <v>24</v>
      </c>
      <c r="E299" t="s">
        <v>25</v>
      </c>
      <c r="F299" t="s">
        <v>31</v>
      </c>
      <c r="G299" s="4">
        <v>176946</v>
      </c>
      <c r="H299" s="4">
        <v>13784</v>
      </c>
      <c r="I299" s="5">
        <v>7.7899999999999997E-2</v>
      </c>
      <c r="J299" s="2">
        <v>0.86</v>
      </c>
      <c r="K299" s="6">
        <v>11854.24</v>
      </c>
      <c r="L299" s="4">
        <v>743</v>
      </c>
      <c r="M299" s="2">
        <v>15.95</v>
      </c>
      <c r="N299" s="6">
        <v>208986.19</v>
      </c>
      <c r="O299" s="6">
        <f t="shared" si="21"/>
        <v>197131.95</v>
      </c>
      <c r="P299" s="6">
        <f t="shared" si="22"/>
        <v>16.629657405282838</v>
      </c>
      <c r="Q299" s="3">
        <v>17.63</v>
      </c>
      <c r="R299" t="str">
        <f t="shared" si="23"/>
        <v>High</v>
      </c>
      <c r="S299" t="str">
        <f t="shared" si="24"/>
        <v>Valid</v>
      </c>
    </row>
    <row r="300" spans="1:19" x14ac:dyDescent="0.25">
      <c r="A300" s="1">
        <v>45506</v>
      </c>
      <c r="B300" s="1" t="str">
        <f t="shared" si="20"/>
        <v>2024-08</v>
      </c>
      <c r="C300" t="s">
        <v>28</v>
      </c>
      <c r="D300" t="s">
        <v>29</v>
      </c>
      <c r="E300" t="s">
        <v>16</v>
      </c>
      <c r="F300" t="s">
        <v>26</v>
      </c>
      <c r="G300" s="4">
        <v>163124</v>
      </c>
      <c r="H300" s="4">
        <v>4273</v>
      </c>
      <c r="I300" s="5">
        <v>2.6200000000000001E-2</v>
      </c>
      <c r="J300" s="2">
        <v>0.91</v>
      </c>
      <c r="K300" s="6">
        <v>3888.43</v>
      </c>
      <c r="L300" s="4">
        <v>239</v>
      </c>
      <c r="M300" s="2">
        <v>16.27</v>
      </c>
      <c r="N300" s="6">
        <v>71554.77</v>
      </c>
      <c r="O300" s="6">
        <f t="shared" si="21"/>
        <v>67666.340000000011</v>
      </c>
      <c r="P300" s="6">
        <f t="shared" si="22"/>
        <v>17.401969432393027</v>
      </c>
      <c r="Q300" s="3">
        <v>18.399999999999999</v>
      </c>
      <c r="R300" t="str">
        <f t="shared" si="23"/>
        <v>High</v>
      </c>
      <c r="S300" t="str">
        <f t="shared" si="24"/>
        <v>Valid</v>
      </c>
    </row>
    <row r="301" spans="1:19" x14ac:dyDescent="0.25">
      <c r="A301" s="1">
        <v>45464</v>
      </c>
      <c r="B301" s="1" t="str">
        <f t="shared" si="20"/>
        <v>2024-06</v>
      </c>
      <c r="C301" t="s">
        <v>28</v>
      </c>
      <c r="D301" t="s">
        <v>29</v>
      </c>
      <c r="E301" t="s">
        <v>19</v>
      </c>
      <c r="F301" t="s">
        <v>17</v>
      </c>
      <c r="G301" s="4">
        <v>150486</v>
      </c>
      <c r="H301" s="4">
        <v>6230</v>
      </c>
      <c r="I301" s="5">
        <v>4.1399999999999999E-2</v>
      </c>
      <c r="J301" s="2">
        <v>1.21</v>
      </c>
      <c r="K301" s="6">
        <v>7538.3</v>
      </c>
      <c r="L301" s="4">
        <v>243</v>
      </c>
      <c r="M301" s="2">
        <v>31.02</v>
      </c>
      <c r="N301" s="6">
        <v>55217.61</v>
      </c>
      <c r="O301" s="6">
        <f t="shared" si="21"/>
        <v>47679.31</v>
      </c>
      <c r="P301" s="6">
        <f t="shared" si="22"/>
        <v>6.3249419630420647</v>
      </c>
      <c r="Q301" s="3">
        <v>7.32</v>
      </c>
      <c r="R301" t="str">
        <f t="shared" si="23"/>
        <v>High</v>
      </c>
      <c r="S301" t="str">
        <f t="shared" si="24"/>
        <v>Valid</v>
      </c>
    </row>
    <row r="302" spans="1:19" x14ac:dyDescent="0.25">
      <c r="A302" s="1">
        <v>45429</v>
      </c>
      <c r="B302" s="1" t="str">
        <f t="shared" si="20"/>
        <v>2024-05</v>
      </c>
      <c r="C302" t="s">
        <v>14</v>
      </c>
      <c r="D302" t="s">
        <v>15</v>
      </c>
      <c r="E302" t="s">
        <v>30</v>
      </c>
      <c r="F302" t="s">
        <v>20</v>
      </c>
      <c r="G302" s="4">
        <v>88384</v>
      </c>
      <c r="H302" s="4">
        <v>3641</v>
      </c>
      <c r="I302" s="5">
        <v>4.1200000000000001E-2</v>
      </c>
      <c r="J302" s="2">
        <v>1.22</v>
      </c>
      <c r="K302" s="6">
        <v>4442.0200000000004</v>
      </c>
      <c r="L302" s="4">
        <v>89</v>
      </c>
      <c r="M302" s="2">
        <v>49.91</v>
      </c>
      <c r="N302" s="6">
        <v>4077.32</v>
      </c>
      <c r="O302" s="6">
        <f t="shared" si="21"/>
        <v>-364.70000000000027</v>
      </c>
      <c r="P302" s="6">
        <f t="shared" si="22"/>
        <v>-8.2102286797448062E-2</v>
      </c>
      <c r="Q302" s="3">
        <v>0.92</v>
      </c>
      <c r="R302" t="str">
        <f t="shared" si="23"/>
        <v>Low</v>
      </c>
      <c r="S302" t="str">
        <f t="shared" si="24"/>
        <v>Valid</v>
      </c>
    </row>
    <row r="303" spans="1:19" x14ac:dyDescent="0.25">
      <c r="A303" s="1">
        <v>45480</v>
      </c>
      <c r="B303" s="1" t="str">
        <f t="shared" si="20"/>
        <v>2024-07</v>
      </c>
      <c r="C303" t="s">
        <v>28</v>
      </c>
      <c r="D303" t="s">
        <v>29</v>
      </c>
      <c r="E303" t="s">
        <v>25</v>
      </c>
      <c r="F303" t="s">
        <v>23</v>
      </c>
      <c r="G303" s="4">
        <v>74922</v>
      </c>
      <c r="H303" s="4">
        <v>1333</v>
      </c>
      <c r="I303" s="5">
        <v>1.78E-2</v>
      </c>
      <c r="J303" s="2">
        <v>1.32</v>
      </c>
      <c r="K303" s="6">
        <v>1759.56</v>
      </c>
      <c r="L303" s="4">
        <v>95</v>
      </c>
      <c r="M303" s="2">
        <v>18.52</v>
      </c>
      <c r="N303" s="6">
        <v>17171.740000000002</v>
      </c>
      <c r="O303" s="6">
        <f t="shared" si="21"/>
        <v>15412.180000000002</v>
      </c>
      <c r="P303" s="6">
        <f t="shared" si="22"/>
        <v>8.7591102321034811</v>
      </c>
      <c r="Q303" s="3">
        <v>9.76</v>
      </c>
      <c r="R303" t="str">
        <f t="shared" si="23"/>
        <v>High</v>
      </c>
      <c r="S303" t="str">
        <f t="shared" si="24"/>
        <v>Valid</v>
      </c>
    </row>
    <row r="304" spans="1:19" x14ac:dyDescent="0.25">
      <c r="A304" s="1">
        <v>45308</v>
      </c>
      <c r="B304" s="1" t="str">
        <f t="shared" si="20"/>
        <v>2024-01</v>
      </c>
      <c r="C304" t="s">
        <v>18</v>
      </c>
      <c r="D304" t="s">
        <v>21</v>
      </c>
      <c r="E304" t="s">
        <v>19</v>
      </c>
      <c r="F304" t="s">
        <v>17</v>
      </c>
      <c r="G304" s="4">
        <v>188846</v>
      </c>
      <c r="H304" s="4">
        <v>12671</v>
      </c>
      <c r="I304" s="5">
        <v>6.7100000000000007E-2</v>
      </c>
      <c r="J304" s="2">
        <v>1.37</v>
      </c>
      <c r="K304" s="6">
        <v>17359.27</v>
      </c>
      <c r="L304" s="4">
        <v>821</v>
      </c>
      <c r="M304" s="2">
        <v>21.14</v>
      </c>
      <c r="N304" s="6">
        <v>86047.94</v>
      </c>
      <c r="O304" s="6">
        <f t="shared" si="21"/>
        <v>68688.67</v>
      </c>
      <c r="P304" s="6">
        <f t="shared" si="22"/>
        <v>3.9568870119538433</v>
      </c>
      <c r="Q304" s="3">
        <v>4.96</v>
      </c>
      <c r="R304" t="str">
        <f t="shared" si="23"/>
        <v>High</v>
      </c>
      <c r="S304" t="str">
        <f t="shared" si="24"/>
        <v>Valid</v>
      </c>
    </row>
    <row r="305" spans="1:19" x14ac:dyDescent="0.25">
      <c r="A305" s="1">
        <v>45378</v>
      </c>
      <c r="B305" s="1" t="str">
        <f t="shared" si="20"/>
        <v>2024-03</v>
      </c>
      <c r="C305" t="s">
        <v>18</v>
      </c>
      <c r="D305" t="s">
        <v>15</v>
      </c>
      <c r="E305" t="s">
        <v>25</v>
      </c>
      <c r="F305" t="s">
        <v>20</v>
      </c>
      <c r="G305" s="4">
        <v>10209</v>
      </c>
      <c r="H305" s="4">
        <v>314</v>
      </c>
      <c r="I305" s="5">
        <v>3.0800000000000001E-2</v>
      </c>
      <c r="J305" s="2">
        <v>1.79</v>
      </c>
      <c r="K305" s="6">
        <v>562.05999999999995</v>
      </c>
      <c r="L305" s="4">
        <v>13</v>
      </c>
      <c r="M305" s="2">
        <v>43.24</v>
      </c>
      <c r="N305" s="6">
        <v>3231.96</v>
      </c>
      <c r="O305" s="6">
        <f t="shared" si="21"/>
        <v>2669.9</v>
      </c>
      <c r="P305" s="6">
        <f t="shared" si="22"/>
        <v>4.7502046044906248</v>
      </c>
      <c r="Q305" s="3">
        <v>5.75</v>
      </c>
      <c r="R305" t="str">
        <f t="shared" si="23"/>
        <v>High</v>
      </c>
      <c r="S305" t="str">
        <f t="shared" si="24"/>
        <v>Valid</v>
      </c>
    </row>
    <row r="306" spans="1:19" x14ac:dyDescent="0.25">
      <c r="A306" s="1">
        <v>45623</v>
      </c>
      <c r="B306" s="1" t="str">
        <f t="shared" si="20"/>
        <v>2024-11</v>
      </c>
      <c r="C306" t="s">
        <v>18</v>
      </c>
      <c r="D306" t="s">
        <v>21</v>
      </c>
      <c r="E306" t="s">
        <v>30</v>
      </c>
      <c r="F306" t="s">
        <v>31</v>
      </c>
      <c r="G306" s="4">
        <v>31140</v>
      </c>
      <c r="H306" s="4">
        <v>1712</v>
      </c>
      <c r="I306" s="5">
        <v>5.5E-2</v>
      </c>
      <c r="J306" s="2">
        <v>1.34</v>
      </c>
      <c r="K306" s="6">
        <v>2294.08</v>
      </c>
      <c r="L306" s="4">
        <v>63</v>
      </c>
      <c r="M306" s="2">
        <v>36.409999999999997</v>
      </c>
      <c r="N306" s="6">
        <v>5569.82</v>
      </c>
      <c r="O306" s="6">
        <f t="shared" si="21"/>
        <v>3275.74</v>
      </c>
      <c r="P306" s="6">
        <f t="shared" si="22"/>
        <v>1.4279100990375226</v>
      </c>
      <c r="Q306" s="3">
        <v>2.4300000000000002</v>
      </c>
      <c r="R306" t="str">
        <f t="shared" si="23"/>
        <v>Medium</v>
      </c>
      <c r="S306" t="str">
        <f t="shared" si="24"/>
        <v>Valid</v>
      </c>
    </row>
    <row r="307" spans="1:19" x14ac:dyDescent="0.25">
      <c r="A307" s="1">
        <v>45359</v>
      </c>
      <c r="B307" s="1" t="str">
        <f t="shared" si="20"/>
        <v>2024-03</v>
      </c>
      <c r="C307" t="s">
        <v>28</v>
      </c>
      <c r="D307" t="s">
        <v>21</v>
      </c>
      <c r="E307" t="s">
        <v>25</v>
      </c>
      <c r="F307" t="s">
        <v>27</v>
      </c>
      <c r="G307" s="4">
        <v>46850</v>
      </c>
      <c r="H307" s="4">
        <v>983</v>
      </c>
      <c r="I307" s="5">
        <v>2.1000000000000001E-2</v>
      </c>
      <c r="J307" s="2">
        <v>1.58</v>
      </c>
      <c r="K307" s="6">
        <v>1553.14</v>
      </c>
      <c r="L307" s="4">
        <v>38</v>
      </c>
      <c r="M307" s="2">
        <v>40.869999999999997</v>
      </c>
      <c r="N307" s="6">
        <v>10968.52</v>
      </c>
      <c r="O307" s="6">
        <f t="shared" si="21"/>
        <v>9415.380000000001</v>
      </c>
      <c r="P307" s="6">
        <f t="shared" si="22"/>
        <v>6.0621579509896089</v>
      </c>
      <c r="Q307" s="3">
        <v>7.06</v>
      </c>
      <c r="R307" t="str">
        <f t="shared" si="23"/>
        <v>High</v>
      </c>
      <c r="S307" t="str">
        <f t="shared" si="24"/>
        <v>Valid</v>
      </c>
    </row>
    <row r="308" spans="1:19" x14ac:dyDescent="0.25">
      <c r="A308" s="1">
        <v>45410</v>
      </c>
      <c r="B308" s="1" t="str">
        <f t="shared" si="20"/>
        <v>2024-04</v>
      </c>
      <c r="C308" t="s">
        <v>28</v>
      </c>
      <c r="D308" t="s">
        <v>24</v>
      </c>
      <c r="E308" t="s">
        <v>19</v>
      </c>
      <c r="F308" t="s">
        <v>27</v>
      </c>
      <c r="G308" s="4">
        <v>17720</v>
      </c>
      <c r="H308" s="4">
        <v>287</v>
      </c>
      <c r="I308" s="5">
        <v>1.6199999999999999E-2</v>
      </c>
      <c r="J308" s="2">
        <v>1.41</v>
      </c>
      <c r="K308" s="6">
        <v>404.67</v>
      </c>
      <c r="L308" s="4">
        <v>4</v>
      </c>
      <c r="M308" s="2">
        <v>101.17</v>
      </c>
      <c r="N308" s="6">
        <v>597.17999999999995</v>
      </c>
      <c r="O308" s="6">
        <f t="shared" si="21"/>
        <v>192.50999999999993</v>
      </c>
      <c r="P308" s="6">
        <f t="shared" si="22"/>
        <v>0.47572095781748075</v>
      </c>
      <c r="Q308" s="3">
        <v>1.48</v>
      </c>
      <c r="R308" t="str">
        <f t="shared" si="23"/>
        <v>Medium</v>
      </c>
      <c r="S308" t="str">
        <f t="shared" si="24"/>
        <v>Valid</v>
      </c>
    </row>
    <row r="309" spans="1:19" x14ac:dyDescent="0.25">
      <c r="A309" s="1">
        <v>45320</v>
      </c>
      <c r="B309" s="1" t="str">
        <f t="shared" si="20"/>
        <v>2024-01</v>
      </c>
      <c r="C309" t="s">
        <v>14</v>
      </c>
      <c r="D309" t="s">
        <v>21</v>
      </c>
      <c r="E309" t="s">
        <v>25</v>
      </c>
      <c r="F309" t="s">
        <v>26</v>
      </c>
      <c r="G309" s="4">
        <v>16781</v>
      </c>
      <c r="H309" s="4">
        <v>684</v>
      </c>
      <c r="I309" s="5">
        <v>4.0800000000000003E-2</v>
      </c>
      <c r="J309" s="2">
        <v>1.3</v>
      </c>
      <c r="K309" s="6">
        <v>889.2</v>
      </c>
      <c r="L309" s="4">
        <v>8</v>
      </c>
      <c r="M309" s="2">
        <v>111.15</v>
      </c>
      <c r="N309" s="6">
        <v>1435.11</v>
      </c>
      <c r="O309" s="6">
        <f t="shared" si="21"/>
        <v>545.90999999999985</v>
      </c>
      <c r="P309" s="6">
        <f t="shared" si="22"/>
        <v>0.61393387314439929</v>
      </c>
      <c r="Q309" s="3">
        <v>1.61</v>
      </c>
      <c r="R309" t="str">
        <f t="shared" si="23"/>
        <v>Medium</v>
      </c>
      <c r="S309" t="str">
        <f t="shared" si="24"/>
        <v>Valid</v>
      </c>
    </row>
    <row r="310" spans="1:19" x14ac:dyDescent="0.25">
      <c r="A310" s="1">
        <v>45625</v>
      </c>
      <c r="B310" s="1" t="str">
        <f t="shared" si="20"/>
        <v>2024-11</v>
      </c>
      <c r="C310" t="s">
        <v>28</v>
      </c>
      <c r="D310" t="s">
        <v>21</v>
      </c>
      <c r="E310" t="s">
        <v>30</v>
      </c>
      <c r="F310" t="s">
        <v>26</v>
      </c>
      <c r="G310" s="4">
        <v>61652</v>
      </c>
      <c r="H310" s="4">
        <v>2614</v>
      </c>
      <c r="I310" s="5">
        <v>4.24E-2</v>
      </c>
      <c r="J310" s="2">
        <v>1.28</v>
      </c>
      <c r="K310" s="6">
        <v>3345.92</v>
      </c>
      <c r="L310" s="4">
        <v>133</v>
      </c>
      <c r="M310" s="2">
        <v>25.16</v>
      </c>
      <c r="N310" s="6">
        <v>20303.14</v>
      </c>
      <c r="O310" s="6">
        <f t="shared" si="21"/>
        <v>16957.22</v>
      </c>
      <c r="P310" s="6">
        <f t="shared" si="22"/>
        <v>5.0680291220351954</v>
      </c>
      <c r="Q310" s="3">
        <v>6.07</v>
      </c>
      <c r="R310" t="str">
        <f t="shared" si="23"/>
        <v>High</v>
      </c>
      <c r="S310" t="str">
        <f t="shared" si="24"/>
        <v>Valid</v>
      </c>
    </row>
    <row r="311" spans="1:19" x14ac:dyDescent="0.25">
      <c r="A311" s="1">
        <v>45479</v>
      </c>
      <c r="B311" s="1" t="str">
        <f t="shared" si="20"/>
        <v>2024-07</v>
      </c>
      <c r="C311" t="s">
        <v>28</v>
      </c>
      <c r="D311" t="s">
        <v>29</v>
      </c>
      <c r="E311" t="s">
        <v>19</v>
      </c>
      <c r="F311" t="s">
        <v>23</v>
      </c>
      <c r="G311" s="4">
        <v>194933</v>
      </c>
      <c r="H311" s="4">
        <v>4054</v>
      </c>
      <c r="I311" s="5">
        <v>2.0799999999999999E-2</v>
      </c>
      <c r="J311" s="2">
        <v>2.0299999999999998</v>
      </c>
      <c r="K311" s="6">
        <v>8229.6200000000008</v>
      </c>
      <c r="L311" s="4">
        <v>197</v>
      </c>
      <c r="M311" s="2">
        <v>41.77</v>
      </c>
      <c r="N311" s="6">
        <v>9992.76</v>
      </c>
      <c r="O311" s="6">
        <f t="shared" si="21"/>
        <v>1763.1399999999994</v>
      </c>
      <c r="P311" s="6">
        <f t="shared" si="22"/>
        <v>0.21424318498302464</v>
      </c>
      <c r="Q311" s="3">
        <v>1.21</v>
      </c>
      <c r="R311" t="str">
        <f t="shared" si="23"/>
        <v>Medium</v>
      </c>
      <c r="S311" t="str">
        <f t="shared" si="24"/>
        <v>Valid</v>
      </c>
    </row>
    <row r="312" spans="1:19" x14ac:dyDescent="0.25">
      <c r="A312" s="1">
        <v>45347</v>
      </c>
      <c r="B312" s="1" t="str">
        <f t="shared" si="20"/>
        <v>2024-02</v>
      </c>
      <c r="C312" t="s">
        <v>14</v>
      </c>
      <c r="D312" t="s">
        <v>15</v>
      </c>
      <c r="E312" t="s">
        <v>19</v>
      </c>
      <c r="F312" t="s">
        <v>27</v>
      </c>
      <c r="G312" s="4">
        <v>100386</v>
      </c>
      <c r="H312" s="4">
        <v>5250</v>
      </c>
      <c r="I312" s="5">
        <v>5.2299999999999999E-2</v>
      </c>
      <c r="J312" s="2">
        <v>0.98</v>
      </c>
      <c r="K312" s="6">
        <v>5145</v>
      </c>
      <c r="L312" s="4">
        <v>254</v>
      </c>
      <c r="M312" s="2">
        <v>20.260000000000002</v>
      </c>
      <c r="N312" s="6">
        <v>73673.45</v>
      </c>
      <c r="O312" s="6">
        <f t="shared" si="21"/>
        <v>68528.45</v>
      </c>
      <c r="P312" s="6">
        <f t="shared" si="22"/>
        <v>13.319426627793975</v>
      </c>
      <c r="Q312" s="3">
        <v>14.32</v>
      </c>
      <c r="R312" t="str">
        <f t="shared" si="23"/>
        <v>High</v>
      </c>
      <c r="S312" t="str">
        <f t="shared" si="24"/>
        <v>Valid</v>
      </c>
    </row>
    <row r="313" spans="1:19" x14ac:dyDescent="0.25">
      <c r="A313" s="1">
        <v>45316</v>
      </c>
      <c r="B313" s="1" t="str">
        <f t="shared" si="20"/>
        <v>2024-01</v>
      </c>
      <c r="C313" t="s">
        <v>14</v>
      </c>
      <c r="D313" t="s">
        <v>15</v>
      </c>
      <c r="E313" t="s">
        <v>22</v>
      </c>
      <c r="F313" t="s">
        <v>17</v>
      </c>
      <c r="G313" s="4">
        <v>50203</v>
      </c>
      <c r="H313" s="4">
        <v>1390</v>
      </c>
      <c r="I313" s="5">
        <v>2.7699999999999999E-2</v>
      </c>
      <c r="J313" s="2">
        <v>1.95</v>
      </c>
      <c r="K313" s="6">
        <v>2710.5</v>
      </c>
      <c r="L313" s="4">
        <v>47</v>
      </c>
      <c r="M313" s="2">
        <v>57.67</v>
      </c>
      <c r="N313" s="6">
        <v>11338.98</v>
      </c>
      <c r="O313" s="6">
        <f t="shared" si="21"/>
        <v>8628.48</v>
      </c>
      <c r="P313" s="6">
        <f t="shared" si="22"/>
        <v>3.1833536247924736</v>
      </c>
      <c r="Q313" s="3">
        <v>4.18</v>
      </c>
      <c r="R313" t="str">
        <f t="shared" si="23"/>
        <v>High</v>
      </c>
      <c r="S313" t="str">
        <f t="shared" si="24"/>
        <v>Valid</v>
      </c>
    </row>
    <row r="314" spans="1:19" x14ac:dyDescent="0.25">
      <c r="A314" s="1">
        <v>45305</v>
      </c>
      <c r="B314" s="1" t="str">
        <f t="shared" si="20"/>
        <v>2024-01</v>
      </c>
      <c r="C314" t="s">
        <v>18</v>
      </c>
      <c r="D314" t="s">
        <v>15</v>
      </c>
      <c r="E314" t="s">
        <v>25</v>
      </c>
      <c r="F314" t="s">
        <v>31</v>
      </c>
      <c r="G314" s="4">
        <v>85428</v>
      </c>
      <c r="H314" s="4">
        <v>5134</v>
      </c>
      <c r="I314" s="5">
        <v>6.0100000000000001E-2</v>
      </c>
      <c r="J314" s="2">
        <v>0.86</v>
      </c>
      <c r="K314" s="6">
        <v>4415.24</v>
      </c>
      <c r="L314" s="4">
        <v>202</v>
      </c>
      <c r="M314" s="2">
        <v>21.86</v>
      </c>
      <c r="N314" s="6">
        <v>37603.74</v>
      </c>
      <c r="O314" s="6">
        <f t="shared" si="21"/>
        <v>33188.5</v>
      </c>
      <c r="P314" s="6">
        <f t="shared" si="22"/>
        <v>7.5168054284704802</v>
      </c>
      <c r="Q314" s="3">
        <v>8.52</v>
      </c>
      <c r="R314" t="str">
        <f t="shared" si="23"/>
        <v>High</v>
      </c>
      <c r="S314" t="str">
        <f t="shared" si="24"/>
        <v>Valid</v>
      </c>
    </row>
    <row r="315" spans="1:19" x14ac:dyDescent="0.25">
      <c r="A315" s="1">
        <v>45417</v>
      </c>
      <c r="B315" s="1" t="str">
        <f t="shared" si="20"/>
        <v>2024-05</v>
      </c>
      <c r="C315" t="s">
        <v>18</v>
      </c>
      <c r="D315" t="s">
        <v>21</v>
      </c>
      <c r="E315" t="s">
        <v>19</v>
      </c>
      <c r="F315" t="s">
        <v>17</v>
      </c>
      <c r="G315" s="4">
        <v>192428</v>
      </c>
      <c r="H315" s="4">
        <v>9967</v>
      </c>
      <c r="I315" s="5">
        <v>5.1799999999999999E-2</v>
      </c>
      <c r="J315" s="2">
        <v>1.6</v>
      </c>
      <c r="K315" s="6">
        <v>15947.2</v>
      </c>
      <c r="L315" s="4">
        <v>570</v>
      </c>
      <c r="M315" s="2">
        <v>27.98</v>
      </c>
      <c r="N315" s="6">
        <v>78044.55</v>
      </c>
      <c r="O315" s="6">
        <f t="shared" si="21"/>
        <v>62097.350000000006</v>
      </c>
      <c r="P315" s="6">
        <f t="shared" si="22"/>
        <v>3.8939343583826629</v>
      </c>
      <c r="Q315" s="3">
        <v>4.8899999999999997</v>
      </c>
      <c r="R315" t="str">
        <f t="shared" si="23"/>
        <v>High</v>
      </c>
      <c r="S315" t="str">
        <f t="shared" si="24"/>
        <v>Valid</v>
      </c>
    </row>
    <row r="316" spans="1:19" x14ac:dyDescent="0.25">
      <c r="A316" s="1">
        <v>45523</v>
      </c>
      <c r="B316" s="1" t="str">
        <f t="shared" si="20"/>
        <v>2024-08</v>
      </c>
      <c r="C316" t="s">
        <v>14</v>
      </c>
      <c r="D316" t="s">
        <v>24</v>
      </c>
      <c r="E316" t="s">
        <v>22</v>
      </c>
      <c r="F316" t="s">
        <v>20</v>
      </c>
      <c r="G316" s="4">
        <v>33756</v>
      </c>
      <c r="H316" s="4">
        <v>2150</v>
      </c>
      <c r="I316" s="5">
        <v>6.3700000000000007E-2</v>
      </c>
      <c r="J316" s="2">
        <v>2.17</v>
      </c>
      <c r="K316" s="6">
        <v>4665.5</v>
      </c>
      <c r="L316" s="4">
        <v>108</v>
      </c>
      <c r="M316" s="2">
        <v>43.2</v>
      </c>
      <c r="N316" s="6">
        <v>7948.11</v>
      </c>
      <c r="O316" s="6">
        <f t="shared" si="21"/>
        <v>3282.6099999999997</v>
      </c>
      <c r="P316" s="6">
        <f t="shared" si="22"/>
        <v>0.70359232665309179</v>
      </c>
      <c r="Q316" s="3">
        <v>1.7</v>
      </c>
      <c r="R316" t="str">
        <f t="shared" si="23"/>
        <v>Medium</v>
      </c>
      <c r="S316" t="str">
        <f t="shared" si="24"/>
        <v>Valid</v>
      </c>
    </row>
    <row r="317" spans="1:19" x14ac:dyDescent="0.25">
      <c r="A317" s="1">
        <v>45379</v>
      </c>
      <c r="B317" s="1" t="str">
        <f t="shared" si="20"/>
        <v>2024-03</v>
      </c>
      <c r="C317" t="s">
        <v>28</v>
      </c>
      <c r="D317" t="s">
        <v>21</v>
      </c>
      <c r="E317" t="s">
        <v>16</v>
      </c>
      <c r="F317" t="s">
        <v>17</v>
      </c>
      <c r="G317" s="4">
        <v>103162</v>
      </c>
      <c r="H317" s="4">
        <v>1485</v>
      </c>
      <c r="I317" s="5">
        <v>1.44E-2</v>
      </c>
      <c r="J317" s="2">
        <v>0.97</v>
      </c>
      <c r="K317" s="6">
        <v>1440.45</v>
      </c>
      <c r="L317" s="4">
        <v>35</v>
      </c>
      <c r="M317" s="2">
        <v>41.16</v>
      </c>
      <c r="N317" s="6">
        <v>5899.5</v>
      </c>
      <c r="O317" s="6">
        <f t="shared" si="21"/>
        <v>4459.05</v>
      </c>
      <c r="P317" s="6">
        <f t="shared" si="22"/>
        <v>3.0955951265229618</v>
      </c>
      <c r="Q317" s="3">
        <v>4.0999999999999996</v>
      </c>
      <c r="R317" t="str">
        <f t="shared" si="23"/>
        <v>High</v>
      </c>
      <c r="S317" t="str">
        <f t="shared" si="24"/>
        <v>Valid</v>
      </c>
    </row>
    <row r="318" spans="1:19" x14ac:dyDescent="0.25">
      <c r="A318" s="1">
        <v>45537</v>
      </c>
      <c r="B318" s="1" t="str">
        <f t="shared" si="20"/>
        <v>2024-09</v>
      </c>
      <c r="C318" t="s">
        <v>14</v>
      </c>
      <c r="D318" t="s">
        <v>15</v>
      </c>
      <c r="E318" t="s">
        <v>19</v>
      </c>
      <c r="F318" t="s">
        <v>17</v>
      </c>
      <c r="G318" s="4">
        <v>142844</v>
      </c>
      <c r="H318" s="4">
        <v>2971</v>
      </c>
      <c r="I318" s="5">
        <v>2.0799999999999999E-2</v>
      </c>
      <c r="J318" s="2">
        <v>1.69</v>
      </c>
      <c r="K318" s="6">
        <v>5020.99</v>
      </c>
      <c r="L318" s="4">
        <v>95</v>
      </c>
      <c r="M318" s="2">
        <v>52.85</v>
      </c>
      <c r="N318" s="6">
        <v>5534.94</v>
      </c>
      <c r="O318" s="6">
        <f t="shared" si="21"/>
        <v>513.94999999999982</v>
      </c>
      <c r="P318" s="6">
        <f t="shared" si="22"/>
        <v>0.10236029149629851</v>
      </c>
      <c r="Q318" s="3">
        <v>1.1000000000000001</v>
      </c>
      <c r="R318" t="str">
        <f t="shared" si="23"/>
        <v>Medium</v>
      </c>
      <c r="S318" t="str">
        <f t="shared" si="24"/>
        <v>Valid</v>
      </c>
    </row>
    <row r="319" spans="1:19" x14ac:dyDescent="0.25">
      <c r="A319" s="1">
        <v>45443</v>
      </c>
      <c r="B319" s="1" t="str">
        <f t="shared" si="20"/>
        <v>2024-05</v>
      </c>
      <c r="C319" t="s">
        <v>14</v>
      </c>
      <c r="D319" t="s">
        <v>15</v>
      </c>
      <c r="E319" t="s">
        <v>16</v>
      </c>
      <c r="F319" t="s">
        <v>23</v>
      </c>
      <c r="G319" s="4">
        <v>50201</v>
      </c>
      <c r="H319" s="4">
        <v>2198</v>
      </c>
      <c r="I319" s="5">
        <v>4.3799999999999999E-2</v>
      </c>
      <c r="J319" s="2">
        <v>2.25</v>
      </c>
      <c r="K319" s="6">
        <v>4945.5</v>
      </c>
      <c r="L319" s="4">
        <v>112</v>
      </c>
      <c r="M319" s="2">
        <v>44.16</v>
      </c>
      <c r="N319" s="6">
        <v>12918.19</v>
      </c>
      <c r="O319" s="6">
        <f t="shared" si="21"/>
        <v>7972.6900000000005</v>
      </c>
      <c r="P319" s="6">
        <f t="shared" si="22"/>
        <v>1.61210999898898</v>
      </c>
      <c r="Q319" s="3">
        <v>2.61</v>
      </c>
      <c r="R319" t="str">
        <f t="shared" si="23"/>
        <v>Medium</v>
      </c>
      <c r="S319" t="str">
        <f t="shared" si="24"/>
        <v>Valid</v>
      </c>
    </row>
    <row r="320" spans="1:19" x14ac:dyDescent="0.25">
      <c r="A320" s="1">
        <v>45307</v>
      </c>
      <c r="B320" s="1" t="str">
        <f t="shared" si="20"/>
        <v>2024-01</v>
      </c>
      <c r="C320" t="s">
        <v>28</v>
      </c>
      <c r="D320" t="s">
        <v>21</v>
      </c>
      <c r="E320" t="s">
        <v>16</v>
      </c>
      <c r="F320" t="s">
        <v>23</v>
      </c>
      <c r="G320" s="4">
        <v>143421</v>
      </c>
      <c r="H320" s="4">
        <v>3542</v>
      </c>
      <c r="I320" s="5">
        <v>2.47E-2</v>
      </c>
      <c r="J320" s="2">
        <v>0.86</v>
      </c>
      <c r="K320" s="6">
        <v>3046.12</v>
      </c>
      <c r="L320" s="4">
        <v>181</v>
      </c>
      <c r="M320" s="2">
        <v>16.829999999999998</v>
      </c>
      <c r="N320" s="6">
        <v>26273.040000000001</v>
      </c>
      <c r="O320" s="6">
        <f t="shared" si="21"/>
        <v>23226.920000000002</v>
      </c>
      <c r="P320" s="6">
        <f t="shared" si="22"/>
        <v>7.6250837130513585</v>
      </c>
      <c r="Q320" s="3">
        <v>8.6300000000000008</v>
      </c>
      <c r="R320" t="str">
        <f t="shared" si="23"/>
        <v>High</v>
      </c>
      <c r="S320" t="str">
        <f t="shared" si="24"/>
        <v>Valid</v>
      </c>
    </row>
    <row r="321" spans="1:19" x14ac:dyDescent="0.25">
      <c r="A321" s="1">
        <v>45578</v>
      </c>
      <c r="B321" s="1" t="str">
        <f t="shared" si="20"/>
        <v>2024-10</v>
      </c>
      <c r="C321" t="s">
        <v>28</v>
      </c>
      <c r="D321" t="s">
        <v>24</v>
      </c>
      <c r="E321" t="s">
        <v>16</v>
      </c>
      <c r="F321" t="s">
        <v>32</v>
      </c>
      <c r="G321" s="4">
        <v>71537</v>
      </c>
      <c r="H321" s="4">
        <v>1809</v>
      </c>
      <c r="I321" s="5">
        <v>2.53E-2</v>
      </c>
      <c r="J321" s="2">
        <v>1.65</v>
      </c>
      <c r="K321" s="6">
        <v>2984.85</v>
      </c>
      <c r="L321" s="4">
        <v>57</v>
      </c>
      <c r="M321" s="2">
        <v>52.37</v>
      </c>
      <c r="N321" s="6">
        <v>6227.5</v>
      </c>
      <c r="O321" s="6">
        <f t="shared" si="21"/>
        <v>3242.65</v>
      </c>
      <c r="P321" s="6">
        <f t="shared" si="22"/>
        <v>1.0863694993048227</v>
      </c>
      <c r="Q321" s="3">
        <v>2.09</v>
      </c>
      <c r="R321" t="str">
        <f t="shared" si="23"/>
        <v>Medium</v>
      </c>
      <c r="S321" t="str">
        <f t="shared" si="24"/>
        <v>Valid</v>
      </c>
    </row>
    <row r="322" spans="1:19" x14ac:dyDescent="0.25">
      <c r="A322" s="1">
        <v>45599</v>
      </c>
      <c r="B322" s="1" t="str">
        <f t="shared" si="20"/>
        <v>2024-11</v>
      </c>
      <c r="C322" t="s">
        <v>14</v>
      </c>
      <c r="D322" t="s">
        <v>21</v>
      </c>
      <c r="E322" t="s">
        <v>16</v>
      </c>
      <c r="F322" t="s">
        <v>23</v>
      </c>
      <c r="G322" s="4">
        <v>198604</v>
      </c>
      <c r="H322" s="4">
        <v>8162</v>
      </c>
      <c r="I322" s="5">
        <v>4.1099999999999998E-2</v>
      </c>
      <c r="J322" s="2">
        <v>3.1</v>
      </c>
      <c r="K322" s="6">
        <v>25302.2</v>
      </c>
      <c r="L322" s="4">
        <v>584</v>
      </c>
      <c r="M322" s="2">
        <v>43.33</v>
      </c>
      <c r="N322" s="6">
        <v>25281.15</v>
      </c>
      <c r="O322" s="6">
        <f t="shared" si="21"/>
        <v>-21.049999999999272</v>
      </c>
      <c r="P322" s="6">
        <f t="shared" si="22"/>
        <v>-8.3194346736644527E-4</v>
      </c>
      <c r="Q322" s="3">
        <v>1</v>
      </c>
      <c r="R322" t="str">
        <f t="shared" si="23"/>
        <v>Medium</v>
      </c>
      <c r="S322" t="str">
        <f t="shared" si="24"/>
        <v>Valid</v>
      </c>
    </row>
    <row r="323" spans="1:19" x14ac:dyDescent="0.25">
      <c r="A323" s="1">
        <v>45390</v>
      </c>
      <c r="B323" s="1" t="str">
        <f t="shared" ref="B323:B386" si="25">TEXT(A323, "yyyy-mm")</f>
        <v>2024-04</v>
      </c>
      <c r="C323" t="s">
        <v>14</v>
      </c>
      <c r="D323" t="s">
        <v>15</v>
      </c>
      <c r="E323" t="s">
        <v>22</v>
      </c>
      <c r="F323" t="s">
        <v>27</v>
      </c>
      <c r="G323" s="4">
        <v>114028</v>
      </c>
      <c r="H323" s="4">
        <v>3112</v>
      </c>
      <c r="I323" s="5">
        <v>2.7300000000000001E-2</v>
      </c>
      <c r="J323" s="2">
        <v>1.36</v>
      </c>
      <c r="K323" s="6">
        <v>4232.32</v>
      </c>
      <c r="L323" s="4">
        <v>120</v>
      </c>
      <c r="M323" s="2">
        <v>35.270000000000003</v>
      </c>
      <c r="N323" s="6">
        <v>10393.959999999999</v>
      </c>
      <c r="O323" s="6">
        <f t="shared" ref="O323:O386" si="26">N323-K323</f>
        <v>6161.6399999999994</v>
      </c>
      <c r="P323" s="6">
        <f t="shared" ref="P323:P386" si="27">IFERROR(O323/K323, "")</f>
        <v>1.4558539996975655</v>
      </c>
      <c r="Q323" s="3">
        <v>2.46</v>
      </c>
      <c r="R323" t="str">
        <f t="shared" ref="R323:R386" si="28">IF(Q323 &gt;= 3, "High", IF(Q323&gt;=1, "Medium", "Low"))</f>
        <v>Medium</v>
      </c>
      <c r="S323" t="str">
        <f t="shared" ref="S323:S386" si="29">IF(OR(G323=0, H323&gt;G323, L323&gt;H323), "Invalid", "Valid")</f>
        <v>Valid</v>
      </c>
    </row>
    <row r="324" spans="1:19" x14ac:dyDescent="0.25">
      <c r="A324" s="1">
        <v>45448</v>
      </c>
      <c r="B324" s="1" t="str">
        <f t="shared" si="25"/>
        <v>2024-06</v>
      </c>
      <c r="C324" t="s">
        <v>18</v>
      </c>
      <c r="D324" t="s">
        <v>21</v>
      </c>
      <c r="E324" t="s">
        <v>22</v>
      </c>
      <c r="F324" t="s">
        <v>32</v>
      </c>
      <c r="G324" s="4">
        <v>180309</v>
      </c>
      <c r="H324" s="4">
        <v>5823</v>
      </c>
      <c r="I324" s="5">
        <v>3.2300000000000002E-2</v>
      </c>
      <c r="J324" s="2">
        <v>0.65</v>
      </c>
      <c r="K324" s="6">
        <v>3784.95</v>
      </c>
      <c r="L324" s="4">
        <v>232</v>
      </c>
      <c r="M324" s="2">
        <v>16.309999999999999</v>
      </c>
      <c r="N324" s="6">
        <v>46549.68</v>
      </c>
      <c r="O324" s="6">
        <f t="shared" si="26"/>
        <v>42764.73</v>
      </c>
      <c r="P324" s="6">
        <f t="shared" si="27"/>
        <v>11.29862481670828</v>
      </c>
      <c r="Q324" s="3">
        <v>12.3</v>
      </c>
      <c r="R324" t="str">
        <f t="shared" si="28"/>
        <v>High</v>
      </c>
      <c r="S324" t="str">
        <f t="shared" si="29"/>
        <v>Valid</v>
      </c>
    </row>
    <row r="325" spans="1:19" x14ac:dyDescent="0.25">
      <c r="A325" s="1">
        <v>45373</v>
      </c>
      <c r="B325" s="1" t="str">
        <f t="shared" si="25"/>
        <v>2024-03</v>
      </c>
      <c r="C325" t="s">
        <v>28</v>
      </c>
      <c r="D325" t="s">
        <v>21</v>
      </c>
      <c r="E325" t="s">
        <v>25</v>
      </c>
      <c r="F325" t="s">
        <v>27</v>
      </c>
      <c r="G325" s="4">
        <v>168402</v>
      </c>
      <c r="H325" s="4">
        <v>5237</v>
      </c>
      <c r="I325" s="5">
        <v>3.1099999999999999E-2</v>
      </c>
      <c r="J325" s="2">
        <v>0.85</v>
      </c>
      <c r="K325" s="6">
        <v>4451.45</v>
      </c>
      <c r="L325" s="4">
        <v>188</v>
      </c>
      <c r="M325" s="2">
        <v>23.68</v>
      </c>
      <c r="N325" s="6">
        <v>43774.92</v>
      </c>
      <c r="O325" s="6">
        <f t="shared" si="26"/>
        <v>39323.47</v>
      </c>
      <c r="P325" s="6">
        <f t="shared" si="27"/>
        <v>8.8338563838749184</v>
      </c>
      <c r="Q325" s="3">
        <v>9.83</v>
      </c>
      <c r="R325" t="str">
        <f t="shared" si="28"/>
        <v>High</v>
      </c>
      <c r="S325" t="str">
        <f t="shared" si="29"/>
        <v>Valid</v>
      </c>
    </row>
    <row r="326" spans="1:19" x14ac:dyDescent="0.25">
      <c r="A326" s="1">
        <v>45649</v>
      </c>
      <c r="B326" s="1" t="str">
        <f t="shared" si="25"/>
        <v>2024-12</v>
      </c>
      <c r="C326" t="s">
        <v>18</v>
      </c>
      <c r="D326" t="s">
        <v>21</v>
      </c>
      <c r="E326" t="s">
        <v>30</v>
      </c>
      <c r="F326" t="s">
        <v>27</v>
      </c>
      <c r="G326" s="4">
        <v>125419</v>
      </c>
      <c r="H326" s="4">
        <v>4126</v>
      </c>
      <c r="I326" s="5">
        <v>3.2899999999999999E-2</v>
      </c>
      <c r="J326" s="2">
        <v>0.85</v>
      </c>
      <c r="K326" s="6">
        <v>3507.1</v>
      </c>
      <c r="L326" s="4">
        <v>294</v>
      </c>
      <c r="M326" s="2">
        <v>11.93</v>
      </c>
      <c r="N326" s="6">
        <v>32829.78</v>
      </c>
      <c r="O326" s="6">
        <f t="shared" si="26"/>
        <v>29322.68</v>
      </c>
      <c r="P326" s="6">
        <f t="shared" si="27"/>
        <v>8.3609477916227082</v>
      </c>
      <c r="Q326" s="3">
        <v>9.36</v>
      </c>
      <c r="R326" t="str">
        <f t="shared" si="28"/>
        <v>High</v>
      </c>
      <c r="S326" t="str">
        <f t="shared" si="29"/>
        <v>Valid</v>
      </c>
    </row>
    <row r="327" spans="1:19" x14ac:dyDescent="0.25">
      <c r="A327" s="1">
        <v>45327</v>
      </c>
      <c r="B327" s="1" t="str">
        <f t="shared" si="25"/>
        <v>2024-02</v>
      </c>
      <c r="C327" t="s">
        <v>18</v>
      </c>
      <c r="D327" t="s">
        <v>21</v>
      </c>
      <c r="E327" t="s">
        <v>25</v>
      </c>
      <c r="F327" t="s">
        <v>20</v>
      </c>
      <c r="G327" s="4">
        <v>123680</v>
      </c>
      <c r="H327" s="4">
        <v>8373</v>
      </c>
      <c r="I327" s="5">
        <v>6.7699999999999996E-2</v>
      </c>
      <c r="J327" s="2">
        <v>0.6</v>
      </c>
      <c r="K327" s="6">
        <v>5023.8</v>
      </c>
      <c r="L327" s="4">
        <v>263</v>
      </c>
      <c r="M327" s="2">
        <v>19.100000000000001</v>
      </c>
      <c r="N327" s="6">
        <v>12412.26</v>
      </c>
      <c r="O327" s="6">
        <f t="shared" si="26"/>
        <v>7388.46</v>
      </c>
      <c r="P327" s="6">
        <f t="shared" si="27"/>
        <v>1.470691508419921</v>
      </c>
      <c r="Q327" s="3">
        <v>2.4700000000000002</v>
      </c>
      <c r="R327" t="str">
        <f t="shared" si="28"/>
        <v>Medium</v>
      </c>
      <c r="S327" t="str">
        <f t="shared" si="29"/>
        <v>Valid</v>
      </c>
    </row>
    <row r="328" spans="1:19" x14ac:dyDescent="0.25">
      <c r="A328" s="1">
        <v>45467</v>
      </c>
      <c r="B328" s="1" t="str">
        <f t="shared" si="25"/>
        <v>2024-06</v>
      </c>
      <c r="C328" t="s">
        <v>14</v>
      </c>
      <c r="D328" t="s">
        <v>15</v>
      </c>
      <c r="E328" t="s">
        <v>16</v>
      </c>
      <c r="F328" t="s">
        <v>20</v>
      </c>
      <c r="G328" s="4">
        <v>117660</v>
      </c>
      <c r="H328" s="4">
        <v>6388</v>
      </c>
      <c r="I328" s="5">
        <v>5.4300000000000001E-2</v>
      </c>
      <c r="J328" s="2">
        <v>1.81</v>
      </c>
      <c r="K328" s="6">
        <v>11562.28</v>
      </c>
      <c r="L328" s="4">
        <v>331</v>
      </c>
      <c r="M328" s="2">
        <v>34.93</v>
      </c>
      <c r="N328" s="6">
        <v>17255.28</v>
      </c>
      <c r="O328" s="6">
        <f t="shared" si="26"/>
        <v>5692.9999999999982</v>
      </c>
      <c r="P328" s="6">
        <f t="shared" si="27"/>
        <v>0.49237693603683685</v>
      </c>
      <c r="Q328" s="3">
        <v>1.49</v>
      </c>
      <c r="R328" t="str">
        <f t="shared" si="28"/>
        <v>Medium</v>
      </c>
      <c r="S328" t="str">
        <f t="shared" si="29"/>
        <v>Valid</v>
      </c>
    </row>
    <row r="329" spans="1:19" x14ac:dyDescent="0.25">
      <c r="A329" s="1">
        <v>45537</v>
      </c>
      <c r="B329" s="1" t="str">
        <f t="shared" si="25"/>
        <v>2024-09</v>
      </c>
      <c r="C329" t="s">
        <v>28</v>
      </c>
      <c r="D329" t="s">
        <v>21</v>
      </c>
      <c r="E329" t="s">
        <v>16</v>
      </c>
      <c r="F329" t="s">
        <v>27</v>
      </c>
      <c r="G329" s="4">
        <v>76916</v>
      </c>
      <c r="H329" s="4">
        <v>2761</v>
      </c>
      <c r="I329" s="5">
        <v>3.5900000000000001E-2</v>
      </c>
      <c r="J329" s="2">
        <v>0.71</v>
      </c>
      <c r="K329" s="6">
        <v>1960.31</v>
      </c>
      <c r="L329" s="4">
        <v>64</v>
      </c>
      <c r="M329" s="2">
        <v>30.63</v>
      </c>
      <c r="N329" s="6">
        <v>14368.24</v>
      </c>
      <c r="O329" s="6">
        <f t="shared" si="26"/>
        <v>12407.93</v>
      </c>
      <c r="P329" s="6">
        <f t="shared" si="27"/>
        <v>6.329575424295137</v>
      </c>
      <c r="Q329" s="3">
        <v>7.33</v>
      </c>
      <c r="R329" t="str">
        <f t="shared" si="28"/>
        <v>High</v>
      </c>
      <c r="S329" t="str">
        <f t="shared" si="29"/>
        <v>Valid</v>
      </c>
    </row>
    <row r="330" spans="1:19" x14ac:dyDescent="0.25">
      <c r="A330" s="1">
        <v>45339</v>
      </c>
      <c r="B330" s="1" t="str">
        <f t="shared" si="25"/>
        <v>2024-02</v>
      </c>
      <c r="C330" t="s">
        <v>28</v>
      </c>
      <c r="D330" t="s">
        <v>21</v>
      </c>
      <c r="E330" t="s">
        <v>30</v>
      </c>
      <c r="F330" t="s">
        <v>27</v>
      </c>
      <c r="G330" s="4">
        <v>150631</v>
      </c>
      <c r="H330" s="4">
        <v>5648</v>
      </c>
      <c r="I330" s="5">
        <v>3.7499999999999999E-2</v>
      </c>
      <c r="J330" s="2">
        <v>1.94</v>
      </c>
      <c r="K330" s="6">
        <v>10957.12</v>
      </c>
      <c r="L330" s="4">
        <v>111</v>
      </c>
      <c r="M330" s="2">
        <v>98.71</v>
      </c>
      <c r="N330" s="6">
        <v>21671.9</v>
      </c>
      <c r="O330" s="6">
        <f t="shared" si="26"/>
        <v>10714.78</v>
      </c>
      <c r="P330" s="6">
        <f t="shared" si="27"/>
        <v>0.97788287433194121</v>
      </c>
      <c r="Q330" s="3">
        <v>1.98</v>
      </c>
      <c r="R330" t="str">
        <f t="shared" si="28"/>
        <v>Medium</v>
      </c>
      <c r="S330" t="str">
        <f t="shared" si="29"/>
        <v>Valid</v>
      </c>
    </row>
    <row r="331" spans="1:19" x14ac:dyDescent="0.25">
      <c r="A331" s="1">
        <v>45341</v>
      </c>
      <c r="B331" s="1" t="str">
        <f t="shared" si="25"/>
        <v>2024-02</v>
      </c>
      <c r="C331" t="s">
        <v>14</v>
      </c>
      <c r="D331" t="s">
        <v>29</v>
      </c>
      <c r="E331" t="s">
        <v>16</v>
      </c>
      <c r="F331" t="s">
        <v>32</v>
      </c>
      <c r="G331" s="4">
        <v>126635</v>
      </c>
      <c r="H331" s="4">
        <v>4254</v>
      </c>
      <c r="I331" s="5">
        <v>3.3599999999999998E-2</v>
      </c>
      <c r="J331" s="2">
        <v>1.33</v>
      </c>
      <c r="K331" s="6">
        <v>5657.82</v>
      </c>
      <c r="L331" s="4">
        <v>313</v>
      </c>
      <c r="M331" s="2">
        <v>18.079999999999998</v>
      </c>
      <c r="N331" s="6">
        <v>28110.42</v>
      </c>
      <c r="O331" s="6">
        <f t="shared" si="26"/>
        <v>22452.6</v>
      </c>
      <c r="P331" s="6">
        <f t="shared" si="27"/>
        <v>3.9684189316733298</v>
      </c>
      <c r="Q331" s="3">
        <v>4.97</v>
      </c>
      <c r="R331" t="str">
        <f t="shared" si="28"/>
        <v>High</v>
      </c>
      <c r="S331" t="str">
        <f t="shared" si="29"/>
        <v>Valid</v>
      </c>
    </row>
    <row r="332" spans="1:19" x14ac:dyDescent="0.25">
      <c r="A332" s="1">
        <v>45640</v>
      </c>
      <c r="B332" s="1" t="str">
        <f t="shared" si="25"/>
        <v>2024-12</v>
      </c>
      <c r="C332" t="s">
        <v>14</v>
      </c>
      <c r="D332" t="s">
        <v>21</v>
      </c>
      <c r="E332" t="s">
        <v>19</v>
      </c>
      <c r="F332" t="s">
        <v>31</v>
      </c>
      <c r="G332" s="4">
        <v>159721</v>
      </c>
      <c r="H332" s="4">
        <v>3625</v>
      </c>
      <c r="I332" s="5">
        <v>2.2700000000000001E-2</v>
      </c>
      <c r="J332" s="2">
        <v>1.91</v>
      </c>
      <c r="K332" s="6">
        <v>6923.75</v>
      </c>
      <c r="L332" s="4">
        <v>150</v>
      </c>
      <c r="M332" s="2">
        <v>46.16</v>
      </c>
      <c r="N332" s="6">
        <v>39701.58</v>
      </c>
      <c r="O332" s="6">
        <f t="shared" si="26"/>
        <v>32777.83</v>
      </c>
      <c r="P332" s="6">
        <f t="shared" si="27"/>
        <v>4.7341151832460735</v>
      </c>
      <c r="Q332" s="3">
        <v>5.73</v>
      </c>
      <c r="R332" t="str">
        <f t="shared" si="28"/>
        <v>High</v>
      </c>
      <c r="S332" t="str">
        <f t="shared" si="29"/>
        <v>Valid</v>
      </c>
    </row>
    <row r="333" spans="1:19" x14ac:dyDescent="0.25">
      <c r="A333" s="1">
        <v>45536</v>
      </c>
      <c r="B333" s="1" t="str">
        <f t="shared" si="25"/>
        <v>2024-09</v>
      </c>
      <c r="C333" t="s">
        <v>28</v>
      </c>
      <c r="D333" t="s">
        <v>24</v>
      </c>
      <c r="E333" t="s">
        <v>22</v>
      </c>
      <c r="F333" t="s">
        <v>17</v>
      </c>
      <c r="G333" s="4">
        <v>150698</v>
      </c>
      <c r="H333" s="4">
        <v>4581</v>
      </c>
      <c r="I333" s="5">
        <v>3.04E-2</v>
      </c>
      <c r="J333" s="2">
        <v>0.51</v>
      </c>
      <c r="K333" s="6">
        <v>2336.31</v>
      </c>
      <c r="L333" s="4">
        <v>285</v>
      </c>
      <c r="M333" s="2">
        <v>8.1999999999999993</v>
      </c>
      <c r="N333" s="6">
        <v>32525.45</v>
      </c>
      <c r="O333" s="6">
        <f t="shared" si="26"/>
        <v>30189.14</v>
      </c>
      <c r="P333" s="6">
        <f t="shared" si="27"/>
        <v>12.921718436337644</v>
      </c>
      <c r="Q333" s="3">
        <v>13.92</v>
      </c>
      <c r="R333" t="str">
        <f t="shared" si="28"/>
        <v>High</v>
      </c>
      <c r="S333" t="str">
        <f t="shared" si="29"/>
        <v>Valid</v>
      </c>
    </row>
    <row r="334" spans="1:19" x14ac:dyDescent="0.25">
      <c r="A334" s="1">
        <v>45396</v>
      </c>
      <c r="B334" s="1" t="str">
        <f t="shared" si="25"/>
        <v>2024-04</v>
      </c>
      <c r="C334" t="s">
        <v>18</v>
      </c>
      <c r="D334" t="s">
        <v>15</v>
      </c>
      <c r="E334" t="s">
        <v>19</v>
      </c>
      <c r="F334" t="s">
        <v>27</v>
      </c>
      <c r="G334" s="4">
        <v>98348</v>
      </c>
      <c r="H334" s="4">
        <v>3225</v>
      </c>
      <c r="I334" s="5">
        <v>3.2800000000000003E-2</v>
      </c>
      <c r="J334" s="2">
        <v>1.27</v>
      </c>
      <c r="K334" s="6">
        <v>4095.75</v>
      </c>
      <c r="L334" s="4">
        <v>59</v>
      </c>
      <c r="M334" s="2">
        <v>69.42</v>
      </c>
      <c r="N334" s="6">
        <v>2846.94</v>
      </c>
      <c r="O334" s="6">
        <f t="shared" si="26"/>
        <v>-1248.81</v>
      </c>
      <c r="P334" s="6">
        <f t="shared" si="27"/>
        <v>-0.30490386376121587</v>
      </c>
      <c r="Q334" s="3">
        <v>0.7</v>
      </c>
      <c r="R334" t="str">
        <f t="shared" si="28"/>
        <v>Low</v>
      </c>
      <c r="S334" t="str">
        <f t="shared" si="29"/>
        <v>Valid</v>
      </c>
    </row>
    <row r="335" spans="1:19" x14ac:dyDescent="0.25">
      <c r="A335" s="1">
        <v>45507</v>
      </c>
      <c r="B335" s="1" t="str">
        <f t="shared" si="25"/>
        <v>2024-08</v>
      </c>
      <c r="C335" t="s">
        <v>28</v>
      </c>
      <c r="D335" t="s">
        <v>15</v>
      </c>
      <c r="E335" t="s">
        <v>30</v>
      </c>
      <c r="F335" t="s">
        <v>23</v>
      </c>
      <c r="G335" s="4">
        <v>110603</v>
      </c>
      <c r="H335" s="4">
        <v>2377</v>
      </c>
      <c r="I335" s="5">
        <v>2.1499999999999998E-2</v>
      </c>
      <c r="J335" s="2">
        <v>0.69</v>
      </c>
      <c r="K335" s="6">
        <v>1640.13</v>
      </c>
      <c r="L335" s="4">
        <v>62</v>
      </c>
      <c r="M335" s="2">
        <v>26.45</v>
      </c>
      <c r="N335" s="6">
        <v>2761.12</v>
      </c>
      <c r="O335" s="6">
        <f t="shared" si="26"/>
        <v>1120.9899999999998</v>
      </c>
      <c r="P335" s="6">
        <f t="shared" si="27"/>
        <v>0.68347630980471041</v>
      </c>
      <c r="Q335" s="3">
        <v>1.68</v>
      </c>
      <c r="R335" t="str">
        <f t="shared" si="28"/>
        <v>Medium</v>
      </c>
      <c r="S335" t="str">
        <f t="shared" si="29"/>
        <v>Valid</v>
      </c>
    </row>
    <row r="336" spans="1:19" x14ac:dyDescent="0.25">
      <c r="A336" s="1">
        <v>45309</v>
      </c>
      <c r="B336" s="1" t="str">
        <f t="shared" si="25"/>
        <v>2024-01</v>
      </c>
      <c r="C336" t="s">
        <v>14</v>
      </c>
      <c r="D336" t="s">
        <v>24</v>
      </c>
      <c r="E336" t="s">
        <v>30</v>
      </c>
      <c r="F336" t="s">
        <v>17</v>
      </c>
      <c r="G336" s="4">
        <v>76792</v>
      </c>
      <c r="H336" s="4">
        <v>3317</v>
      </c>
      <c r="I336" s="5">
        <v>4.3200000000000002E-2</v>
      </c>
      <c r="J336" s="2">
        <v>3.1</v>
      </c>
      <c r="K336" s="6">
        <v>10282.700000000001</v>
      </c>
      <c r="L336" s="4">
        <v>262</v>
      </c>
      <c r="M336" s="2">
        <v>39.25</v>
      </c>
      <c r="N336" s="6">
        <v>42043.839999999997</v>
      </c>
      <c r="O336" s="6">
        <f t="shared" si="26"/>
        <v>31761.139999999996</v>
      </c>
      <c r="P336" s="6">
        <f t="shared" si="27"/>
        <v>3.0887937992939589</v>
      </c>
      <c r="Q336" s="3">
        <v>4.09</v>
      </c>
      <c r="R336" t="str">
        <f t="shared" si="28"/>
        <v>High</v>
      </c>
      <c r="S336" t="str">
        <f t="shared" si="29"/>
        <v>Valid</v>
      </c>
    </row>
    <row r="337" spans="1:19" x14ac:dyDescent="0.25">
      <c r="A337" s="1">
        <v>45359</v>
      </c>
      <c r="B337" s="1" t="str">
        <f t="shared" si="25"/>
        <v>2024-03</v>
      </c>
      <c r="C337" t="s">
        <v>18</v>
      </c>
      <c r="D337" t="s">
        <v>24</v>
      </c>
      <c r="E337" t="s">
        <v>25</v>
      </c>
      <c r="F337" t="s">
        <v>23</v>
      </c>
      <c r="G337" s="4">
        <v>44405</v>
      </c>
      <c r="H337" s="4">
        <v>1953</v>
      </c>
      <c r="I337" s="5">
        <v>4.3999999999999997E-2</v>
      </c>
      <c r="J337" s="2">
        <v>1.53</v>
      </c>
      <c r="K337" s="6">
        <v>2988.09</v>
      </c>
      <c r="L337" s="4">
        <v>22</v>
      </c>
      <c r="M337" s="2">
        <v>135.82</v>
      </c>
      <c r="N337" s="6">
        <v>6030.56</v>
      </c>
      <c r="O337" s="6">
        <f t="shared" si="26"/>
        <v>3042.4700000000003</v>
      </c>
      <c r="P337" s="6">
        <f t="shared" si="27"/>
        <v>1.0181989163646343</v>
      </c>
      <c r="Q337" s="3">
        <v>2.02</v>
      </c>
      <c r="R337" t="str">
        <f t="shared" si="28"/>
        <v>Medium</v>
      </c>
      <c r="S337" t="str">
        <f t="shared" si="29"/>
        <v>Valid</v>
      </c>
    </row>
    <row r="338" spans="1:19" x14ac:dyDescent="0.25">
      <c r="A338" s="1">
        <v>45532</v>
      </c>
      <c r="B338" s="1" t="str">
        <f t="shared" si="25"/>
        <v>2024-08</v>
      </c>
      <c r="C338" t="s">
        <v>14</v>
      </c>
      <c r="D338" t="s">
        <v>24</v>
      </c>
      <c r="E338" t="s">
        <v>30</v>
      </c>
      <c r="F338" t="s">
        <v>31</v>
      </c>
      <c r="G338" s="4">
        <v>49462</v>
      </c>
      <c r="H338" s="4">
        <v>1206</v>
      </c>
      <c r="I338" s="5">
        <v>2.4400000000000002E-2</v>
      </c>
      <c r="J338" s="2">
        <v>1.95</v>
      </c>
      <c r="K338" s="6">
        <v>2351.6999999999998</v>
      </c>
      <c r="L338" s="4">
        <v>74</v>
      </c>
      <c r="M338" s="2">
        <v>31.78</v>
      </c>
      <c r="N338" s="6">
        <v>12950.09</v>
      </c>
      <c r="O338" s="6">
        <f t="shared" si="26"/>
        <v>10598.39</v>
      </c>
      <c r="P338" s="6">
        <f t="shared" si="27"/>
        <v>4.5066930305736275</v>
      </c>
      <c r="Q338" s="3">
        <v>5.51</v>
      </c>
      <c r="R338" t="str">
        <f t="shared" si="28"/>
        <v>High</v>
      </c>
      <c r="S338" t="str">
        <f t="shared" si="29"/>
        <v>Valid</v>
      </c>
    </row>
    <row r="339" spans="1:19" x14ac:dyDescent="0.25">
      <c r="A339" s="1">
        <v>45413</v>
      </c>
      <c r="B339" s="1" t="str">
        <f t="shared" si="25"/>
        <v>2024-05</v>
      </c>
      <c r="C339" t="s">
        <v>18</v>
      </c>
      <c r="D339" t="s">
        <v>29</v>
      </c>
      <c r="E339" t="s">
        <v>25</v>
      </c>
      <c r="F339" t="s">
        <v>32</v>
      </c>
      <c r="G339" s="4">
        <v>140440</v>
      </c>
      <c r="H339" s="4">
        <v>11825</v>
      </c>
      <c r="I339" s="5">
        <v>8.4199999999999997E-2</v>
      </c>
      <c r="J339" s="2">
        <v>0.68</v>
      </c>
      <c r="K339" s="6">
        <v>8041</v>
      </c>
      <c r="L339" s="4">
        <v>748</v>
      </c>
      <c r="M339" s="2">
        <v>10.75</v>
      </c>
      <c r="N339" s="6">
        <v>31071.69</v>
      </c>
      <c r="O339" s="6">
        <f t="shared" si="26"/>
        <v>23030.69</v>
      </c>
      <c r="P339" s="6">
        <f t="shared" si="27"/>
        <v>2.8641574431040913</v>
      </c>
      <c r="Q339" s="3">
        <v>3.86</v>
      </c>
      <c r="R339" t="str">
        <f t="shared" si="28"/>
        <v>High</v>
      </c>
      <c r="S339" t="str">
        <f t="shared" si="29"/>
        <v>Valid</v>
      </c>
    </row>
    <row r="340" spans="1:19" x14ac:dyDescent="0.25">
      <c r="A340" s="1">
        <v>45470</v>
      </c>
      <c r="B340" s="1" t="str">
        <f t="shared" si="25"/>
        <v>2024-06</v>
      </c>
      <c r="C340" t="s">
        <v>18</v>
      </c>
      <c r="D340" t="s">
        <v>29</v>
      </c>
      <c r="E340" t="s">
        <v>22</v>
      </c>
      <c r="F340" t="s">
        <v>23</v>
      </c>
      <c r="G340" s="4">
        <v>112392</v>
      </c>
      <c r="H340" s="4">
        <v>4934</v>
      </c>
      <c r="I340" s="5">
        <v>4.3900000000000002E-2</v>
      </c>
      <c r="J340" s="2">
        <v>1.64</v>
      </c>
      <c r="K340" s="6">
        <v>8091.76</v>
      </c>
      <c r="L340" s="4">
        <v>363</v>
      </c>
      <c r="M340" s="2">
        <v>22.29</v>
      </c>
      <c r="N340" s="6">
        <v>91221.43</v>
      </c>
      <c r="O340" s="6">
        <f t="shared" si="26"/>
        <v>83129.67</v>
      </c>
      <c r="P340" s="6">
        <f t="shared" si="27"/>
        <v>10.273373159856446</v>
      </c>
      <c r="Q340" s="3">
        <v>11.27</v>
      </c>
      <c r="R340" t="str">
        <f t="shared" si="28"/>
        <v>High</v>
      </c>
      <c r="S340" t="str">
        <f t="shared" si="29"/>
        <v>Valid</v>
      </c>
    </row>
    <row r="341" spans="1:19" x14ac:dyDescent="0.25">
      <c r="A341" s="1">
        <v>45399</v>
      </c>
      <c r="B341" s="1" t="str">
        <f t="shared" si="25"/>
        <v>2024-04</v>
      </c>
      <c r="C341" t="s">
        <v>18</v>
      </c>
      <c r="D341" t="s">
        <v>24</v>
      </c>
      <c r="E341" t="s">
        <v>22</v>
      </c>
      <c r="F341" t="s">
        <v>32</v>
      </c>
      <c r="G341" s="4">
        <v>125654</v>
      </c>
      <c r="H341" s="4">
        <v>8318</v>
      </c>
      <c r="I341" s="5">
        <v>6.6199999999999995E-2</v>
      </c>
      <c r="J341" s="2">
        <v>0.57999999999999996</v>
      </c>
      <c r="K341" s="6">
        <v>4824.4399999999996</v>
      </c>
      <c r="L341" s="4">
        <v>566</v>
      </c>
      <c r="M341" s="2">
        <v>8.52</v>
      </c>
      <c r="N341" s="6">
        <v>117035.13</v>
      </c>
      <c r="O341" s="6">
        <f t="shared" si="26"/>
        <v>112210.69</v>
      </c>
      <c r="P341" s="6">
        <f t="shared" si="27"/>
        <v>23.258801021465707</v>
      </c>
      <c r="Q341" s="3">
        <v>24.26</v>
      </c>
      <c r="R341" t="str">
        <f t="shared" si="28"/>
        <v>High</v>
      </c>
      <c r="S341" t="str">
        <f t="shared" si="29"/>
        <v>Valid</v>
      </c>
    </row>
    <row r="342" spans="1:19" x14ac:dyDescent="0.25">
      <c r="A342" s="1">
        <v>45489</v>
      </c>
      <c r="B342" s="1" t="str">
        <f t="shared" si="25"/>
        <v>2024-07</v>
      </c>
      <c r="C342" t="s">
        <v>28</v>
      </c>
      <c r="D342" t="s">
        <v>15</v>
      </c>
      <c r="E342" t="s">
        <v>22</v>
      </c>
      <c r="F342" t="s">
        <v>20</v>
      </c>
      <c r="G342" s="4">
        <v>167002</v>
      </c>
      <c r="H342" s="4">
        <v>3406</v>
      </c>
      <c r="I342" s="5">
        <v>2.0400000000000001E-2</v>
      </c>
      <c r="J342" s="2">
        <v>1.83</v>
      </c>
      <c r="K342" s="6">
        <v>6232.98</v>
      </c>
      <c r="L342" s="4">
        <v>76</v>
      </c>
      <c r="M342" s="2">
        <v>82.01</v>
      </c>
      <c r="N342" s="6">
        <v>10328.31</v>
      </c>
      <c r="O342" s="6">
        <f t="shared" si="26"/>
        <v>4095.33</v>
      </c>
      <c r="P342" s="6">
        <f t="shared" si="27"/>
        <v>0.6570420569294303</v>
      </c>
      <c r="Q342" s="3">
        <v>1.66</v>
      </c>
      <c r="R342" t="str">
        <f t="shared" si="28"/>
        <v>Medium</v>
      </c>
      <c r="S342" t="str">
        <f t="shared" si="29"/>
        <v>Valid</v>
      </c>
    </row>
    <row r="343" spans="1:19" x14ac:dyDescent="0.25">
      <c r="A343" s="1">
        <v>45388</v>
      </c>
      <c r="B343" s="1" t="str">
        <f t="shared" si="25"/>
        <v>2024-04</v>
      </c>
      <c r="C343" t="s">
        <v>18</v>
      </c>
      <c r="D343" t="s">
        <v>15</v>
      </c>
      <c r="E343" t="s">
        <v>25</v>
      </c>
      <c r="F343" t="s">
        <v>32</v>
      </c>
      <c r="G343" s="4">
        <v>108247</v>
      </c>
      <c r="H343" s="4">
        <v>6971</v>
      </c>
      <c r="I343" s="5">
        <v>6.4399999999999999E-2</v>
      </c>
      <c r="J343" s="2">
        <v>0.59</v>
      </c>
      <c r="K343" s="6">
        <v>4112.8900000000003</v>
      </c>
      <c r="L343" s="4">
        <v>517</v>
      </c>
      <c r="M343" s="2">
        <v>7.96</v>
      </c>
      <c r="N343" s="6">
        <v>139391.79</v>
      </c>
      <c r="O343" s="6">
        <f t="shared" si="26"/>
        <v>135278.9</v>
      </c>
      <c r="P343" s="6">
        <f t="shared" si="27"/>
        <v>32.891446160728826</v>
      </c>
      <c r="Q343" s="3">
        <v>33.89</v>
      </c>
      <c r="R343" t="str">
        <f t="shared" si="28"/>
        <v>High</v>
      </c>
      <c r="S343" t="str">
        <f t="shared" si="29"/>
        <v>Valid</v>
      </c>
    </row>
    <row r="344" spans="1:19" x14ac:dyDescent="0.25">
      <c r="A344" s="1">
        <v>45396</v>
      </c>
      <c r="B344" s="1" t="str">
        <f t="shared" si="25"/>
        <v>2024-04</v>
      </c>
      <c r="C344" t="s">
        <v>28</v>
      </c>
      <c r="D344" t="s">
        <v>29</v>
      </c>
      <c r="E344" t="s">
        <v>16</v>
      </c>
      <c r="F344" t="s">
        <v>32</v>
      </c>
      <c r="G344" s="4">
        <v>53128</v>
      </c>
      <c r="H344" s="4">
        <v>1678</v>
      </c>
      <c r="I344" s="5">
        <v>3.1600000000000003E-2</v>
      </c>
      <c r="J344" s="2">
        <v>1.51</v>
      </c>
      <c r="K344" s="6">
        <v>2533.7800000000002</v>
      </c>
      <c r="L344" s="4">
        <v>66</v>
      </c>
      <c r="M344" s="2">
        <v>38.39</v>
      </c>
      <c r="N344" s="6">
        <v>19225.18</v>
      </c>
      <c r="O344" s="6">
        <f t="shared" si="26"/>
        <v>16691.400000000001</v>
      </c>
      <c r="P344" s="6">
        <f t="shared" si="27"/>
        <v>6.5875490374065624</v>
      </c>
      <c r="Q344" s="3">
        <v>7.59</v>
      </c>
      <c r="R344" t="str">
        <f t="shared" si="28"/>
        <v>High</v>
      </c>
      <c r="S344" t="str">
        <f t="shared" si="29"/>
        <v>Valid</v>
      </c>
    </row>
    <row r="345" spans="1:19" x14ac:dyDescent="0.25">
      <c r="A345" s="1">
        <v>45323</v>
      </c>
      <c r="B345" s="1" t="str">
        <f t="shared" si="25"/>
        <v>2024-02</v>
      </c>
      <c r="C345" t="s">
        <v>28</v>
      </c>
      <c r="D345" t="s">
        <v>21</v>
      </c>
      <c r="E345" t="s">
        <v>19</v>
      </c>
      <c r="F345" t="s">
        <v>23</v>
      </c>
      <c r="G345" s="4">
        <v>65942</v>
      </c>
      <c r="H345" s="4">
        <v>2044</v>
      </c>
      <c r="I345" s="5">
        <v>3.1E-2</v>
      </c>
      <c r="J345" s="2">
        <v>1.05</v>
      </c>
      <c r="K345" s="6">
        <v>2146.1999999999998</v>
      </c>
      <c r="L345" s="4">
        <v>48</v>
      </c>
      <c r="M345" s="2">
        <v>44.71</v>
      </c>
      <c r="N345" s="6">
        <v>6784.27</v>
      </c>
      <c r="O345" s="6">
        <f t="shared" si="26"/>
        <v>4638.0700000000006</v>
      </c>
      <c r="P345" s="6">
        <f t="shared" si="27"/>
        <v>2.1610614108657167</v>
      </c>
      <c r="Q345" s="3">
        <v>3.16</v>
      </c>
      <c r="R345" t="str">
        <f t="shared" si="28"/>
        <v>High</v>
      </c>
      <c r="S345" t="str">
        <f t="shared" si="29"/>
        <v>Valid</v>
      </c>
    </row>
    <row r="346" spans="1:19" x14ac:dyDescent="0.25">
      <c r="A346" s="1">
        <v>45365</v>
      </c>
      <c r="B346" s="1" t="str">
        <f t="shared" si="25"/>
        <v>2024-03</v>
      </c>
      <c r="C346" t="s">
        <v>14</v>
      </c>
      <c r="D346" t="s">
        <v>29</v>
      </c>
      <c r="E346" t="s">
        <v>30</v>
      </c>
      <c r="F346" t="s">
        <v>27</v>
      </c>
      <c r="G346" s="4">
        <v>32160</v>
      </c>
      <c r="H346" s="4">
        <v>1186</v>
      </c>
      <c r="I346" s="5">
        <v>3.6900000000000002E-2</v>
      </c>
      <c r="J346" s="2">
        <v>1.34</v>
      </c>
      <c r="K346" s="6">
        <v>1589.24</v>
      </c>
      <c r="L346" s="4">
        <v>12</v>
      </c>
      <c r="M346" s="2">
        <v>132.44</v>
      </c>
      <c r="N346" s="6">
        <v>1927.71</v>
      </c>
      <c r="O346" s="6">
        <f t="shared" si="26"/>
        <v>338.47</v>
      </c>
      <c r="P346" s="6">
        <f t="shared" si="27"/>
        <v>0.21297601369207925</v>
      </c>
      <c r="Q346" s="3">
        <v>1.21</v>
      </c>
      <c r="R346" t="str">
        <f t="shared" si="28"/>
        <v>Medium</v>
      </c>
      <c r="S346" t="str">
        <f t="shared" si="29"/>
        <v>Valid</v>
      </c>
    </row>
    <row r="347" spans="1:19" x14ac:dyDescent="0.25">
      <c r="A347" s="1">
        <v>45564</v>
      </c>
      <c r="B347" s="1" t="str">
        <f t="shared" si="25"/>
        <v>2024-09</v>
      </c>
      <c r="C347" t="s">
        <v>14</v>
      </c>
      <c r="D347" t="s">
        <v>15</v>
      </c>
      <c r="E347" t="s">
        <v>19</v>
      </c>
      <c r="F347" t="s">
        <v>23</v>
      </c>
      <c r="G347" s="4">
        <v>58364</v>
      </c>
      <c r="H347" s="4">
        <v>2241</v>
      </c>
      <c r="I347" s="5">
        <v>3.8399999999999997E-2</v>
      </c>
      <c r="J347" s="2">
        <v>2.2200000000000002</v>
      </c>
      <c r="K347" s="6">
        <v>4975.0200000000004</v>
      </c>
      <c r="L347" s="4">
        <v>136</v>
      </c>
      <c r="M347" s="2">
        <v>36.58</v>
      </c>
      <c r="N347" s="6">
        <v>15149.72</v>
      </c>
      <c r="O347" s="6">
        <f t="shared" si="26"/>
        <v>10174.699999999999</v>
      </c>
      <c r="P347" s="6">
        <f t="shared" si="27"/>
        <v>2.0451576074066029</v>
      </c>
      <c r="Q347" s="3">
        <v>3.05</v>
      </c>
      <c r="R347" t="str">
        <f t="shared" si="28"/>
        <v>High</v>
      </c>
      <c r="S347" t="str">
        <f t="shared" si="29"/>
        <v>Valid</v>
      </c>
    </row>
    <row r="348" spans="1:19" x14ac:dyDescent="0.25">
      <c r="A348" s="1">
        <v>45448</v>
      </c>
      <c r="B348" s="1" t="str">
        <f t="shared" si="25"/>
        <v>2024-06</v>
      </c>
      <c r="C348" t="s">
        <v>28</v>
      </c>
      <c r="D348" t="s">
        <v>15</v>
      </c>
      <c r="E348" t="s">
        <v>30</v>
      </c>
      <c r="F348" t="s">
        <v>31</v>
      </c>
      <c r="G348" s="4">
        <v>79462</v>
      </c>
      <c r="H348" s="4">
        <v>2058</v>
      </c>
      <c r="I348" s="5">
        <v>2.5899999999999999E-2</v>
      </c>
      <c r="J348" s="2">
        <v>0.88</v>
      </c>
      <c r="K348" s="6">
        <v>1811.04</v>
      </c>
      <c r="L348" s="4">
        <v>146</v>
      </c>
      <c r="M348" s="2">
        <v>12.4</v>
      </c>
      <c r="N348" s="6">
        <v>7813.85</v>
      </c>
      <c r="O348" s="6">
        <f t="shared" si="26"/>
        <v>6002.81</v>
      </c>
      <c r="P348" s="6">
        <f t="shared" si="27"/>
        <v>3.3145651117589896</v>
      </c>
      <c r="Q348" s="3">
        <v>4.3099999999999996</v>
      </c>
      <c r="R348" t="str">
        <f t="shared" si="28"/>
        <v>High</v>
      </c>
      <c r="S348" t="str">
        <f t="shared" si="29"/>
        <v>Valid</v>
      </c>
    </row>
    <row r="349" spans="1:19" x14ac:dyDescent="0.25">
      <c r="A349" s="1">
        <v>45383</v>
      </c>
      <c r="B349" s="1" t="str">
        <f t="shared" si="25"/>
        <v>2024-04</v>
      </c>
      <c r="C349" t="s">
        <v>28</v>
      </c>
      <c r="D349" t="s">
        <v>29</v>
      </c>
      <c r="E349" t="s">
        <v>25</v>
      </c>
      <c r="F349" t="s">
        <v>31</v>
      </c>
      <c r="G349" s="4">
        <v>151864</v>
      </c>
      <c r="H349" s="4">
        <v>4358</v>
      </c>
      <c r="I349" s="5">
        <v>2.87E-2</v>
      </c>
      <c r="J349" s="2">
        <v>1.69</v>
      </c>
      <c r="K349" s="6">
        <v>7365.02</v>
      </c>
      <c r="L349" s="4">
        <v>175</v>
      </c>
      <c r="M349" s="2">
        <v>42.09</v>
      </c>
      <c r="N349" s="6">
        <v>45340.29</v>
      </c>
      <c r="O349" s="6">
        <f t="shared" si="26"/>
        <v>37975.270000000004</v>
      </c>
      <c r="P349" s="6">
        <f t="shared" si="27"/>
        <v>5.1561665820323643</v>
      </c>
      <c r="Q349" s="3">
        <v>6.16</v>
      </c>
      <c r="R349" t="str">
        <f t="shared" si="28"/>
        <v>High</v>
      </c>
      <c r="S349" t="str">
        <f t="shared" si="29"/>
        <v>Valid</v>
      </c>
    </row>
    <row r="350" spans="1:19" x14ac:dyDescent="0.25">
      <c r="A350" s="1">
        <v>45409</v>
      </c>
      <c r="B350" s="1" t="str">
        <f t="shared" si="25"/>
        <v>2024-04</v>
      </c>
      <c r="C350" t="s">
        <v>14</v>
      </c>
      <c r="D350" t="s">
        <v>24</v>
      </c>
      <c r="E350" t="s">
        <v>19</v>
      </c>
      <c r="F350" t="s">
        <v>17</v>
      </c>
      <c r="G350" s="4">
        <v>182926</v>
      </c>
      <c r="H350" s="4">
        <v>6749</v>
      </c>
      <c r="I350" s="5">
        <v>3.6900000000000002E-2</v>
      </c>
      <c r="J350" s="2">
        <v>1.94</v>
      </c>
      <c r="K350" s="6">
        <v>13093.06</v>
      </c>
      <c r="L350" s="4">
        <v>343</v>
      </c>
      <c r="M350" s="2">
        <v>38.17</v>
      </c>
      <c r="N350" s="6">
        <v>53279.93</v>
      </c>
      <c r="O350" s="6">
        <f t="shared" si="26"/>
        <v>40186.870000000003</v>
      </c>
      <c r="P350" s="6">
        <f t="shared" si="27"/>
        <v>3.0693260399020552</v>
      </c>
      <c r="Q350" s="3">
        <v>4.07</v>
      </c>
      <c r="R350" t="str">
        <f t="shared" si="28"/>
        <v>High</v>
      </c>
      <c r="S350" t="str">
        <f t="shared" si="29"/>
        <v>Valid</v>
      </c>
    </row>
    <row r="351" spans="1:19" x14ac:dyDescent="0.25">
      <c r="A351" s="1">
        <v>45590</v>
      </c>
      <c r="B351" s="1" t="str">
        <f t="shared" si="25"/>
        <v>2024-10</v>
      </c>
      <c r="C351" t="s">
        <v>28</v>
      </c>
      <c r="D351" t="s">
        <v>24</v>
      </c>
      <c r="E351" t="s">
        <v>30</v>
      </c>
      <c r="F351" t="s">
        <v>31</v>
      </c>
      <c r="G351" s="4">
        <v>107489</v>
      </c>
      <c r="H351" s="4">
        <v>2515</v>
      </c>
      <c r="I351" s="5">
        <v>2.3400000000000001E-2</v>
      </c>
      <c r="J351" s="2">
        <v>1.4</v>
      </c>
      <c r="K351" s="6">
        <v>3521</v>
      </c>
      <c r="L351" s="4">
        <v>166</v>
      </c>
      <c r="M351" s="2">
        <v>21.21</v>
      </c>
      <c r="N351" s="6">
        <v>18411.150000000001</v>
      </c>
      <c r="O351" s="6">
        <f t="shared" si="26"/>
        <v>14890.150000000001</v>
      </c>
      <c r="P351" s="6">
        <f t="shared" si="27"/>
        <v>4.2289548423743257</v>
      </c>
      <c r="Q351" s="3">
        <v>5.23</v>
      </c>
      <c r="R351" t="str">
        <f t="shared" si="28"/>
        <v>High</v>
      </c>
      <c r="S351" t="str">
        <f t="shared" si="29"/>
        <v>Valid</v>
      </c>
    </row>
    <row r="352" spans="1:19" x14ac:dyDescent="0.25">
      <c r="A352" s="1">
        <v>45507</v>
      </c>
      <c r="B352" s="1" t="str">
        <f t="shared" si="25"/>
        <v>2024-08</v>
      </c>
      <c r="C352" t="s">
        <v>18</v>
      </c>
      <c r="D352" t="s">
        <v>15</v>
      </c>
      <c r="E352" t="s">
        <v>22</v>
      </c>
      <c r="F352" t="s">
        <v>31</v>
      </c>
      <c r="G352" s="4">
        <v>40709</v>
      </c>
      <c r="H352" s="4">
        <v>1314</v>
      </c>
      <c r="I352" s="5">
        <v>3.2300000000000002E-2</v>
      </c>
      <c r="J352" s="2">
        <v>0.7</v>
      </c>
      <c r="K352" s="6">
        <v>919.8</v>
      </c>
      <c r="L352" s="4">
        <v>90</v>
      </c>
      <c r="M352" s="2">
        <v>10.220000000000001</v>
      </c>
      <c r="N352" s="6">
        <v>16081.05</v>
      </c>
      <c r="O352" s="6">
        <f t="shared" si="26"/>
        <v>15161.25</v>
      </c>
      <c r="P352" s="6">
        <f t="shared" si="27"/>
        <v>16.483202870189171</v>
      </c>
      <c r="Q352" s="3">
        <v>17.48</v>
      </c>
      <c r="R352" t="str">
        <f t="shared" si="28"/>
        <v>High</v>
      </c>
      <c r="S352" t="str">
        <f t="shared" si="29"/>
        <v>Valid</v>
      </c>
    </row>
    <row r="353" spans="1:19" x14ac:dyDescent="0.25">
      <c r="A353" s="1">
        <v>45559</v>
      </c>
      <c r="B353" s="1" t="str">
        <f t="shared" si="25"/>
        <v>2024-09</v>
      </c>
      <c r="C353" t="s">
        <v>14</v>
      </c>
      <c r="D353" t="s">
        <v>21</v>
      </c>
      <c r="E353" t="s">
        <v>16</v>
      </c>
      <c r="F353" t="s">
        <v>32</v>
      </c>
      <c r="G353" s="4">
        <v>143561</v>
      </c>
      <c r="H353" s="4">
        <v>9144</v>
      </c>
      <c r="I353" s="5">
        <v>6.3700000000000007E-2</v>
      </c>
      <c r="J353" s="2">
        <v>1.93</v>
      </c>
      <c r="K353" s="6">
        <v>17647.919999999998</v>
      </c>
      <c r="L353" s="4">
        <v>630</v>
      </c>
      <c r="M353" s="2">
        <v>28.01</v>
      </c>
      <c r="N353" s="6">
        <v>123364.05</v>
      </c>
      <c r="O353" s="6">
        <f t="shared" si="26"/>
        <v>105716.13</v>
      </c>
      <c r="P353" s="6">
        <f t="shared" si="27"/>
        <v>5.9902883739273536</v>
      </c>
      <c r="Q353" s="3">
        <v>6.99</v>
      </c>
      <c r="R353" t="str">
        <f t="shared" si="28"/>
        <v>High</v>
      </c>
      <c r="S353" t="str">
        <f t="shared" si="29"/>
        <v>Valid</v>
      </c>
    </row>
    <row r="354" spans="1:19" x14ac:dyDescent="0.25">
      <c r="A354" s="1">
        <v>45375</v>
      </c>
      <c r="B354" s="1" t="str">
        <f t="shared" si="25"/>
        <v>2024-03</v>
      </c>
      <c r="C354" t="s">
        <v>14</v>
      </c>
      <c r="D354" t="s">
        <v>24</v>
      </c>
      <c r="E354" t="s">
        <v>16</v>
      </c>
      <c r="F354" t="s">
        <v>31</v>
      </c>
      <c r="G354" s="4">
        <v>94242</v>
      </c>
      <c r="H354" s="4">
        <v>5466</v>
      </c>
      <c r="I354" s="5">
        <v>5.8000000000000003E-2</v>
      </c>
      <c r="J354" s="2">
        <v>1.67</v>
      </c>
      <c r="K354" s="6">
        <v>9128.2199999999993</v>
      </c>
      <c r="L354" s="4">
        <v>100</v>
      </c>
      <c r="M354" s="2">
        <v>91.28</v>
      </c>
      <c r="N354" s="6">
        <v>6794.77</v>
      </c>
      <c r="O354" s="6">
        <f t="shared" si="26"/>
        <v>-2333.4499999999989</v>
      </c>
      <c r="P354" s="6">
        <f t="shared" si="27"/>
        <v>-0.25563034195056639</v>
      </c>
      <c r="Q354" s="3">
        <v>0.74</v>
      </c>
      <c r="R354" t="str">
        <f t="shared" si="28"/>
        <v>Low</v>
      </c>
      <c r="S354" t="str">
        <f t="shared" si="29"/>
        <v>Valid</v>
      </c>
    </row>
    <row r="355" spans="1:19" x14ac:dyDescent="0.25">
      <c r="A355" s="1">
        <v>45558</v>
      </c>
      <c r="B355" s="1" t="str">
        <f t="shared" si="25"/>
        <v>2024-09</v>
      </c>
      <c r="C355" t="s">
        <v>14</v>
      </c>
      <c r="D355" t="s">
        <v>29</v>
      </c>
      <c r="E355" t="s">
        <v>22</v>
      </c>
      <c r="F355" t="s">
        <v>17</v>
      </c>
      <c r="G355" s="4">
        <v>111311</v>
      </c>
      <c r="H355" s="4">
        <v>5765</v>
      </c>
      <c r="I355" s="5">
        <v>5.1799999999999999E-2</v>
      </c>
      <c r="J355" s="2">
        <v>2.71</v>
      </c>
      <c r="K355" s="6">
        <v>15623.15</v>
      </c>
      <c r="L355" s="4">
        <v>389</v>
      </c>
      <c r="M355" s="2">
        <v>40.159999999999997</v>
      </c>
      <c r="N355" s="6">
        <v>22317.919999999998</v>
      </c>
      <c r="O355" s="6">
        <f t="shared" si="26"/>
        <v>6694.7699999999986</v>
      </c>
      <c r="P355" s="6">
        <f t="shared" si="27"/>
        <v>0.42851601629632941</v>
      </c>
      <c r="Q355" s="3">
        <v>1.43</v>
      </c>
      <c r="R355" t="str">
        <f t="shared" si="28"/>
        <v>Medium</v>
      </c>
      <c r="S355" t="str">
        <f t="shared" si="29"/>
        <v>Valid</v>
      </c>
    </row>
    <row r="356" spans="1:19" x14ac:dyDescent="0.25">
      <c r="A356" s="1">
        <v>45559</v>
      </c>
      <c r="B356" s="1" t="str">
        <f t="shared" si="25"/>
        <v>2024-09</v>
      </c>
      <c r="C356" t="s">
        <v>18</v>
      </c>
      <c r="D356" t="s">
        <v>21</v>
      </c>
      <c r="E356" t="s">
        <v>16</v>
      </c>
      <c r="F356" t="s">
        <v>23</v>
      </c>
      <c r="G356" s="4">
        <v>130865</v>
      </c>
      <c r="H356" s="4">
        <v>9461</v>
      </c>
      <c r="I356" s="5">
        <v>7.2300000000000003E-2</v>
      </c>
      <c r="J356" s="2">
        <v>1.48</v>
      </c>
      <c r="K356" s="6">
        <v>14002.28</v>
      </c>
      <c r="L356" s="4">
        <v>221</v>
      </c>
      <c r="M356" s="2">
        <v>63.36</v>
      </c>
      <c r="N356" s="6">
        <v>46411.13</v>
      </c>
      <c r="O356" s="6">
        <f t="shared" si="26"/>
        <v>32408.85</v>
      </c>
      <c r="P356" s="6">
        <f t="shared" si="27"/>
        <v>2.3145409176219869</v>
      </c>
      <c r="Q356" s="3">
        <v>3.31</v>
      </c>
      <c r="R356" t="str">
        <f t="shared" si="28"/>
        <v>High</v>
      </c>
      <c r="S356" t="str">
        <f t="shared" si="29"/>
        <v>Valid</v>
      </c>
    </row>
    <row r="357" spans="1:19" x14ac:dyDescent="0.25">
      <c r="A357" s="1">
        <v>45293</v>
      </c>
      <c r="B357" s="1" t="str">
        <f t="shared" si="25"/>
        <v>2024-01</v>
      </c>
      <c r="C357" t="s">
        <v>28</v>
      </c>
      <c r="D357" t="s">
        <v>21</v>
      </c>
      <c r="E357" t="s">
        <v>19</v>
      </c>
      <c r="F357" t="s">
        <v>23</v>
      </c>
      <c r="G357" s="4">
        <v>138639</v>
      </c>
      <c r="H357" s="4">
        <v>2204</v>
      </c>
      <c r="I357" s="5">
        <v>1.5900000000000001E-2</v>
      </c>
      <c r="J357" s="2">
        <v>1.8</v>
      </c>
      <c r="K357" s="6">
        <v>3967.2</v>
      </c>
      <c r="L357" s="4">
        <v>154</v>
      </c>
      <c r="M357" s="2">
        <v>25.76</v>
      </c>
      <c r="N357" s="6">
        <v>35803.07</v>
      </c>
      <c r="O357" s="6">
        <f t="shared" si="26"/>
        <v>31835.87</v>
      </c>
      <c r="P357" s="6">
        <f t="shared" si="27"/>
        <v>8.0247706190764276</v>
      </c>
      <c r="Q357" s="3">
        <v>9.02</v>
      </c>
      <c r="R357" t="str">
        <f t="shared" si="28"/>
        <v>High</v>
      </c>
      <c r="S357" t="str">
        <f t="shared" si="29"/>
        <v>Valid</v>
      </c>
    </row>
    <row r="358" spans="1:19" x14ac:dyDescent="0.25">
      <c r="A358" s="1">
        <v>45458</v>
      </c>
      <c r="B358" s="1" t="str">
        <f t="shared" si="25"/>
        <v>2024-06</v>
      </c>
      <c r="C358" t="s">
        <v>18</v>
      </c>
      <c r="D358" t="s">
        <v>24</v>
      </c>
      <c r="E358" t="s">
        <v>25</v>
      </c>
      <c r="F358" t="s">
        <v>31</v>
      </c>
      <c r="G358" s="4">
        <v>147355</v>
      </c>
      <c r="H358" s="4">
        <v>7485</v>
      </c>
      <c r="I358" s="5">
        <v>5.0799999999999998E-2</v>
      </c>
      <c r="J358" s="2">
        <v>0.91</v>
      </c>
      <c r="K358" s="6">
        <v>6811.35</v>
      </c>
      <c r="L358" s="4">
        <v>81</v>
      </c>
      <c r="M358" s="2">
        <v>84.09</v>
      </c>
      <c r="N358" s="6">
        <v>14520.06</v>
      </c>
      <c r="O358" s="6">
        <f t="shared" si="26"/>
        <v>7708.7099999999991</v>
      </c>
      <c r="P358" s="6">
        <f t="shared" si="27"/>
        <v>1.1317448082979142</v>
      </c>
      <c r="Q358" s="3">
        <v>2.13</v>
      </c>
      <c r="R358" t="str">
        <f t="shared" si="28"/>
        <v>Medium</v>
      </c>
      <c r="S358" t="str">
        <f t="shared" si="29"/>
        <v>Valid</v>
      </c>
    </row>
    <row r="359" spans="1:19" x14ac:dyDescent="0.25">
      <c r="A359" s="1">
        <v>45411</v>
      </c>
      <c r="B359" s="1" t="str">
        <f t="shared" si="25"/>
        <v>2024-04</v>
      </c>
      <c r="C359" t="s">
        <v>28</v>
      </c>
      <c r="D359" t="s">
        <v>24</v>
      </c>
      <c r="E359" t="s">
        <v>16</v>
      </c>
      <c r="F359" t="s">
        <v>20</v>
      </c>
      <c r="G359" s="4">
        <v>26751</v>
      </c>
      <c r="H359" s="4">
        <v>489</v>
      </c>
      <c r="I359" s="5">
        <v>1.83E-2</v>
      </c>
      <c r="J359" s="2">
        <v>1.93</v>
      </c>
      <c r="K359" s="6">
        <v>943.77</v>
      </c>
      <c r="L359" s="4">
        <v>8</v>
      </c>
      <c r="M359" s="2">
        <v>117.97</v>
      </c>
      <c r="N359" s="6">
        <v>791.56</v>
      </c>
      <c r="O359" s="6">
        <f t="shared" si="26"/>
        <v>-152.21000000000004</v>
      </c>
      <c r="P359" s="6">
        <f t="shared" si="27"/>
        <v>-0.16127870137851388</v>
      </c>
      <c r="Q359" s="3">
        <v>0.84</v>
      </c>
      <c r="R359" t="str">
        <f t="shared" si="28"/>
        <v>Low</v>
      </c>
      <c r="S359" t="str">
        <f t="shared" si="29"/>
        <v>Valid</v>
      </c>
    </row>
    <row r="360" spans="1:19" x14ac:dyDescent="0.25">
      <c r="A360" s="1">
        <v>45316</v>
      </c>
      <c r="B360" s="1" t="str">
        <f t="shared" si="25"/>
        <v>2024-01</v>
      </c>
      <c r="C360" t="s">
        <v>18</v>
      </c>
      <c r="D360" t="s">
        <v>29</v>
      </c>
      <c r="E360" t="s">
        <v>25</v>
      </c>
      <c r="F360" t="s">
        <v>20</v>
      </c>
      <c r="G360" s="4">
        <v>42706</v>
      </c>
      <c r="H360" s="4">
        <v>2084</v>
      </c>
      <c r="I360" s="5">
        <v>4.8800000000000003E-2</v>
      </c>
      <c r="J360" s="2">
        <v>1.59</v>
      </c>
      <c r="K360" s="6">
        <v>3313.56</v>
      </c>
      <c r="L360" s="4">
        <v>35</v>
      </c>
      <c r="M360" s="2">
        <v>94.67</v>
      </c>
      <c r="N360" s="6">
        <v>4766.32</v>
      </c>
      <c r="O360" s="6">
        <f t="shared" si="26"/>
        <v>1452.7599999999998</v>
      </c>
      <c r="P360" s="6">
        <f t="shared" si="27"/>
        <v>0.43842875940076526</v>
      </c>
      <c r="Q360" s="3">
        <v>1.44</v>
      </c>
      <c r="R360" t="str">
        <f t="shared" si="28"/>
        <v>Medium</v>
      </c>
      <c r="S360" t="str">
        <f t="shared" si="29"/>
        <v>Valid</v>
      </c>
    </row>
    <row r="361" spans="1:19" x14ac:dyDescent="0.25">
      <c r="A361" s="1">
        <v>45537</v>
      </c>
      <c r="B361" s="1" t="str">
        <f t="shared" si="25"/>
        <v>2024-09</v>
      </c>
      <c r="C361" t="s">
        <v>28</v>
      </c>
      <c r="D361" t="s">
        <v>21</v>
      </c>
      <c r="E361" t="s">
        <v>25</v>
      </c>
      <c r="F361" t="s">
        <v>17</v>
      </c>
      <c r="G361" s="4">
        <v>173337</v>
      </c>
      <c r="H361" s="4">
        <v>3189</v>
      </c>
      <c r="I361" s="5">
        <v>1.84E-2</v>
      </c>
      <c r="J361" s="2">
        <v>2.0299999999999998</v>
      </c>
      <c r="K361" s="6">
        <v>6473.67</v>
      </c>
      <c r="L361" s="4">
        <v>224</v>
      </c>
      <c r="M361" s="2">
        <v>28.9</v>
      </c>
      <c r="N361" s="6">
        <v>43055.91</v>
      </c>
      <c r="O361" s="6">
        <f t="shared" si="26"/>
        <v>36582.240000000005</v>
      </c>
      <c r="P361" s="6">
        <f t="shared" si="27"/>
        <v>5.6509275264262779</v>
      </c>
      <c r="Q361" s="3">
        <v>6.65</v>
      </c>
      <c r="R361" t="str">
        <f t="shared" si="28"/>
        <v>High</v>
      </c>
      <c r="S361" t="str">
        <f t="shared" si="29"/>
        <v>Valid</v>
      </c>
    </row>
    <row r="362" spans="1:19" x14ac:dyDescent="0.25">
      <c r="A362" s="1">
        <v>45501</v>
      </c>
      <c r="B362" s="1" t="str">
        <f t="shared" si="25"/>
        <v>2024-07</v>
      </c>
      <c r="C362" t="s">
        <v>28</v>
      </c>
      <c r="D362" t="s">
        <v>24</v>
      </c>
      <c r="E362" t="s">
        <v>25</v>
      </c>
      <c r="F362" t="s">
        <v>27</v>
      </c>
      <c r="G362" s="4">
        <v>99948</v>
      </c>
      <c r="H362" s="4">
        <v>1389</v>
      </c>
      <c r="I362" s="5">
        <v>1.3899999999999999E-2</v>
      </c>
      <c r="J362" s="2">
        <v>1.04</v>
      </c>
      <c r="K362" s="6">
        <v>1444.56</v>
      </c>
      <c r="L362" s="4">
        <v>67</v>
      </c>
      <c r="M362" s="2">
        <v>21.56</v>
      </c>
      <c r="N362" s="6">
        <v>4987.6000000000004</v>
      </c>
      <c r="O362" s="6">
        <f t="shared" si="26"/>
        <v>3543.0400000000004</v>
      </c>
      <c r="P362" s="6">
        <f t="shared" si="27"/>
        <v>2.452677631943291</v>
      </c>
      <c r="Q362" s="3">
        <v>3.45</v>
      </c>
      <c r="R362" t="str">
        <f t="shared" si="28"/>
        <v>High</v>
      </c>
      <c r="S362" t="str">
        <f t="shared" si="29"/>
        <v>Valid</v>
      </c>
    </row>
    <row r="363" spans="1:19" x14ac:dyDescent="0.25">
      <c r="A363" s="1">
        <v>45381</v>
      </c>
      <c r="B363" s="1" t="str">
        <f t="shared" si="25"/>
        <v>2024-03</v>
      </c>
      <c r="C363" t="s">
        <v>14</v>
      </c>
      <c r="D363" t="s">
        <v>21</v>
      </c>
      <c r="E363" t="s">
        <v>22</v>
      </c>
      <c r="F363" t="s">
        <v>27</v>
      </c>
      <c r="G363" s="4">
        <v>65282</v>
      </c>
      <c r="H363" s="4">
        <v>1723</v>
      </c>
      <c r="I363" s="5">
        <v>2.64E-2</v>
      </c>
      <c r="J363" s="2">
        <v>1.91</v>
      </c>
      <c r="K363" s="6">
        <v>3290.93</v>
      </c>
      <c r="L363" s="4">
        <v>64</v>
      </c>
      <c r="M363" s="2">
        <v>51.42</v>
      </c>
      <c r="N363" s="6">
        <v>16624.45</v>
      </c>
      <c r="O363" s="6">
        <f t="shared" si="26"/>
        <v>13333.52</v>
      </c>
      <c r="P363" s="6">
        <f t="shared" si="27"/>
        <v>4.0515963572607134</v>
      </c>
      <c r="Q363" s="3">
        <v>5.05</v>
      </c>
      <c r="R363" t="str">
        <f t="shared" si="28"/>
        <v>High</v>
      </c>
      <c r="S363" t="str">
        <f t="shared" si="29"/>
        <v>Valid</v>
      </c>
    </row>
    <row r="364" spans="1:19" x14ac:dyDescent="0.25">
      <c r="A364" s="1">
        <v>45323</v>
      </c>
      <c r="B364" s="1" t="str">
        <f t="shared" si="25"/>
        <v>2024-02</v>
      </c>
      <c r="C364" t="s">
        <v>14</v>
      </c>
      <c r="D364" t="s">
        <v>21</v>
      </c>
      <c r="E364" t="s">
        <v>19</v>
      </c>
      <c r="F364" t="s">
        <v>23</v>
      </c>
      <c r="G364" s="4">
        <v>48790</v>
      </c>
      <c r="H364" s="4">
        <v>2824</v>
      </c>
      <c r="I364" s="5">
        <v>5.79E-2</v>
      </c>
      <c r="J364" s="2">
        <v>1.3</v>
      </c>
      <c r="K364" s="6">
        <v>3671.2</v>
      </c>
      <c r="L364" s="4">
        <v>178</v>
      </c>
      <c r="M364" s="2">
        <v>20.62</v>
      </c>
      <c r="N364" s="6">
        <v>37847.71</v>
      </c>
      <c r="O364" s="6">
        <f t="shared" si="26"/>
        <v>34176.51</v>
      </c>
      <c r="P364" s="6">
        <f t="shared" si="27"/>
        <v>9.3093566136413166</v>
      </c>
      <c r="Q364" s="3">
        <v>10.31</v>
      </c>
      <c r="R364" t="str">
        <f t="shared" si="28"/>
        <v>High</v>
      </c>
      <c r="S364" t="str">
        <f t="shared" si="29"/>
        <v>Valid</v>
      </c>
    </row>
    <row r="365" spans="1:19" x14ac:dyDescent="0.25">
      <c r="A365" s="1">
        <v>45489</v>
      </c>
      <c r="B365" s="1" t="str">
        <f t="shared" si="25"/>
        <v>2024-07</v>
      </c>
      <c r="C365" t="s">
        <v>14</v>
      </c>
      <c r="D365" t="s">
        <v>24</v>
      </c>
      <c r="E365" t="s">
        <v>19</v>
      </c>
      <c r="F365" t="s">
        <v>17</v>
      </c>
      <c r="G365" s="4">
        <v>163272</v>
      </c>
      <c r="H365" s="4">
        <v>5551</v>
      </c>
      <c r="I365" s="5">
        <v>3.4000000000000002E-2</v>
      </c>
      <c r="J365" s="2">
        <v>2.23</v>
      </c>
      <c r="K365" s="6">
        <v>12378.73</v>
      </c>
      <c r="L365" s="4">
        <v>135</v>
      </c>
      <c r="M365" s="2">
        <v>91.69</v>
      </c>
      <c r="N365" s="6">
        <v>38753.89</v>
      </c>
      <c r="O365" s="6">
        <f t="shared" si="26"/>
        <v>26375.16</v>
      </c>
      <c r="P365" s="6">
        <f t="shared" si="27"/>
        <v>2.1306838423650891</v>
      </c>
      <c r="Q365" s="3">
        <v>3.13</v>
      </c>
      <c r="R365" t="str">
        <f t="shared" si="28"/>
        <v>High</v>
      </c>
      <c r="S365" t="str">
        <f t="shared" si="29"/>
        <v>Valid</v>
      </c>
    </row>
    <row r="366" spans="1:19" x14ac:dyDescent="0.25">
      <c r="A366" s="1">
        <v>45600</v>
      </c>
      <c r="B366" s="1" t="str">
        <f t="shared" si="25"/>
        <v>2024-11</v>
      </c>
      <c r="C366" t="s">
        <v>14</v>
      </c>
      <c r="D366" t="s">
        <v>21</v>
      </c>
      <c r="E366" t="s">
        <v>19</v>
      </c>
      <c r="F366" t="s">
        <v>32</v>
      </c>
      <c r="G366" s="4">
        <v>149233</v>
      </c>
      <c r="H366" s="4">
        <v>3686</v>
      </c>
      <c r="I366" s="5">
        <v>2.47E-2</v>
      </c>
      <c r="J366" s="2">
        <v>1</v>
      </c>
      <c r="K366" s="6">
        <v>3686</v>
      </c>
      <c r="L366" s="4">
        <v>250</v>
      </c>
      <c r="M366" s="2">
        <v>14.74</v>
      </c>
      <c r="N366" s="6">
        <v>16524.46</v>
      </c>
      <c r="O366" s="6">
        <f t="shared" si="26"/>
        <v>12838.46</v>
      </c>
      <c r="P366" s="6">
        <f t="shared" si="27"/>
        <v>3.4830330982094408</v>
      </c>
      <c r="Q366" s="3">
        <v>4.4800000000000004</v>
      </c>
      <c r="R366" t="str">
        <f t="shared" si="28"/>
        <v>High</v>
      </c>
      <c r="S366" t="str">
        <f t="shared" si="29"/>
        <v>Valid</v>
      </c>
    </row>
    <row r="367" spans="1:19" x14ac:dyDescent="0.25">
      <c r="A367" s="1">
        <v>45349</v>
      </c>
      <c r="B367" s="1" t="str">
        <f t="shared" si="25"/>
        <v>2024-02</v>
      </c>
      <c r="C367" t="s">
        <v>18</v>
      </c>
      <c r="D367" t="s">
        <v>15</v>
      </c>
      <c r="E367" t="s">
        <v>25</v>
      </c>
      <c r="F367" t="s">
        <v>17</v>
      </c>
      <c r="G367" s="4">
        <v>7637</v>
      </c>
      <c r="H367" s="4">
        <v>415</v>
      </c>
      <c r="I367" s="5">
        <v>5.4399999999999997E-2</v>
      </c>
      <c r="J367" s="2">
        <v>1.54</v>
      </c>
      <c r="K367" s="6">
        <v>639.1</v>
      </c>
      <c r="L367" s="4">
        <v>10</v>
      </c>
      <c r="M367" s="2">
        <v>63.91</v>
      </c>
      <c r="N367" s="6">
        <v>1137.83</v>
      </c>
      <c r="O367" s="6">
        <f t="shared" si="26"/>
        <v>498.7299999999999</v>
      </c>
      <c r="P367" s="6">
        <f t="shared" si="27"/>
        <v>0.78036301048349221</v>
      </c>
      <c r="Q367" s="3">
        <v>1.78</v>
      </c>
      <c r="R367" t="str">
        <f t="shared" si="28"/>
        <v>Medium</v>
      </c>
      <c r="S367" t="str">
        <f t="shared" si="29"/>
        <v>Valid</v>
      </c>
    </row>
    <row r="368" spans="1:19" x14ac:dyDescent="0.25">
      <c r="A368" s="1">
        <v>45295</v>
      </c>
      <c r="B368" s="1" t="str">
        <f t="shared" si="25"/>
        <v>2024-01</v>
      </c>
      <c r="C368" t="s">
        <v>14</v>
      </c>
      <c r="D368" t="s">
        <v>29</v>
      </c>
      <c r="E368" t="s">
        <v>16</v>
      </c>
      <c r="F368" t="s">
        <v>20</v>
      </c>
      <c r="G368" s="4">
        <v>20198</v>
      </c>
      <c r="H368" s="4">
        <v>878</v>
      </c>
      <c r="I368" s="5">
        <v>4.3499999999999997E-2</v>
      </c>
      <c r="J368" s="2">
        <v>2.68</v>
      </c>
      <c r="K368" s="6">
        <v>2353.04</v>
      </c>
      <c r="L368" s="4">
        <v>67</v>
      </c>
      <c r="M368" s="2">
        <v>35.119999999999997</v>
      </c>
      <c r="N368" s="6">
        <v>5967.58</v>
      </c>
      <c r="O368" s="6">
        <f t="shared" si="26"/>
        <v>3614.54</v>
      </c>
      <c r="P368" s="6">
        <f t="shared" si="27"/>
        <v>1.5361149831707068</v>
      </c>
      <c r="Q368" s="3">
        <v>2.54</v>
      </c>
      <c r="R368" t="str">
        <f t="shared" si="28"/>
        <v>Medium</v>
      </c>
      <c r="S368" t="str">
        <f t="shared" si="29"/>
        <v>Valid</v>
      </c>
    </row>
    <row r="369" spans="1:19" x14ac:dyDescent="0.25">
      <c r="A369" s="1">
        <v>45546</v>
      </c>
      <c r="B369" s="1" t="str">
        <f t="shared" si="25"/>
        <v>2024-09</v>
      </c>
      <c r="C369" t="s">
        <v>14</v>
      </c>
      <c r="D369" t="s">
        <v>15</v>
      </c>
      <c r="E369" t="s">
        <v>19</v>
      </c>
      <c r="F369" t="s">
        <v>17</v>
      </c>
      <c r="G369" s="4">
        <v>32675</v>
      </c>
      <c r="H369" s="4">
        <v>941</v>
      </c>
      <c r="I369" s="5">
        <v>2.8799999999999999E-2</v>
      </c>
      <c r="J369" s="2">
        <v>1.0900000000000001</v>
      </c>
      <c r="K369" s="6">
        <v>1025.69</v>
      </c>
      <c r="L369" s="4">
        <v>47</v>
      </c>
      <c r="M369" s="2">
        <v>21.82</v>
      </c>
      <c r="N369" s="6">
        <v>12632.32</v>
      </c>
      <c r="O369" s="6">
        <f t="shared" si="26"/>
        <v>11606.63</v>
      </c>
      <c r="P369" s="6">
        <f t="shared" si="27"/>
        <v>11.315923914633075</v>
      </c>
      <c r="Q369" s="3">
        <v>12.32</v>
      </c>
      <c r="R369" t="str">
        <f t="shared" si="28"/>
        <v>High</v>
      </c>
      <c r="S369" t="str">
        <f t="shared" si="29"/>
        <v>Valid</v>
      </c>
    </row>
    <row r="370" spans="1:19" x14ac:dyDescent="0.25">
      <c r="A370" s="1">
        <v>45350</v>
      </c>
      <c r="B370" s="1" t="str">
        <f t="shared" si="25"/>
        <v>2024-02</v>
      </c>
      <c r="C370" t="s">
        <v>14</v>
      </c>
      <c r="D370" t="s">
        <v>15</v>
      </c>
      <c r="E370" t="s">
        <v>19</v>
      </c>
      <c r="F370" t="s">
        <v>23</v>
      </c>
      <c r="G370" s="4">
        <v>116560</v>
      </c>
      <c r="H370" s="4">
        <v>4312</v>
      </c>
      <c r="I370" s="5">
        <v>3.6999999999999998E-2</v>
      </c>
      <c r="J370" s="2">
        <v>2.79</v>
      </c>
      <c r="K370" s="6">
        <v>12030.48</v>
      </c>
      <c r="L370" s="4">
        <v>198</v>
      </c>
      <c r="M370" s="2">
        <v>60.76</v>
      </c>
      <c r="N370" s="6">
        <v>51746.42</v>
      </c>
      <c r="O370" s="6">
        <f t="shared" si="26"/>
        <v>39715.94</v>
      </c>
      <c r="P370" s="6">
        <f t="shared" si="27"/>
        <v>3.3012764245483144</v>
      </c>
      <c r="Q370" s="3">
        <v>4.3</v>
      </c>
      <c r="R370" t="str">
        <f t="shared" si="28"/>
        <v>High</v>
      </c>
      <c r="S370" t="str">
        <f t="shared" si="29"/>
        <v>Valid</v>
      </c>
    </row>
    <row r="371" spans="1:19" x14ac:dyDescent="0.25">
      <c r="A371" s="1">
        <v>45318</v>
      </c>
      <c r="B371" s="1" t="str">
        <f t="shared" si="25"/>
        <v>2024-01</v>
      </c>
      <c r="C371" t="s">
        <v>28</v>
      </c>
      <c r="D371" t="s">
        <v>29</v>
      </c>
      <c r="E371" t="s">
        <v>30</v>
      </c>
      <c r="F371" t="s">
        <v>32</v>
      </c>
      <c r="G371" s="4">
        <v>176459</v>
      </c>
      <c r="H371" s="4">
        <v>3670</v>
      </c>
      <c r="I371" s="5">
        <v>2.0799999999999999E-2</v>
      </c>
      <c r="J371" s="2">
        <v>1.91</v>
      </c>
      <c r="K371" s="6">
        <v>7009.7</v>
      </c>
      <c r="L371" s="4">
        <v>65</v>
      </c>
      <c r="M371" s="2">
        <v>107.84</v>
      </c>
      <c r="N371" s="6">
        <v>2483.8000000000002</v>
      </c>
      <c r="O371" s="6">
        <f t="shared" si="26"/>
        <v>-4525.8999999999996</v>
      </c>
      <c r="P371" s="6">
        <f t="shared" si="27"/>
        <v>-0.6456624391914062</v>
      </c>
      <c r="Q371" s="3">
        <v>0.35</v>
      </c>
      <c r="R371" t="str">
        <f t="shared" si="28"/>
        <v>Low</v>
      </c>
      <c r="S371" t="str">
        <f t="shared" si="29"/>
        <v>Valid</v>
      </c>
    </row>
    <row r="372" spans="1:19" x14ac:dyDescent="0.25">
      <c r="A372" s="1">
        <v>45537</v>
      </c>
      <c r="B372" s="1" t="str">
        <f t="shared" si="25"/>
        <v>2024-09</v>
      </c>
      <c r="C372" t="s">
        <v>28</v>
      </c>
      <c r="D372" t="s">
        <v>24</v>
      </c>
      <c r="E372" t="s">
        <v>25</v>
      </c>
      <c r="F372" t="s">
        <v>32</v>
      </c>
      <c r="G372" s="4">
        <v>49980</v>
      </c>
      <c r="H372" s="4">
        <v>1664</v>
      </c>
      <c r="I372" s="5">
        <v>3.3300000000000003E-2</v>
      </c>
      <c r="J372" s="2">
        <v>1.98</v>
      </c>
      <c r="K372" s="6">
        <v>3294.72</v>
      </c>
      <c r="L372" s="4">
        <v>37</v>
      </c>
      <c r="M372" s="2">
        <v>89.05</v>
      </c>
      <c r="N372" s="6">
        <v>6236.77</v>
      </c>
      <c r="O372" s="6">
        <f t="shared" si="26"/>
        <v>2942.0500000000006</v>
      </c>
      <c r="P372" s="6">
        <f t="shared" si="27"/>
        <v>0.89295903749028771</v>
      </c>
      <c r="Q372" s="3">
        <v>1.89</v>
      </c>
      <c r="R372" t="str">
        <f t="shared" si="28"/>
        <v>Medium</v>
      </c>
      <c r="S372" t="str">
        <f t="shared" si="29"/>
        <v>Valid</v>
      </c>
    </row>
    <row r="373" spans="1:19" x14ac:dyDescent="0.25">
      <c r="A373" s="1">
        <v>45298</v>
      </c>
      <c r="B373" s="1" t="str">
        <f t="shared" si="25"/>
        <v>2024-01</v>
      </c>
      <c r="C373" t="s">
        <v>28</v>
      </c>
      <c r="D373" t="s">
        <v>21</v>
      </c>
      <c r="E373" t="s">
        <v>22</v>
      </c>
      <c r="F373" t="s">
        <v>26</v>
      </c>
      <c r="G373" s="4">
        <v>98944</v>
      </c>
      <c r="H373" s="4">
        <v>1850</v>
      </c>
      <c r="I373" s="5">
        <v>1.8700000000000001E-2</v>
      </c>
      <c r="J373" s="2">
        <v>1.42</v>
      </c>
      <c r="K373" s="6">
        <v>2627</v>
      </c>
      <c r="L373" s="4">
        <v>78</v>
      </c>
      <c r="M373" s="2">
        <v>33.68</v>
      </c>
      <c r="N373" s="6">
        <v>17285.68</v>
      </c>
      <c r="O373" s="6">
        <f t="shared" si="26"/>
        <v>14658.68</v>
      </c>
      <c r="P373" s="6">
        <f t="shared" si="27"/>
        <v>5.5800076132470497</v>
      </c>
      <c r="Q373" s="3">
        <v>6.58</v>
      </c>
      <c r="R373" t="str">
        <f t="shared" si="28"/>
        <v>High</v>
      </c>
      <c r="S373" t="str">
        <f t="shared" si="29"/>
        <v>Valid</v>
      </c>
    </row>
    <row r="374" spans="1:19" x14ac:dyDescent="0.25">
      <c r="A374" s="1">
        <v>45383</v>
      </c>
      <c r="B374" s="1" t="str">
        <f t="shared" si="25"/>
        <v>2024-04</v>
      </c>
      <c r="C374" t="s">
        <v>18</v>
      </c>
      <c r="D374" t="s">
        <v>21</v>
      </c>
      <c r="E374" t="s">
        <v>22</v>
      </c>
      <c r="F374" t="s">
        <v>23</v>
      </c>
      <c r="G374" s="4">
        <v>115310</v>
      </c>
      <c r="H374" s="4">
        <v>3205</v>
      </c>
      <c r="I374" s="5">
        <v>2.7799999999999998E-2</v>
      </c>
      <c r="J374" s="2">
        <v>1.04</v>
      </c>
      <c r="K374" s="6">
        <v>3333.2</v>
      </c>
      <c r="L374" s="4">
        <v>134</v>
      </c>
      <c r="M374" s="2">
        <v>24.87</v>
      </c>
      <c r="N374" s="6">
        <v>14521.43</v>
      </c>
      <c r="O374" s="6">
        <f t="shared" si="26"/>
        <v>11188.23</v>
      </c>
      <c r="P374" s="6">
        <f t="shared" si="27"/>
        <v>3.3566032641305652</v>
      </c>
      <c r="Q374" s="3">
        <v>4.3600000000000003</v>
      </c>
      <c r="R374" t="str">
        <f t="shared" si="28"/>
        <v>High</v>
      </c>
      <c r="S374" t="str">
        <f t="shared" si="29"/>
        <v>Valid</v>
      </c>
    </row>
    <row r="375" spans="1:19" x14ac:dyDescent="0.25">
      <c r="A375" s="1">
        <v>45512</v>
      </c>
      <c r="B375" s="1" t="str">
        <f t="shared" si="25"/>
        <v>2024-08</v>
      </c>
      <c r="C375" t="s">
        <v>28</v>
      </c>
      <c r="D375" t="s">
        <v>15</v>
      </c>
      <c r="E375" t="s">
        <v>30</v>
      </c>
      <c r="F375" t="s">
        <v>31</v>
      </c>
      <c r="G375" s="4">
        <v>8626</v>
      </c>
      <c r="H375" s="4">
        <v>242</v>
      </c>
      <c r="I375" s="5">
        <v>2.81E-2</v>
      </c>
      <c r="J375" s="2">
        <v>1.1299999999999999</v>
      </c>
      <c r="K375" s="6">
        <v>273.45999999999998</v>
      </c>
      <c r="L375" s="4">
        <v>18</v>
      </c>
      <c r="M375" s="2">
        <v>15.19</v>
      </c>
      <c r="N375" s="6">
        <v>3013.54</v>
      </c>
      <c r="O375" s="6">
        <f t="shared" si="26"/>
        <v>2740.08</v>
      </c>
      <c r="P375" s="6">
        <f t="shared" si="27"/>
        <v>10.020039493893075</v>
      </c>
      <c r="Q375" s="3">
        <v>11.02</v>
      </c>
      <c r="R375" t="str">
        <f t="shared" si="28"/>
        <v>High</v>
      </c>
      <c r="S375" t="str">
        <f t="shared" si="29"/>
        <v>Valid</v>
      </c>
    </row>
    <row r="376" spans="1:19" x14ac:dyDescent="0.25">
      <c r="A376" s="1">
        <v>45296</v>
      </c>
      <c r="B376" s="1" t="str">
        <f t="shared" si="25"/>
        <v>2024-01</v>
      </c>
      <c r="C376" t="s">
        <v>28</v>
      </c>
      <c r="D376" t="s">
        <v>29</v>
      </c>
      <c r="E376" t="s">
        <v>30</v>
      </c>
      <c r="F376" t="s">
        <v>26</v>
      </c>
      <c r="G376" s="4">
        <v>88732</v>
      </c>
      <c r="H376" s="4">
        <v>1579</v>
      </c>
      <c r="I376" s="5">
        <v>1.78E-2</v>
      </c>
      <c r="J376" s="2">
        <v>0.44</v>
      </c>
      <c r="K376" s="6">
        <v>694.76</v>
      </c>
      <c r="L376" s="4">
        <v>32</v>
      </c>
      <c r="M376" s="2">
        <v>21.71</v>
      </c>
      <c r="N376" s="6">
        <v>4757.82</v>
      </c>
      <c r="O376" s="6">
        <f t="shared" si="26"/>
        <v>4063.0599999999995</v>
      </c>
      <c r="P376" s="6">
        <f t="shared" si="27"/>
        <v>5.8481490010939021</v>
      </c>
      <c r="Q376" s="3">
        <v>6.85</v>
      </c>
      <c r="R376" t="str">
        <f t="shared" si="28"/>
        <v>High</v>
      </c>
      <c r="S376" t="str">
        <f t="shared" si="29"/>
        <v>Valid</v>
      </c>
    </row>
    <row r="377" spans="1:19" x14ac:dyDescent="0.25">
      <c r="A377" s="1">
        <v>45463</v>
      </c>
      <c r="B377" s="1" t="str">
        <f t="shared" si="25"/>
        <v>2024-06</v>
      </c>
      <c r="C377" t="s">
        <v>28</v>
      </c>
      <c r="D377" t="s">
        <v>21</v>
      </c>
      <c r="E377" t="s">
        <v>19</v>
      </c>
      <c r="F377" t="s">
        <v>26</v>
      </c>
      <c r="G377" s="4">
        <v>29502</v>
      </c>
      <c r="H377" s="4">
        <v>604</v>
      </c>
      <c r="I377" s="5">
        <v>2.0500000000000001E-2</v>
      </c>
      <c r="J377" s="2">
        <v>1.61</v>
      </c>
      <c r="K377" s="6">
        <v>972.44</v>
      </c>
      <c r="L377" s="4">
        <v>30</v>
      </c>
      <c r="M377" s="2">
        <v>32.409999999999997</v>
      </c>
      <c r="N377" s="6">
        <v>5842.59</v>
      </c>
      <c r="O377" s="6">
        <f t="shared" si="26"/>
        <v>4870.1499999999996</v>
      </c>
      <c r="P377" s="6">
        <f t="shared" si="27"/>
        <v>5.0081753115873466</v>
      </c>
      <c r="Q377" s="3">
        <v>6.01</v>
      </c>
      <c r="R377" t="str">
        <f t="shared" si="28"/>
        <v>High</v>
      </c>
      <c r="S377" t="str">
        <f t="shared" si="29"/>
        <v>Valid</v>
      </c>
    </row>
    <row r="378" spans="1:19" x14ac:dyDescent="0.25">
      <c r="A378" s="1">
        <v>45549</v>
      </c>
      <c r="B378" s="1" t="str">
        <f t="shared" si="25"/>
        <v>2024-09</v>
      </c>
      <c r="C378" t="s">
        <v>18</v>
      </c>
      <c r="D378" t="s">
        <v>15</v>
      </c>
      <c r="E378" t="s">
        <v>30</v>
      </c>
      <c r="F378" t="s">
        <v>27</v>
      </c>
      <c r="G378" s="4">
        <v>198085</v>
      </c>
      <c r="H378" s="4">
        <v>14460</v>
      </c>
      <c r="I378" s="5">
        <v>7.2999999999999995E-2</v>
      </c>
      <c r="J378" s="2">
        <v>0.82</v>
      </c>
      <c r="K378" s="6">
        <v>11857.2</v>
      </c>
      <c r="L378" s="4">
        <v>1133</v>
      </c>
      <c r="M378" s="2">
        <v>10.47</v>
      </c>
      <c r="N378" s="6">
        <v>295028.26</v>
      </c>
      <c r="O378" s="6">
        <f t="shared" si="26"/>
        <v>283171.06</v>
      </c>
      <c r="P378" s="6">
        <f t="shared" si="27"/>
        <v>23.88178153358297</v>
      </c>
      <c r="Q378" s="3">
        <v>24.88</v>
      </c>
      <c r="R378" t="str">
        <f t="shared" si="28"/>
        <v>High</v>
      </c>
      <c r="S378" t="str">
        <f t="shared" si="29"/>
        <v>Valid</v>
      </c>
    </row>
    <row r="379" spans="1:19" x14ac:dyDescent="0.25">
      <c r="A379" s="1">
        <v>45487</v>
      </c>
      <c r="B379" s="1" t="str">
        <f t="shared" si="25"/>
        <v>2024-07</v>
      </c>
      <c r="C379" t="s">
        <v>28</v>
      </c>
      <c r="D379" t="s">
        <v>24</v>
      </c>
      <c r="E379" t="s">
        <v>22</v>
      </c>
      <c r="F379" t="s">
        <v>23</v>
      </c>
      <c r="G379" s="4">
        <v>111802</v>
      </c>
      <c r="H379" s="4">
        <v>2247</v>
      </c>
      <c r="I379" s="5">
        <v>2.01E-2</v>
      </c>
      <c r="J379" s="2">
        <v>1.65</v>
      </c>
      <c r="K379" s="6">
        <v>3707.55</v>
      </c>
      <c r="L379" s="4">
        <v>163</v>
      </c>
      <c r="M379" s="2">
        <v>22.75</v>
      </c>
      <c r="N379" s="6">
        <v>6163.84</v>
      </c>
      <c r="O379" s="6">
        <f t="shared" si="26"/>
        <v>2456.29</v>
      </c>
      <c r="P379" s="6">
        <f t="shared" si="27"/>
        <v>0.66251028307103066</v>
      </c>
      <c r="Q379" s="3">
        <v>1.66</v>
      </c>
      <c r="R379" t="str">
        <f t="shared" si="28"/>
        <v>Medium</v>
      </c>
      <c r="S379" t="str">
        <f t="shared" si="29"/>
        <v>Valid</v>
      </c>
    </row>
    <row r="380" spans="1:19" x14ac:dyDescent="0.25">
      <c r="A380" s="1">
        <v>45505</v>
      </c>
      <c r="B380" s="1" t="str">
        <f t="shared" si="25"/>
        <v>2024-08</v>
      </c>
      <c r="C380" t="s">
        <v>14</v>
      </c>
      <c r="D380" t="s">
        <v>24</v>
      </c>
      <c r="E380" t="s">
        <v>19</v>
      </c>
      <c r="F380" t="s">
        <v>17</v>
      </c>
      <c r="G380" s="4">
        <v>65186</v>
      </c>
      <c r="H380" s="4">
        <v>1955</v>
      </c>
      <c r="I380" s="5">
        <v>0.03</v>
      </c>
      <c r="J380" s="2">
        <v>2.2599999999999998</v>
      </c>
      <c r="K380" s="6">
        <v>4418.3</v>
      </c>
      <c r="L380" s="4">
        <v>89</v>
      </c>
      <c r="M380" s="2">
        <v>49.64</v>
      </c>
      <c r="N380" s="6">
        <v>13375.79</v>
      </c>
      <c r="O380" s="6">
        <f t="shared" si="26"/>
        <v>8957.4900000000016</v>
      </c>
      <c r="P380" s="6">
        <f t="shared" si="27"/>
        <v>2.0273612022723673</v>
      </c>
      <c r="Q380" s="3">
        <v>3.03</v>
      </c>
      <c r="R380" t="str">
        <f t="shared" si="28"/>
        <v>High</v>
      </c>
      <c r="S380" t="str">
        <f t="shared" si="29"/>
        <v>Valid</v>
      </c>
    </row>
    <row r="381" spans="1:19" x14ac:dyDescent="0.25">
      <c r="A381" s="1">
        <v>45458</v>
      </c>
      <c r="B381" s="1" t="str">
        <f t="shared" si="25"/>
        <v>2024-06</v>
      </c>
      <c r="C381" t="s">
        <v>18</v>
      </c>
      <c r="D381" t="s">
        <v>21</v>
      </c>
      <c r="E381" t="s">
        <v>19</v>
      </c>
      <c r="F381" t="s">
        <v>20</v>
      </c>
      <c r="G381" s="4">
        <v>101176</v>
      </c>
      <c r="H381" s="4">
        <v>6505</v>
      </c>
      <c r="I381" s="5">
        <v>6.4299999999999996E-2</v>
      </c>
      <c r="J381" s="2">
        <v>0.96</v>
      </c>
      <c r="K381" s="6">
        <v>6244.8</v>
      </c>
      <c r="L381" s="4">
        <v>459</v>
      </c>
      <c r="M381" s="2">
        <v>13.61</v>
      </c>
      <c r="N381" s="6">
        <v>44008.34</v>
      </c>
      <c r="O381" s="6">
        <f t="shared" si="26"/>
        <v>37763.539999999994</v>
      </c>
      <c r="P381" s="6">
        <f t="shared" si="27"/>
        <v>6.047197668460158</v>
      </c>
      <c r="Q381" s="3">
        <v>7.05</v>
      </c>
      <c r="R381" t="str">
        <f t="shared" si="28"/>
        <v>High</v>
      </c>
      <c r="S381" t="str">
        <f t="shared" si="29"/>
        <v>Valid</v>
      </c>
    </row>
    <row r="382" spans="1:19" x14ac:dyDescent="0.25">
      <c r="A382" s="1">
        <v>45511</v>
      </c>
      <c r="B382" s="1" t="str">
        <f t="shared" si="25"/>
        <v>2024-08</v>
      </c>
      <c r="C382" t="s">
        <v>18</v>
      </c>
      <c r="D382" t="s">
        <v>21</v>
      </c>
      <c r="E382" t="s">
        <v>25</v>
      </c>
      <c r="F382" t="s">
        <v>17</v>
      </c>
      <c r="G382" s="4">
        <v>41307</v>
      </c>
      <c r="H382" s="4">
        <v>1367</v>
      </c>
      <c r="I382" s="5">
        <v>3.3099999999999997E-2</v>
      </c>
      <c r="J382" s="2">
        <v>0.56999999999999995</v>
      </c>
      <c r="K382" s="6">
        <v>779.19</v>
      </c>
      <c r="L382" s="4">
        <v>92</v>
      </c>
      <c r="M382" s="2">
        <v>8.4700000000000006</v>
      </c>
      <c r="N382" s="6">
        <v>6211.99</v>
      </c>
      <c r="O382" s="6">
        <f t="shared" si="26"/>
        <v>5432.7999999999993</v>
      </c>
      <c r="P382" s="6">
        <f t="shared" si="27"/>
        <v>6.9723687418986371</v>
      </c>
      <c r="Q382" s="3">
        <v>7.97</v>
      </c>
      <c r="R382" t="str">
        <f t="shared" si="28"/>
        <v>High</v>
      </c>
      <c r="S382" t="str">
        <f t="shared" si="29"/>
        <v>Valid</v>
      </c>
    </row>
    <row r="383" spans="1:19" x14ac:dyDescent="0.25">
      <c r="A383" s="1">
        <v>45424</v>
      </c>
      <c r="B383" s="1" t="str">
        <f t="shared" si="25"/>
        <v>2024-05</v>
      </c>
      <c r="C383" t="s">
        <v>28</v>
      </c>
      <c r="D383" t="s">
        <v>21</v>
      </c>
      <c r="E383" t="s">
        <v>19</v>
      </c>
      <c r="F383" t="s">
        <v>20</v>
      </c>
      <c r="G383" s="4">
        <v>174579</v>
      </c>
      <c r="H383" s="4">
        <v>3247</v>
      </c>
      <c r="I383" s="5">
        <v>1.8599999999999998E-2</v>
      </c>
      <c r="J383" s="2">
        <v>1.33</v>
      </c>
      <c r="K383" s="6">
        <v>4318.51</v>
      </c>
      <c r="L383" s="4">
        <v>187</v>
      </c>
      <c r="M383" s="2">
        <v>23.09</v>
      </c>
      <c r="N383" s="6">
        <v>41760.07</v>
      </c>
      <c r="O383" s="6">
        <f t="shared" si="26"/>
        <v>37441.56</v>
      </c>
      <c r="P383" s="6">
        <f t="shared" si="27"/>
        <v>8.6700181312536024</v>
      </c>
      <c r="Q383" s="3">
        <v>9.67</v>
      </c>
      <c r="R383" t="str">
        <f t="shared" si="28"/>
        <v>High</v>
      </c>
      <c r="S383" t="str">
        <f t="shared" si="29"/>
        <v>Valid</v>
      </c>
    </row>
    <row r="384" spans="1:19" x14ac:dyDescent="0.25">
      <c r="A384" s="1">
        <v>45336</v>
      </c>
      <c r="B384" s="1" t="str">
        <f t="shared" si="25"/>
        <v>2024-02</v>
      </c>
      <c r="C384" t="s">
        <v>28</v>
      </c>
      <c r="D384" t="s">
        <v>21</v>
      </c>
      <c r="E384" t="s">
        <v>25</v>
      </c>
      <c r="F384" t="s">
        <v>31</v>
      </c>
      <c r="G384" s="4">
        <v>83137</v>
      </c>
      <c r="H384" s="4">
        <v>2045</v>
      </c>
      <c r="I384" s="5">
        <v>2.46E-2</v>
      </c>
      <c r="J384" s="2">
        <v>1.01</v>
      </c>
      <c r="K384" s="6">
        <v>2065.4499999999998</v>
      </c>
      <c r="L384" s="4">
        <v>37</v>
      </c>
      <c r="M384" s="2">
        <v>55.82</v>
      </c>
      <c r="N384" s="6">
        <v>1798.59</v>
      </c>
      <c r="O384" s="6">
        <f t="shared" si="26"/>
        <v>-266.8599999999999</v>
      </c>
      <c r="P384" s="6">
        <f t="shared" si="27"/>
        <v>-0.12920186884214091</v>
      </c>
      <c r="Q384" s="3">
        <v>0.87</v>
      </c>
      <c r="R384" t="str">
        <f t="shared" si="28"/>
        <v>Low</v>
      </c>
      <c r="S384" t="str">
        <f t="shared" si="29"/>
        <v>Valid</v>
      </c>
    </row>
    <row r="385" spans="1:19" x14ac:dyDescent="0.25">
      <c r="A385" s="1">
        <v>45295</v>
      </c>
      <c r="B385" s="1" t="str">
        <f t="shared" si="25"/>
        <v>2024-01</v>
      </c>
      <c r="C385" t="s">
        <v>28</v>
      </c>
      <c r="D385" t="s">
        <v>15</v>
      </c>
      <c r="E385" t="s">
        <v>22</v>
      </c>
      <c r="F385" t="s">
        <v>20</v>
      </c>
      <c r="G385" s="4">
        <v>122897</v>
      </c>
      <c r="H385" s="4">
        <v>2040</v>
      </c>
      <c r="I385" s="5">
        <v>1.66E-2</v>
      </c>
      <c r="J385" s="2">
        <v>0.77</v>
      </c>
      <c r="K385" s="6">
        <v>1570.8</v>
      </c>
      <c r="L385" s="4">
        <v>159</v>
      </c>
      <c r="M385" s="2">
        <v>9.8800000000000008</v>
      </c>
      <c r="N385" s="6">
        <v>45753.83</v>
      </c>
      <c r="O385" s="6">
        <f t="shared" si="26"/>
        <v>44183.03</v>
      </c>
      <c r="P385" s="6">
        <f t="shared" si="27"/>
        <v>28.127724726254137</v>
      </c>
      <c r="Q385" s="3">
        <v>29.13</v>
      </c>
      <c r="R385" t="str">
        <f t="shared" si="28"/>
        <v>High</v>
      </c>
      <c r="S385" t="str">
        <f t="shared" si="29"/>
        <v>Valid</v>
      </c>
    </row>
    <row r="386" spans="1:19" x14ac:dyDescent="0.25">
      <c r="A386" s="1">
        <v>45582</v>
      </c>
      <c r="B386" s="1" t="str">
        <f t="shared" si="25"/>
        <v>2024-10</v>
      </c>
      <c r="C386" t="s">
        <v>18</v>
      </c>
      <c r="D386" t="s">
        <v>15</v>
      </c>
      <c r="E386" t="s">
        <v>22</v>
      </c>
      <c r="F386" t="s">
        <v>31</v>
      </c>
      <c r="G386" s="4">
        <v>47462</v>
      </c>
      <c r="H386" s="4">
        <v>1803</v>
      </c>
      <c r="I386" s="5">
        <v>3.7999999999999999E-2</v>
      </c>
      <c r="J386" s="2">
        <v>0.53</v>
      </c>
      <c r="K386" s="6">
        <v>955.59</v>
      </c>
      <c r="L386" s="4">
        <v>98</v>
      </c>
      <c r="M386" s="2">
        <v>9.75</v>
      </c>
      <c r="N386" s="6">
        <v>29213.279999999999</v>
      </c>
      <c r="O386" s="6">
        <f t="shared" si="26"/>
        <v>28257.69</v>
      </c>
      <c r="P386" s="6">
        <f t="shared" si="27"/>
        <v>29.570935233729944</v>
      </c>
      <c r="Q386" s="3">
        <v>30.57</v>
      </c>
      <c r="R386" t="str">
        <f t="shared" si="28"/>
        <v>High</v>
      </c>
      <c r="S386" t="str">
        <f t="shared" si="29"/>
        <v>Valid</v>
      </c>
    </row>
    <row r="387" spans="1:19" x14ac:dyDescent="0.25">
      <c r="A387" s="1">
        <v>45462</v>
      </c>
      <c r="B387" s="1" t="str">
        <f t="shared" ref="B387:B450" si="30">TEXT(A387, "yyyy-mm")</f>
        <v>2024-06</v>
      </c>
      <c r="C387" t="s">
        <v>18</v>
      </c>
      <c r="D387" t="s">
        <v>29</v>
      </c>
      <c r="E387" t="s">
        <v>19</v>
      </c>
      <c r="F387" t="s">
        <v>26</v>
      </c>
      <c r="G387" s="4">
        <v>99202</v>
      </c>
      <c r="H387" s="4">
        <v>6428</v>
      </c>
      <c r="I387" s="5">
        <v>6.4799999999999996E-2</v>
      </c>
      <c r="J387" s="2">
        <v>1.54</v>
      </c>
      <c r="K387" s="6">
        <v>9899.1200000000008</v>
      </c>
      <c r="L387" s="4">
        <v>165</v>
      </c>
      <c r="M387" s="2">
        <v>59.99</v>
      </c>
      <c r="N387" s="6">
        <v>34456.26</v>
      </c>
      <c r="O387" s="6">
        <f t="shared" ref="O387:O450" si="31">N387-K387</f>
        <v>24557.14</v>
      </c>
      <c r="P387" s="6">
        <f t="shared" ref="P387:P450" si="32">IFERROR(O387/K387, "")</f>
        <v>2.4807397021149353</v>
      </c>
      <c r="Q387" s="3">
        <v>3.48</v>
      </c>
      <c r="R387" t="str">
        <f t="shared" ref="R387:R450" si="33">IF(Q387 &gt;= 3, "High", IF(Q387&gt;=1, "Medium", "Low"))</f>
        <v>High</v>
      </c>
      <c r="S387" t="str">
        <f t="shared" ref="S387:S450" si="34">IF(OR(G387=0, H387&gt;G387, L387&gt;H387), "Invalid", "Valid")</f>
        <v>Valid</v>
      </c>
    </row>
    <row r="388" spans="1:19" x14ac:dyDescent="0.25">
      <c r="A388" s="1">
        <v>45348</v>
      </c>
      <c r="B388" s="1" t="str">
        <f t="shared" si="30"/>
        <v>2024-02</v>
      </c>
      <c r="C388" t="s">
        <v>28</v>
      </c>
      <c r="D388" t="s">
        <v>24</v>
      </c>
      <c r="E388" t="s">
        <v>25</v>
      </c>
      <c r="F388" t="s">
        <v>23</v>
      </c>
      <c r="G388" s="4">
        <v>125871</v>
      </c>
      <c r="H388" s="4">
        <v>3083</v>
      </c>
      <c r="I388" s="5">
        <v>2.4500000000000001E-2</v>
      </c>
      <c r="J388" s="2">
        <v>1.72</v>
      </c>
      <c r="K388" s="6">
        <v>5302.76</v>
      </c>
      <c r="L388" s="4">
        <v>185</v>
      </c>
      <c r="M388" s="2">
        <v>28.66</v>
      </c>
      <c r="N388" s="6">
        <v>27759.15</v>
      </c>
      <c r="O388" s="6">
        <f t="shared" si="31"/>
        <v>22456.39</v>
      </c>
      <c r="P388" s="6">
        <f t="shared" si="32"/>
        <v>4.2348493991808036</v>
      </c>
      <c r="Q388" s="3">
        <v>5.23</v>
      </c>
      <c r="R388" t="str">
        <f t="shared" si="33"/>
        <v>High</v>
      </c>
      <c r="S388" t="str">
        <f t="shared" si="34"/>
        <v>Valid</v>
      </c>
    </row>
    <row r="389" spans="1:19" x14ac:dyDescent="0.25">
      <c r="A389" s="1">
        <v>45361</v>
      </c>
      <c r="B389" s="1" t="str">
        <f t="shared" si="30"/>
        <v>2024-03</v>
      </c>
      <c r="C389" t="s">
        <v>14</v>
      </c>
      <c r="D389" t="s">
        <v>15</v>
      </c>
      <c r="E389" t="s">
        <v>22</v>
      </c>
      <c r="F389" t="s">
        <v>20</v>
      </c>
      <c r="G389" s="4">
        <v>8880</v>
      </c>
      <c r="H389" s="4">
        <v>216</v>
      </c>
      <c r="I389" s="5">
        <v>2.4400000000000002E-2</v>
      </c>
      <c r="J389" s="2">
        <v>2.06</v>
      </c>
      <c r="K389" s="6">
        <v>444.96</v>
      </c>
      <c r="L389" s="4">
        <v>6</v>
      </c>
      <c r="M389" s="2">
        <v>74.16</v>
      </c>
      <c r="N389" s="6">
        <v>1186.19</v>
      </c>
      <c r="O389" s="6">
        <f t="shared" si="31"/>
        <v>741.23</v>
      </c>
      <c r="P389" s="6">
        <f t="shared" si="32"/>
        <v>1.6658351312477526</v>
      </c>
      <c r="Q389" s="3">
        <v>2.67</v>
      </c>
      <c r="R389" t="str">
        <f t="shared" si="33"/>
        <v>Medium</v>
      </c>
      <c r="S389" t="str">
        <f t="shared" si="34"/>
        <v>Valid</v>
      </c>
    </row>
    <row r="390" spans="1:19" x14ac:dyDescent="0.25">
      <c r="A390" s="1">
        <v>45626</v>
      </c>
      <c r="B390" s="1" t="str">
        <f t="shared" si="30"/>
        <v>2024-11</v>
      </c>
      <c r="C390" t="s">
        <v>14</v>
      </c>
      <c r="D390" t="s">
        <v>24</v>
      </c>
      <c r="E390" t="s">
        <v>19</v>
      </c>
      <c r="F390" t="s">
        <v>23</v>
      </c>
      <c r="G390" s="4">
        <v>156388</v>
      </c>
      <c r="H390" s="4">
        <v>7021</v>
      </c>
      <c r="I390" s="5">
        <v>4.4900000000000002E-2</v>
      </c>
      <c r="J390" s="2">
        <v>1.64</v>
      </c>
      <c r="K390" s="6">
        <v>11514.44</v>
      </c>
      <c r="L390" s="4">
        <v>315</v>
      </c>
      <c r="M390" s="2">
        <v>36.549999999999997</v>
      </c>
      <c r="N390" s="6">
        <v>34670.519999999997</v>
      </c>
      <c r="O390" s="6">
        <f t="shared" si="31"/>
        <v>23156.079999999994</v>
      </c>
      <c r="P390" s="6">
        <f t="shared" si="32"/>
        <v>2.0110469983776889</v>
      </c>
      <c r="Q390" s="3">
        <v>3.01</v>
      </c>
      <c r="R390" t="str">
        <f t="shared" si="33"/>
        <v>High</v>
      </c>
      <c r="S390" t="str">
        <f t="shared" si="34"/>
        <v>Valid</v>
      </c>
    </row>
    <row r="391" spans="1:19" x14ac:dyDescent="0.25">
      <c r="A391" s="1">
        <v>45378</v>
      </c>
      <c r="B391" s="1" t="str">
        <f t="shared" si="30"/>
        <v>2024-03</v>
      </c>
      <c r="C391" t="s">
        <v>14</v>
      </c>
      <c r="D391" t="s">
        <v>21</v>
      </c>
      <c r="E391" t="s">
        <v>19</v>
      </c>
      <c r="F391" t="s">
        <v>20</v>
      </c>
      <c r="G391" s="4">
        <v>109672</v>
      </c>
      <c r="H391" s="4">
        <v>2675</v>
      </c>
      <c r="I391" s="5">
        <v>2.4400000000000002E-2</v>
      </c>
      <c r="J391" s="2">
        <v>2.5499999999999998</v>
      </c>
      <c r="K391" s="6">
        <v>6821.25</v>
      </c>
      <c r="L391" s="4">
        <v>50</v>
      </c>
      <c r="M391" s="2">
        <v>136.43</v>
      </c>
      <c r="N391" s="6">
        <v>11521.03</v>
      </c>
      <c r="O391" s="6">
        <f t="shared" si="31"/>
        <v>4699.7800000000007</v>
      </c>
      <c r="P391" s="6">
        <f t="shared" si="32"/>
        <v>0.68899102070734841</v>
      </c>
      <c r="Q391" s="3">
        <v>1.69</v>
      </c>
      <c r="R391" t="str">
        <f t="shared" si="33"/>
        <v>Medium</v>
      </c>
      <c r="S391" t="str">
        <f t="shared" si="34"/>
        <v>Valid</v>
      </c>
    </row>
    <row r="392" spans="1:19" x14ac:dyDescent="0.25">
      <c r="A392" s="1">
        <v>45419</v>
      </c>
      <c r="B392" s="1" t="str">
        <f t="shared" si="30"/>
        <v>2024-05</v>
      </c>
      <c r="C392" t="s">
        <v>28</v>
      </c>
      <c r="D392" t="s">
        <v>29</v>
      </c>
      <c r="E392" t="s">
        <v>25</v>
      </c>
      <c r="F392" t="s">
        <v>17</v>
      </c>
      <c r="G392" s="4">
        <v>70030</v>
      </c>
      <c r="H392" s="4">
        <v>1470</v>
      </c>
      <c r="I392" s="5">
        <v>2.1000000000000001E-2</v>
      </c>
      <c r="J392" s="2">
        <v>1.68</v>
      </c>
      <c r="K392" s="6">
        <v>2469.6</v>
      </c>
      <c r="L392" s="4">
        <v>90</v>
      </c>
      <c r="M392" s="2">
        <v>27.44</v>
      </c>
      <c r="N392" s="6">
        <v>9384.9</v>
      </c>
      <c r="O392" s="6">
        <f t="shared" si="31"/>
        <v>6915.2999999999993</v>
      </c>
      <c r="P392" s="6">
        <f t="shared" si="32"/>
        <v>2.8001700680272106</v>
      </c>
      <c r="Q392" s="3">
        <v>3.8</v>
      </c>
      <c r="R392" t="str">
        <f t="shared" si="33"/>
        <v>High</v>
      </c>
      <c r="S392" t="str">
        <f t="shared" si="34"/>
        <v>Valid</v>
      </c>
    </row>
    <row r="393" spans="1:19" x14ac:dyDescent="0.25">
      <c r="A393" s="1">
        <v>45294</v>
      </c>
      <c r="B393" s="1" t="str">
        <f t="shared" si="30"/>
        <v>2024-01</v>
      </c>
      <c r="C393" t="s">
        <v>28</v>
      </c>
      <c r="D393" t="s">
        <v>21</v>
      </c>
      <c r="E393" t="s">
        <v>19</v>
      </c>
      <c r="F393" t="s">
        <v>31</v>
      </c>
      <c r="G393" s="4">
        <v>149375</v>
      </c>
      <c r="H393" s="4">
        <v>6109</v>
      </c>
      <c r="I393" s="5">
        <v>4.0899999999999999E-2</v>
      </c>
      <c r="J393" s="2">
        <v>2.1800000000000002</v>
      </c>
      <c r="K393" s="6">
        <v>13317.62</v>
      </c>
      <c r="L393" s="4">
        <v>89</v>
      </c>
      <c r="M393" s="2">
        <v>149.63999999999999</v>
      </c>
      <c r="N393" s="6">
        <v>22418.799999999999</v>
      </c>
      <c r="O393" s="6">
        <f t="shared" si="31"/>
        <v>9101.1799999999985</v>
      </c>
      <c r="P393" s="6">
        <f t="shared" si="32"/>
        <v>0.68339387968721121</v>
      </c>
      <c r="Q393" s="3">
        <v>1.68</v>
      </c>
      <c r="R393" t="str">
        <f t="shared" si="33"/>
        <v>Medium</v>
      </c>
      <c r="S393" t="str">
        <f t="shared" si="34"/>
        <v>Valid</v>
      </c>
    </row>
    <row r="394" spans="1:19" x14ac:dyDescent="0.25">
      <c r="A394" s="1">
        <v>45450</v>
      </c>
      <c r="B394" s="1" t="str">
        <f t="shared" si="30"/>
        <v>2024-06</v>
      </c>
      <c r="C394" t="s">
        <v>28</v>
      </c>
      <c r="D394" t="s">
        <v>15</v>
      </c>
      <c r="E394" t="s">
        <v>16</v>
      </c>
      <c r="F394" t="s">
        <v>27</v>
      </c>
      <c r="G394" s="4">
        <v>123171</v>
      </c>
      <c r="H394" s="4">
        <v>3756</v>
      </c>
      <c r="I394" s="5">
        <v>3.0499999999999999E-2</v>
      </c>
      <c r="J394" s="2">
        <v>1.86</v>
      </c>
      <c r="K394" s="6">
        <v>6986.16</v>
      </c>
      <c r="L394" s="4">
        <v>52</v>
      </c>
      <c r="M394" s="2">
        <v>134.35</v>
      </c>
      <c r="N394" s="6">
        <v>7553.6</v>
      </c>
      <c r="O394" s="6">
        <f t="shared" si="31"/>
        <v>567.44000000000051</v>
      </c>
      <c r="P394" s="6">
        <f t="shared" si="32"/>
        <v>8.122344750191815E-2</v>
      </c>
      <c r="Q394" s="3">
        <v>1.08</v>
      </c>
      <c r="R394" t="str">
        <f t="shared" si="33"/>
        <v>Medium</v>
      </c>
      <c r="S394" t="str">
        <f t="shared" si="34"/>
        <v>Valid</v>
      </c>
    </row>
    <row r="395" spans="1:19" x14ac:dyDescent="0.25">
      <c r="A395" s="1">
        <v>45367</v>
      </c>
      <c r="B395" s="1" t="str">
        <f t="shared" si="30"/>
        <v>2024-03</v>
      </c>
      <c r="C395" t="s">
        <v>28</v>
      </c>
      <c r="D395" t="s">
        <v>15</v>
      </c>
      <c r="E395" t="s">
        <v>25</v>
      </c>
      <c r="F395" t="s">
        <v>20</v>
      </c>
      <c r="G395" s="4">
        <v>52779</v>
      </c>
      <c r="H395" s="4">
        <v>596</v>
      </c>
      <c r="I395" s="5">
        <v>1.1299999999999999E-2</v>
      </c>
      <c r="J395" s="2">
        <v>1.0900000000000001</v>
      </c>
      <c r="K395" s="6">
        <v>649.64</v>
      </c>
      <c r="L395" s="4">
        <v>35</v>
      </c>
      <c r="M395" s="2">
        <v>18.559999999999999</v>
      </c>
      <c r="N395" s="6">
        <v>3583.95</v>
      </c>
      <c r="O395" s="6">
        <f t="shared" si="31"/>
        <v>2934.31</v>
      </c>
      <c r="P395" s="6">
        <f t="shared" si="32"/>
        <v>4.5168247029123823</v>
      </c>
      <c r="Q395" s="3">
        <v>5.52</v>
      </c>
      <c r="R395" t="str">
        <f t="shared" si="33"/>
        <v>High</v>
      </c>
      <c r="S395" t="str">
        <f t="shared" si="34"/>
        <v>Valid</v>
      </c>
    </row>
    <row r="396" spans="1:19" x14ac:dyDescent="0.25">
      <c r="A396" s="1">
        <v>45435</v>
      </c>
      <c r="B396" s="1" t="str">
        <f t="shared" si="30"/>
        <v>2024-05</v>
      </c>
      <c r="C396" t="s">
        <v>14</v>
      </c>
      <c r="D396" t="s">
        <v>29</v>
      </c>
      <c r="E396" t="s">
        <v>16</v>
      </c>
      <c r="F396" t="s">
        <v>23</v>
      </c>
      <c r="G396" s="4">
        <v>117036</v>
      </c>
      <c r="H396" s="4">
        <v>3569</v>
      </c>
      <c r="I396" s="5">
        <v>3.0499999999999999E-2</v>
      </c>
      <c r="J396" s="2">
        <v>2.13</v>
      </c>
      <c r="K396" s="6">
        <v>7601.97</v>
      </c>
      <c r="L396" s="4">
        <v>178</v>
      </c>
      <c r="M396" s="2">
        <v>42.71</v>
      </c>
      <c r="N396" s="6">
        <v>11935.14</v>
      </c>
      <c r="O396" s="6">
        <f t="shared" si="31"/>
        <v>4333.1699999999992</v>
      </c>
      <c r="P396" s="6">
        <f t="shared" si="32"/>
        <v>0.57000619576241407</v>
      </c>
      <c r="Q396" s="3">
        <v>1.57</v>
      </c>
      <c r="R396" t="str">
        <f t="shared" si="33"/>
        <v>Medium</v>
      </c>
      <c r="S396" t="str">
        <f t="shared" si="34"/>
        <v>Valid</v>
      </c>
    </row>
    <row r="397" spans="1:19" x14ac:dyDescent="0.25">
      <c r="A397" s="1">
        <v>45490</v>
      </c>
      <c r="B397" s="1" t="str">
        <f t="shared" si="30"/>
        <v>2024-07</v>
      </c>
      <c r="C397" t="s">
        <v>18</v>
      </c>
      <c r="D397" t="s">
        <v>24</v>
      </c>
      <c r="E397" t="s">
        <v>30</v>
      </c>
      <c r="F397" t="s">
        <v>17</v>
      </c>
      <c r="G397" s="4">
        <v>177517</v>
      </c>
      <c r="H397" s="4">
        <v>13917</v>
      </c>
      <c r="I397" s="5">
        <v>7.8399999999999997E-2</v>
      </c>
      <c r="J397" s="2">
        <v>0.91</v>
      </c>
      <c r="K397" s="6">
        <v>12664.47</v>
      </c>
      <c r="L397" s="4">
        <v>671</v>
      </c>
      <c r="M397" s="2">
        <v>18.87</v>
      </c>
      <c r="N397" s="6">
        <v>36680.47</v>
      </c>
      <c r="O397" s="6">
        <f t="shared" si="31"/>
        <v>24016</v>
      </c>
      <c r="P397" s="6">
        <f t="shared" si="32"/>
        <v>1.8963288633476174</v>
      </c>
      <c r="Q397" s="3">
        <v>2.9</v>
      </c>
      <c r="R397" t="str">
        <f t="shared" si="33"/>
        <v>Medium</v>
      </c>
      <c r="S397" t="str">
        <f t="shared" si="34"/>
        <v>Valid</v>
      </c>
    </row>
    <row r="398" spans="1:19" x14ac:dyDescent="0.25">
      <c r="A398" s="1">
        <v>45656</v>
      </c>
      <c r="B398" s="1" t="str">
        <f t="shared" si="30"/>
        <v>2024-12</v>
      </c>
      <c r="C398" t="s">
        <v>18</v>
      </c>
      <c r="D398" t="s">
        <v>15</v>
      </c>
      <c r="E398" t="s">
        <v>19</v>
      </c>
      <c r="F398" t="s">
        <v>26</v>
      </c>
      <c r="G398" s="4">
        <v>196349</v>
      </c>
      <c r="H398" s="4">
        <v>8325</v>
      </c>
      <c r="I398" s="5">
        <v>4.24E-2</v>
      </c>
      <c r="J398" s="2">
        <v>0.69</v>
      </c>
      <c r="K398" s="6">
        <v>5744.25</v>
      </c>
      <c r="L398" s="4">
        <v>398</v>
      </c>
      <c r="M398" s="2">
        <v>14.43</v>
      </c>
      <c r="N398" s="6">
        <v>42464.91</v>
      </c>
      <c r="O398" s="6">
        <f t="shared" si="31"/>
        <v>36720.660000000003</v>
      </c>
      <c r="P398" s="6">
        <f t="shared" si="32"/>
        <v>6.392594333463899</v>
      </c>
      <c r="Q398" s="3">
        <v>7.39</v>
      </c>
      <c r="R398" t="str">
        <f t="shared" si="33"/>
        <v>High</v>
      </c>
      <c r="S398" t="str">
        <f t="shared" si="34"/>
        <v>Valid</v>
      </c>
    </row>
    <row r="399" spans="1:19" x14ac:dyDescent="0.25">
      <c r="A399" s="1">
        <v>45596</v>
      </c>
      <c r="B399" s="1" t="str">
        <f t="shared" si="30"/>
        <v>2024-10</v>
      </c>
      <c r="C399" t="s">
        <v>18</v>
      </c>
      <c r="D399" t="s">
        <v>15</v>
      </c>
      <c r="E399" t="s">
        <v>25</v>
      </c>
      <c r="F399" t="s">
        <v>17</v>
      </c>
      <c r="G399" s="4">
        <v>174898</v>
      </c>
      <c r="H399" s="4">
        <v>13029</v>
      </c>
      <c r="I399" s="5">
        <v>7.4499999999999997E-2</v>
      </c>
      <c r="J399" s="2">
        <v>1.26</v>
      </c>
      <c r="K399" s="6">
        <v>16416.54</v>
      </c>
      <c r="L399" s="4">
        <v>822</v>
      </c>
      <c r="M399" s="2">
        <v>19.97</v>
      </c>
      <c r="N399" s="6">
        <v>162206.84</v>
      </c>
      <c r="O399" s="6">
        <f t="shared" si="31"/>
        <v>145790.29999999999</v>
      </c>
      <c r="P399" s="6">
        <f t="shared" si="32"/>
        <v>8.8806959322731824</v>
      </c>
      <c r="Q399" s="3">
        <v>9.8800000000000008</v>
      </c>
      <c r="R399" t="str">
        <f t="shared" si="33"/>
        <v>High</v>
      </c>
      <c r="S399" t="str">
        <f t="shared" si="34"/>
        <v>Valid</v>
      </c>
    </row>
    <row r="400" spans="1:19" x14ac:dyDescent="0.25">
      <c r="A400" s="1">
        <v>45473</v>
      </c>
      <c r="B400" s="1" t="str">
        <f t="shared" si="30"/>
        <v>2024-06</v>
      </c>
      <c r="C400" t="s">
        <v>14</v>
      </c>
      <c r="D400" t="s">
        <v>29</v>
      </c>
      <c r="E400" t="s">
        <v>19</v>
      </c>
      <c r="F400" t="s">
        <v>23</v>
      </c>
      <c r="G400" s="4">
        <v>83972</v>
      </c>
      <c r="H400" s="4">
        <v>4903</v>
      </c>
      <c r="I400" s="5">
        <v>5.8400000000000001E-2</v>
      </c>
      <c r="J400" s="2">
        <v>2.9</v>
      </c>
      <c r="K400" s="6">
        <v>14218.7</v>
      </c>
      <c r="L400" s="4">
        <v>341</v>
      </c>
      <c r="M400" s="2">
        <v>41.7</v>
      </c>
      <c r="N400" s="6">
        <v>36574.449999999997</v>
      </c>
      <c r="O400" s="6">
        <f t="shared" si="31"/>
        <v>22355.749999999996</v>
      </c>
      <c r="P400" s="6">
        <f t="shared" si="32"/>
        <v>1.5722780563623957</v>
      </c>
      <c r="Q400" s="3">
        <v>2.57</v>
      </c>
      <c r="R400" t="str">
        <f t="shared" si="33"/>
        <v>Medium</v>
      </c>
      <c r="S400" t="str">
        <f t="shared" si="34"/>
        <v>Valid</v>
      </c>
    </row>
    <row r="401" spans="1:19" x14ac:dyDescent="0.25">
      <c r="A401" s="1">
        <v>45408</v>
      </c>
      <c r="B401" s="1" t="str">
        <f t="shared" si="30"/>
        <v>2024-04</v>
      </c>
      <c r="C401" t="s">
        <v>28</v>
      </c>
      <c r="D401" t="s">
        <v>15</v>
      </c>
      <c r="E401" t="s">
        <v>16</v>
      </c>
      <c r="F401" t="s">
        <v>23</v>
      </c>
      <c r="G401" s="4">
        <v>165371</v>
      </c>
      <c r="H401" s="4">
        <v>2993</v>
      </c>
      <c r="I401" s="5">
        <v>1.8100000000000002E-2</v>
      </c>
      <c r="J401" s="2">
        <v>1.51</v>
      </c>
      <c r="K401" s="6">
        <v>4519.43</v>
      </c>
      <c r="L401" s="4">
        <v>32</v>
      </c>
      <c r="M401" s="2">
        <v>141.22999999999999</v>
      </c>
      <c r="N401" s="6">
        <v>8918.68</v>
      </c>
      <c r="O401" s="6">
        <f t="shared" si="31"/>
        <v>4399.25</v>
      </c>
      <c r="P401" s="6">
        <f t="shared" si="32"/>
        <v>0.97340815102789502</v>
      </c>
      <c r="Q401" s="3">
        <v>1.97</v>
      </c>
      <c r="R401" t="str">
        <f t="shared" si="33"/>
        <v>Medium</v>
      </c>
      <c r="S401" t="str">
        <f t="shared" si="34"/>
        <v>Valid</v>
      </c>
    </row>
    <row r="402" spans="1:19" x14ac:dyDescent="0.25">
      <c r="A402" s="1">
        <v>45534</v>
      </c>
      <c r="B402" s="1" t="str">
        <f t="shared" si="30"/>
        <v>2024-08</v>
      </c>
      <c r="C402" t="s">
        <v>18</v>
      </c>
      <c r="D402" t="s">
        <v>24</v>
      </c>
      <c r="E402" t="s">
        <v>16</v>
      </c>
      <c r="F402" t="s">
        <v>23</v>
      </c>
      <c r="G402" s="4">
        <v>133949</v>
      </c>
      <c r="H402" s="4">
        <v>7219</v>
      </c>
      <c r="I402" s="5">
        <v>5.3900000000000003E-2</v>
      </c>
      <c r="J402" s="2">
        <v>1.52</v>
      </c>
      <c r="K402" s="6">
        <v>10972.88</v>
      </c>
      <c r="L402" s="4">
        <v>73</v>
      </c>
      <c r="M402" s="2">
        <v>150.31</v>
      </c>
      <c r="N402" s="6">
        <v>21583.279999999999</v>
      </c>
      <c r="O402" s="6">
        <f t="shared" si="31"/>
        <v>10610.4</v>
      </c>
      <c r="P402" s="6">
        <f t="shared" si="32"/>
        <v>0.96696582847894086</v>
      </c>
      <c r="Q402" s="3">
        <v>1.97</v>
      </c>
      <c r="R402" t="str">
        <f t="shared" si="33"/>
        <v>Medium</v>
      </c>
      <c r="S402" t="str">
        <f t="shared" si="34"/>
        <v>Valid</v>
      </c>
    </row>
    <row r="403" spans="1:19" x14ac:dyDescent="0.25">
      <c r="A403" s="1">
        <v>45550</v>
      </c>
      <c r="B403" s="1" t="str">
        <f t="shared" si="30"/>
        <v>2024-09</v>
      </c>
      <c r="C403" t="s">
        <v>18</v>
      </c>
      <c r="D403" t="s">
        <v>29</v>
      </c>
      <c r="E403" t="s">
        <v>16</v>
      </c>
      <c r="F403" t="s">
        <v>32</v>
      </c>
      <c r="G403" s="4">
        <v>105400</v>
      </c>
      <c r="H403" s="4">
        <v>7704</v>
      </c>
      <c r="I403" s="5">
        <v>7.3099999999999998E-2</v>
      </c>
      <c r="J403" s="2">
        <v>1.1100000000000001</v>
      </c>
      <c r="K403" s="6">
        <v>8551.44</v>
      </c>
      <c r="L403" s="4">
        <v>442</v>
      </c>
      <c r="M403" s="2">
        <v>19.350000000000001</v>
      </c>
      <c r="N403" s="6">
        <v>49251.38</v>
      </c>
      <c r="O403" s="6">
        <f t="shared" si="31"/>
        <v>40699.939999999995</v>
      </c>
      <c r="P403" s="6">
        <f t="shared" si="32"/>
        <v>4.7594253131636304</v>
      </c>
      <c r="Q403" s="3">
        <v>5.76</v>
      </c>
      <c r="R403" t="str">
        <f t="shared" si="33"/>
        <v>High</v>
      </c>
      <c r="S403" t="str">
        <f t="shared" si="34"/>
        <v>Valid</v>
      </c>
    </row>
    <row r="404" spans="1:19" x14ac:dyDescent="0.25">
      <c r="A404" s="1">
        <v>45508</v>
      </c>
      <c r="B404" s="1" t="str">
        <f t="shared" si="30"/>
        <v>2024-08</v>
      </c>
      <c r="C404" t="s">
        <v>14</v>
      </c>
      <c r="D404" t="s">
        <v>24</v>
      </c>
      <c r="E404" t="s">
        <v>19</v>
      </c>
      <c r="F404" t="s">
        <v>23</v>
      </c>
      <c r="G404" s="4">
        <v>63959</v>
      </c>
      <c r="H404" s="4">
        <v>2014</v>
      </c>
      <c r="I404" s="5">
        <v>3.15E-2</v>
      </c>
      <c r="J404" s="2">
        <v>2.2799999999999998</v>
      </c>
      <c r="K404" s="6">
        <v>4591.92</v>
      </c>
      <c r="L404" s="4">
        <v>150</v>
      </c>
      <c r="M404" s="2">
        <v>30.61</v>
      </c>
      <c r="N404" s="6">
        <v>37769.589999999997</v>
      </c>
      <c r="O404" s="6">
        <f t="shared" si="31"/>
        <v>33177.67</v>
      </c>
      <c r="P404" s="6">
        <f t="shared" si="32"/>
        <v>7.2252282269725949</v>
      </c>
      <c r="Q404" s="3">
        <v>8.23</v>
      </c>
      <c r="R404" t="str">
        <f t="shared" si="33"/>
        <v>High</v>
      </c>
      <c r="S404" t="str">
        <f t="shared" si="34"/>
        <v>Valid</v>
      </c>
    </row>
    <row r="405" spans="1:19" x14ac:dyDescent="0.25">
      <c r="A405" s="1">
        <v>45357</v>
      </c>
      <c r="B405" s="1" t="str">
        <f t="shared" si="30"/>
        <v>2024-03</v>
      </c>
      <c r="C405" t="s">
        <v>14</v>
      </c>
      <c r="D405" t="s">
        <v>15</v>
      </c>
      <c r="E405" t="s">
        <v>25</v>
      </c>
      <c r="F405" t="s">
        <v>31</v>
      </c>
      <c r="G405" s="4">
        <v>6044</v>
      </c>
      <c r="H405" s="4">
        <v>146</v>
      </c>
      <c r="I405" s="5">
        <v>2.4199999999999999E-2</v>
      </c>
      <c r="J405" s="2">
        <v>1.1299999999999999</v>
      </c>
      <c r="K405" s="6">
        <v>164.98</v>
      </c>
      <c r="L405" s="4">
        <v>5</v>
      </c>
      <c r="M405" s="2">
        <v>33</v>
      </c>
      <c r="N405" s="6">
        <v>611.36</v>
      </c>
      <c r="O405" s="6">
        <f t="shared" si="31"/>
        <v>446.38</v>
      </c>
      <c r="P405" s="6">
        <f t="shared" si="32"/>
        <v>2.7056612922778518</v>
      </c>
      <c r="Q405" s="3">
        <v>3.71</v>
      </c>
      <c r="R405" t="str">
        <f t="shared" si="33"/>
        <v>High</v>
      </c>
      <c r="S405" t="str">
        <f t="shared" si="34"/>
        <v>Valid</v>
      </c>
    </row>
    <row r="406" spans="1:19" x14ac:dyDescent="0.25">
      <c r="A406" s="1">
        <v>45390</v>
      </c>
      <c r="B406" s="1" t="str">
        <f t="shared" si="30"/>
        <v>2024-04</v>
      </c>
      <c r="C406" t="s">
        <v>14</v>
      </c>
      <c r="D406" t="s">
        <v>24</v>
      </c>
      <c r="E406" t="s">
        <v>16</v>
      </c>
      <c r="F406" t="s">
        <v>23</v>
      </c>
      <c r="G406" s="4">
        <v>90945</v>
      </c>
      <c r="H406" s="4">
        <v>3637</v>
      </c>
      <c r="I406" s="5">
        <v>0.04</v>
      </c>
      <c r="J406" s="2">
        <v>3.02</v>
      </c>
      <c r="K406" s="6">
        <v>10983.74</v>
      </c>
      <c r="L406" s="4">
        <v>145</v>
      </c>
      <c r="M406" s="2">
        <v>75.75</v>
      </c>
      <c r="N406" s="6">
        <v>21488.5</v>
      </c>
      <c r="O406" s="6">
        <f t="shared" si="31"/>
        <v>10504.76</v>
      </c>
      <c r="P406" s="6">
        <f t="shared" si="32"/>
        <v>0.9563919029401643</v>
      </c>
      <c r="Q406" s="3">
        <v>1.96</v>
      </c>
      <c r="R406" t="str">
        <f t="shared" si="33"/>
        <v>Medium</v>
      </c>
      <c r="S406" t="str">
        <f t="shared" si="34"/>
        <v>Valid</v>
      </c>
    </row>
    <row r="407" spans="1:19" x14ac:dyDescent="0.25">
      <c r="A407" s="1">
        <v>45323</v>
      </c>
      <c r="B407" s="1" t="str">
        <f t="shared" si="30"/>
        <v>2024-02</v>
      </c>
      <c r="C407" t="s">
        <v>14</v>
      </c>
      <c r="D407" t="s">
        <v>15</v>
      </c>
      <c r="E407" t="s">
        <v>25</v>
      </c>
      <c r="F407" t="s">
        <v>20</v>
      </c>
      <c r="G407" s="4">
        <v>73681</v>
      </c>
      <c r="H407" s="4">
        <v>4457</v>
      </c>
      <c r="I407" s="5">
        <v>6.0499999999999998E-2</v>
      </c>
      <c r="J407" s="2">
        <v>1.77</v>
      </c>
      <c r="K407" s="6">
        <v>7888.89</v>
      </c>
      <c r="L407" s="4">
        <v>95</v>
      </c>
      <c r="M407" s="2">
        <v>83.04</v>
      </c>
      <c r="N407" s="6">
        <v>11815.26</v>
      </c>
      <c r="O407" s="6">
        <f t="shared" si="31"/>
        <v>3926.37</v>
      </c>
      <c r="P407" s="6">
        <f t="shared" si="32"/>
        <v>0.49770880313960514</v>
      </c>
      <c r="Q407" s="3">
        <v>1.5</v>
      </c>
      <c r="R407" t="str">
        <f t="shared" si="33"/>
        <v>Medium</v>
      </c>
      <c r="S407" t="str">
        <f t="shared" si="34"/>
        <v>Valid</v>
      </c>
    </row>
    <row r="408" spans="1:19" x14ac:dyDescent="0.25">
      <c r="A408" s="1">
        <v>45640</v>
      </c>
      <c r="B408" s="1" t="str">
        <f t="shared" si="30"/>
        <v>2024-12</v>
      </c>
      <c r="C408" t="s">
        <v>14</v>
      </c>
      <c r="D408" t="s">
        <v>29</v>
      </c>
      <c r="E408" t="s">
        <v>22</v>
      </c>
      <c r="F408" t="s">
        <v>32</v>
      </c>
      <c r="G408" s="4">
        <v>195545</v>
      </c>
      <c r="H408" s="4">
        <v>8799</v>
      </c>
      <c r="I408" s="5">
        <v>4.4999999999999998E-2</v>
      </c>
      <c r="J408" s="2">
        <v>2.98</v>
      </c>
      <c r="K408" s="6">
        <v>26221.02</v>
      </c>
      <c r="L408" s="4">
        <v>444</v>
      </c>
      <c r="M408" s="2">
        <v>59.06</v>
      </c>
      <c r="N408" s="6">
        <v>122723.09</v>
      </c>
      <c r="O408" s="6">
        <f t="shared" si="31"/>
        <v>96502.069999999992</v>
      </c>
      <c r="P408" s="6">
        <f t="shared" si="32"/>
        <v>3.6803324203253722</v>
      </c>
      <c r="Q408" s="3">
        <v>4.68</v>
      </c>
      <c r="R408" t="str">
        <f t="shared" si="33"/>
        <v>High</v>
      </c>
      <c r="S408" t="str">
        <f t="shared" si="34"/>
        <v>Valid</v>
      </c>
    </row>
    <row r="409" spans="1:19" x14ac:dyDescent="0.25">
      <c r="A409" s="1">
        <v>45487</v>
      </c>
      <c r="B409" s="1" t="str">
        <f t="shared" si="30"/>
        <v>2024-07</v>
      </c>
      <c r="C409" t="s">
        <v>14</v>
      </c>
      <c r="D409" t="s">
        <v>24</v>
      </c>
      <c r="E409" t="s">
        <v>30</v>
      </c>
      <c r="F409" t="s">
        <v>23</v>
      </c>
      <c r="G409" s="4">
        <v>46846</v>
      </c>
      <c r="H409" s="4">
        <v>2183</v>
      </c>
      <c r="I409" s="5">
        <v>4.6600000000000003E-2</v>
      </c>
      <c r="J409" s="2">
        <v>3.36</v>
      </c>
      <c r="K409" s="6">
        <v>7334.88</v>
      </c>
      <c r="L409" s="4">
        <v>46</v>
      </c>
      <c r="M409" s="2">
        <v>159.44999999999999</v>
      </c>
      <c r="N409" s="6">
        <v>5098.84</v>
      </c>
      <c r="O409" s="6">
        <f t="shared" si="31"/>
        <v>-2236.04</v>
      </c>
      <c r="P409" s="6">
        <f t="shared" si="32"/>
        <v>-0.30485024976550401</v>
      </c>
      <c r="Q409" s="3">
        <v>0.7</v>
      </c>
      <c r="R409" t="str">
        <f t="shared" si="33"/>
        <v>Low</v>
      </c>
      <c r="S409" t="str">
        <f t="shared" si="34"/>
        <v>Valid</v>
      </c>
    </row>
    <row r="410" spans="1:19" x14ac:dyDescent="0.25">
      <c r="A410" s="1">
        <v>45476</v>
      </c>
      <c r="B410" s="1" t="str">
        <f t="shared" si="30"/>
        <v>2024-07</v>
      </c>
      <c r="C410" t="s">
        <v>14</v>
      </c>
      <c r="D410" t="s">
        <v>24</v>
      </c>
      <c r="E410" t="s">
        <v>22</v>
      </c>
      <c r="F410" t="s">
        <v>27</v>
      </c>
      <c r="G410" s="4">
        <v>183428</v>
      </c>
      <c r="H410" s="4">
        <v>4549</v>
      </c>
      <c r="I410" s="5">
        <v>2.4799999999999999E-2</v>
      </c>
      <c r="J410" s="2">
        <v>2.11</v>
      </c>
      <c r="K410" s="6">
        <v>9598.39</v>
      </c>
      <c r="L410" s="4">
        <v>135</v>
      </c>
      <c r="M410" s="2">
        <v>71.099999999999994</v>
      </c>
      <c r="N410" s="6">
        <v>6604</v>
      </c>
      <c r="O410" s="6">
        <f t="shared" si="31"/>
        <v>-2994.3899999999994</v>
      </c>
      <c r="P410" s="6">
        <f t="shared" si="32"/>
        <v>-0.31196794462404626</v>
      </c>
      <c r="Q410" s="3">
        <v>0.69</v>
      </c>
      <c r="R410" t="str">
        <f t="shared" si="33"/>
        <v>Low</v>
      </c>
      <c r="S410" t="str">
        <f t="shared" si="34"/>
        <v>Valid</v>
      </c>
    </row>
    <row r="411" spans="1:19" x14ac:dyDescent="0.25">
      <c r="A411" s="1">
        <v>45421</v>
      </c>
      <c r="B411" s="1" t="str">
        <f t="shared" si="30"/>
        <v>2024-05</v>
      </c>
      <c r="C411" t="s">
        <v>14</v>
      </c>
      <c r="D411" t="s">
        <v>24</v>
      </c>
      <c r="E411" t="s">
        <v>19</v>
      </c>
      <c r="F411" t="s">
        <v>32</v>
      </c>
      <c r="G411" s="4">
        <v>173913</v>
      </c>
      <c r="H411" s="4">
        <v>5860</v>
      </c>
      <c r="I411" s="5">
        <v>3.3700000000000001E-2</v>
      </c>
      <c r="J411" s="2">
        <v>3.46</v>
      </c>
      <c r="K411" s="6">
        <v>20275.599999999999</v>
      </c>
      <c r="L411" s="4">
        <v>111</v>
      </c>
      <c r="M411" s="2">
        <v>182.66</v>
      </c>
      <c r="N411" s="6">
        <v>20779.66</v>
      </c>
      <c r="O411" s="6">
        <f t="shared" si="31"/>
        <v>504.06000000000131</v>
      </c>
      <c r="P411" s="6">
        <f t="shared" si="32"/>
        <v>2.4860423366016363E-2</v>
      </c>
      <c r="Q411" s="3">
        <v>1.02</v>
      </c>
      <c r="R411" t="str">
        <f t="shared" si="33"/>
        <v>Medium</v>
      </c>
      <c r="S411" t="str">
        <f t="shared" si="34"/>
        <v>Valid</v>
      </c>
    </row>
    <row r="412" spans="1:19" x14ac:dyDescent="0.25">
      <c r="A412" s="1">
        <v>45417</v>
      </c>
      <c r="B412" s="1" t="str">
        <f t="shared" si="30"/>
        <v>2024-05</v>
      </c>
      <c r="C412" t="s">
        <v>14</v>
      </c>
      <c r="D412" t="s">
        <v>21</v>
      </c>
      <c r="E412" t="s">
        <v>25</v>
      </c>
      <c r="F412" t="s">
        <v>23</v>
      </c>
      <c r="G412" s="4">
        <v>190541</v>
      </c>
      <c r="H412" s="4">
        <v>9527</v>
      </c>
      <c r="I412" s="5">
        <v>0.05</v>
      </c>
      <c r="J412" s="2">
        <v>2.17</v>
      </c>
      <c r="K412" s="6">
        <v>20673.59</v>
      </c>
      <c r="L412" s="4">
        <v>157</v>
      </c>
      <c r="M412" s="2">
        <v>131.68</v>
      </c>
      <c r="N412" s="6">
        <v>5416.71</v>
      </c>
      <c r="O412" s="6">
        <f t="shared" si="31"/>
        <v>-15256.880000000001</v>
      </c>
      <c r="P412" s="6">
        <f t="shared" si="32"/>
        <v>-0.73798890274983686</v>
      </c>
      <c r="Q412" s="3">
        <v>0.26</v>
      </c>
      <c r="R412" t="str">
        <f t="shared" si="33"/>
        <v>Low</v>
      </c>
      <c r="S412" t="str">
        <f t="shared" si="34"/>
        <v>Valid</v>
      </c>
    </row>
    <row r="413" spans="1:19" x14ac:dyDescent="0.25">
      <c r="A413" s="1">
        <v>45546</v>
      </c>
      <c r="B413" s="1" t="str">
        <f t="shared" si="30"/>
        <v>2024-09</v>
      </c>
      <c r="C413" t="s">
        <v>18</v>
      </c>
      <c r="D413" t="s">
        <v>21</v>
      </c>
      <c r="E413" t="s">
        <v>25</v>
      </c>
      <c r="F413" t="s">
        <v>27</v>
      </c>
      <c r="G413" s="4">
        <v>122116</v>
      </c>
      <c r="H413" s="4">
        <v>5507</v>
      </c>
      <c r="I413" s="5">
        <v>4.5100000000000001E-2</v>
      </c>
      <c r="J413" s="2">
        <v>0.98</v>
      </c>
      <c r="K413" s="6">
        <v>5396.86</v>
      </c>
      <c r="L413" s="4">
        <v>110</v>
      </c>
      <c r="M413" s="2">
        <v>49.06</v>
      </c>
      <c r="N413" s="6">
        <v>3555.98</v>
      </c>
      <c r="O413" s="6">
        <f t="shared" si="31"/>
        <v>-1840.8799999999997</v>
      </c>
      <c r="P413" s="6">
        <f t="shared" si="32"/>
        <v>-0.34110204822804369</v>
      </c>
      <c r="Q413" s="3">
        <v>0.66</v>
      </c>
      <c r="R413" t="str">
        <f t="shared" si="33"/>
        <v>Low</v>
      </c>
      <c r="S413" t="str">
        <f t="shared" si="34"/>
        <v>Valid</v>
      </c>
    </row>
    <row r="414" spans="1:19" x14ac:dyDescent="0.25">
      <c r="A414" s="1">
        <v>45374</v>
      </c>
      <c r="B414" s="1" t="str">
        <f t="shared" si="30"/>
        <v>2024-03</v>
      </c>
      <c r="C414" t="s">
        <v>14</v>
      </c>
      <c r="D414" t="s">
        <v>29</v>
      </c>
      <c r="E414" t="s">
        <v>16</v>
      </c>
      <c r="F414" t="s">
        <v>31</v>
      </c>
      <c r="G414" s="4">
        <v>47879</v>
      </c>
      <c r="H414" s="4">
        <v>1149</v>
      </c>
      <c r="I414" s="5">
        <v>2.4E-2</v>
      </c>
      <c r="J414" s="2">
        <v>3.06</v>
      </c>
      <c r="K414" s="6">
        <v>3515.94</v>
      </c>
      <c r="L414" s="4">
        <v>25</v>
      </c>
      <c r="M414" s="2">
        <v>140.63999999999999</v>
      </c>
      <c r="N414" s="6">
        <v>3124.11</v>
      </c>
      <c r="O414" s="6">
        <f t="shared" si="31"/>
        <v>-391.82999999999993</v>
      </c>
      <c r="P414" s="6">
        <f t="shared" si="32"/>
        <v>-0.11144388129490262</v>
      </c>
      <c r="Q414" s="3">
        <v>0.89</v>
      </c>
      <c r="R414" t="str">
        <f t="shared" si="33"/>
        <v>Low</v>
      </c>
      <c r="S414" t="str">
        <f t="shared" si="34"/>
        <v>Valid</v>
      </c>
    </row>
    <row r="415" spans="1:19" x14ac:dyDescent="0.25">
      <c r="A415" s="1">
        <v>45573</v>
      </c>
      <c r="B415" s="1" t="str">
        <f t="shared" si="30"/>
        <v>2024-10</v>
      </c>
      <c r="C415" t="s">
        <v>28</v>
      </c>
      <c r="D415" t="s">
        <v>15</v>
      </c>
      <c r="E415" t="s">
        <v>22</v>
      </c>
      <c r="F415" t="s">
        <v>23</v>
      </c>
      <c r="G415" s="4">
        <v>164876</v>
      </c>
      <c r="H415" s="4">
        <v>5820</v>
      </c>
      <c r="I415" s="5">
        <v>3.5299999999999998E-2</v>
      </c>
      <c r="J415" s="2">
        <v>0.74</v>
      </c>
      <c r="K415" s="6">
        <v>4306.8</v>
      </c>
      <c r="L415" s="4">
        <v>463</v>
      </c>
      <c r="M415" s="2">
        <v>9.3000000000000007</v>
      </c>
      <c r="N415" s="6">
        <v>73917.740000000005</v>
      </c>
      <c r="O415" s="6">
        <f t="shared" si="31"/>
        <v>69610.94</v>
      </c>
      <c r="P415" s="6">
        <f t="shared" si="32"/>
        <v>16.163030556329524</v>
      </c>
      <c r="Q415" s="3">
        <v>17.16</v>
      </c>
      <c r="R415" t="str">
        <f t="shared" si="33"/>
        <v>High</v>
      </c>
      <c r="S415" t="str">
        <f t="shared" si="34"/>
        <v>Valid</v>
      </c>
    </row>
    <row r="416" spans="1:19" x14ac:dyDescent="0.25">
      <c r="A416" s="1">
        <v>45425</v>
      </c>
      <c r="B416" s="1" t="str">
        <f t="shared" si="30"/>
        <v>2024-05</v>
      </c>
      <c r="C416" t="s">
        <v>28</v>
      </c>
      <c r="D416" t="s">
        <v>29</v>
      </c>
      <c r="E416" t="s">
        <v>25</v>
      </c>
      <c r="F416" t="s">
        <v>23</v>
      </c>
      <c r="G416" s="4">
        <v>163253</v>
      </c>
      <c r="H416" s="4">
        <v>1779</v>
      </c>
      <c r="I416" s="5">
        <v>1.09E-2</v>
      </c>
      <c r="J416" s="2">
        <v>0.51</v>
      </c>
      <c r="K416" s="6">
        <v>907.29</v>
      </c>
      <c r="L416" s="4">
        <v>121</v>
      </c>
      <c r="M416" s="2">
        <v>7.5</v>
      </c>
      <c r="N416" s="6">
        <v>18762.73</v>
      </c>
      <c r="O416" s="6">
        <f t="shared" si="31"/>
        <v>17855.439999999999</v>
      </c>
      <c r="P416" s="6">
        <f t="shared" si="32"/>
        <v>19.679970020610828</v>
      </c>
      <c r="Q416" s="3">
        <v>20.68</v>
      </c>
      <c r="R416" t="str">
        <f t="shared" si="33"/>
        <v>High</v>
      </c>
      <c r="S416" t="str">
        <f t="shared" si="34"/>
        <v>Valid</v>
      </c>
    </row>
    <row r="417" spans="1:19" x14ac:dyDescent="0.25">
      <c r="A417" s="1">
        <v>45569</v>
      </c>
      <c r="B417" s="1" t="str">
        <f t="shared" si="30"/>
        <v>2024-10</v>
      </c>
      <c r="C417" t="s">
        <v>28</v>
      </c>
      <c r="D417" t="s">
        <v>24</v>
      </c>
      <c r="E417" t="s">
        <v>16</v>
      </c>
      <c r="F417" t="s">
        <v>31</v>
      </c>
      <c r="G417" s="4">
        <v>120631</v>
      </c>
      <c r="H417" s="4">
        <v>1532</v>
      </c>
      <c r="I417" s="5">
        <v>1.2699999999999999E-2</v>
      </c>
      <c r="J417" s="2">
        <v>0.77</v>
      </c>
      <c r="K417" s="6">
        <v>1179.6400000000001</v>
      </c>
      <c r="L417" s="4">
        <v>114</v>
      </c>
      <c r="M417" s="2">
        <v>10.35</v>
      </c>
      <c r="N417" s="6">
        <v>25286.78</v>
      </c>
      <c r="O417" s="6">
        <f t="shared" si="31"/>
        <v>24107.14</v>
      </c>
      <c r="P417" s="6">
        <f t="shared" si="32"/>
        <v>20.436014377267639</v>
      </c>
      <c r="Q417" s="3">
        <v>21.44</v>
      </c>
      <c r="R417" t="str">
        <f t="shared" si="33"/>
        <v>High</v>
      </c>
      <c r="S417" t="str">
        <f t="shared" si="34"/>
        <v>Valid</v>
      </c>
    </row>
    <row r="418" spans="1:19" x14ac:dyDescent="0.25">
      <c r="A418" s="1">
        <v>45411</v>
      </c>
      <c r="B418" s="1" t="str">
        <f t="shared" si="30"/>
        <v>2024-04</v>
      </c>
      <c r="C418" t="s">
        <v>28</v>
      </c>
      <c r="D418" t="s">
        <v>29</v>
      </c>
      <c r="E418" t="s">
        <v>16</v>
      </c>
      <c r="F418" t="s">
        <v>32</v>
      </c>
      <c r="G418" s="4">
        <v>12610</v>
      </c>
      <c r="H418" s="4">
        <v>197</v>
      </c>
      <c r="I418" s="5">
        <v>1.5699999999999999E-2</v>
      </c>
      <c r="J418" s="2">
        <v>0.66</v>
      </c>
      <c r="K418" s="6">
        <v>130.02000000000001</v>
      </c>
      <c r="L418" s="4">
        <v>11</v>
      </c>
      <c r="M418" s="2">
        <v>11.82</v>
      </c>
      <c r="N418" s="6">
        <v>2637.16</v>
      </c>
      <c r="O418" s="6">
        <f t="shared" si="31"/>
        <v>2507.14</v>
      </c>
      <c r="P418" s="6">
        <f t="shared" si="32"/>
        <v>19.282725734502382</v>
      </c>
      <c r="Q418" s="3">
        <v>20.28</v>
      </c>
      <c r="R418" t="str">
        <f t="shared" si="33"/>
        <v>High</v>
      </c>
      <c r="S418" t="str">
        <f t="shared" si="34"/>
        <v>Valid</v>
      </c>
    </row>
    <row r="419" spans="1:19" x14ac:dyDescent="0.25">
      <c r="A419" s="1">
        <v>45303</v>
      </c>
      <c r="B419" s="1" t="str">
        <f t="shared" si="30"/>
        <v>2024-01</v>
      </c>
      <c r="C419" t="s">
        <v>28</v>
      </c>
      <c r="D419" t="s">
        <v>21</v>
      </c>
      <c r="E419" t="s">
        <v>22</v>
      </c>
      <c r="F419" t="s">
        <v>20</v>
      </c>
      <c r="G419" s="4">
        <v>62676</v>
      </c>
      <c r="H419" s="4">
        <v>595</v>
      </c>
      <c r="I419" s="5">
        <v>9.4999999999999998E-3</v>
      </c>
      <c r="J419" s="2">
        <v>2.42</v>
      </c>
      <c r="K419" s="6">
        <v>1439.9</v>
      </c>
      <c r="L419" s="4">
        <v>32</v>
      </c>
      <c r="M419" s="2">
        <v>45</v>
      </c>
      <c r="N419" s="6">
        <v>1319.08</v>
      </c>
      <c r="O419" s="6">
        <f t="shared" si="31"/>
        <v>-120.82000000000016</v>
      </c>
      <c r="P419" s="6">
        <f t="shared" si="32"/>
        <v>-8.3908604764219852E-2</v>
      </c>
      <c r="Q419" s="3">
        <v>0.92</v>
      </c>
      <c r="R419" t="str">
        <f t="shared" si="33"/>
        <v>Low</v>
      </c>
      <c r="S419" t="str">
        <f t="shared" si="34"/>
        <v>Valid</v>
      </c>
    </row>
    <row r="420" spans="1:19" x14ac:dyDescent="0.25">
      <c r="A420" s="1">
        <v>45483</v>
      </c>
      <c r="B420" s="1" t="str">
        <f t="shared" si="30"/>
        <v>2024-07</v>
      </c>
      <c r="C420" t="s">
        <v>14</v>
      </c>
      <c r="D420" t="s">
        <v>15</v>
      </c>
      <c r="E420" t="s">
        <v>16</v>
      </c>
      <c r="F420" t="s">
        <v>20</v>
      </c>
      <c r="G420" s="4">
        <v>59943</v>
      </c>
      <c r="H420" s="4">
        <v>2163</v>
      </c>
      <c r="I420" s="5">
        <v>3.61E-2</v>
      </c>
      <c r="J420" s="2">
        <v>3.29</v>
      </c>
      <c r="K420" s="6">
        <v>7116.27</v>
      </c>
      <c r="L420" s="4">
        <v>114</v>
      </c>
      <c r="M420" s="2">
        <v>62.42</v>
      </c>
      <c r="N420" s="6">
        <v>4800.8100000000004</v>
      </c>
      <c r="O420" s="6">
        <f t="shared" si="31"/>
        <v>-2315.46</v>
      </c>
      <c r="P420" s="6">
        <f t="shared" si="32"/>
        <v>-0.32537551273349663</v>
      </c>
      <c r="Q420" s="3">
        <v>0.67</v>
      </c>
      <c r="R420" t="str">
        <f t="shared" si="33"/>
        <v>Low</v>
      </c>
      <c r="S420" t="str">
        <f t="shared" si="34"/>
        <v>Valid</v>
      </c>
    </row>
    <row r="421" spans="1:19" x14ac:dyDescent="0.25">
      <c r="A421" s="1">
        <v>45585</v>
      </c>
      <c r="B421" s="1" t="str">
        <f t="shared" si="30"/>
        <v>2024-10</v>
      </c>
      <c r="C421" t="s">
        <v>28</v>
      </c>
      <c r="D421" t="s">
        <v>29</v>
      </c>
      <c r="E421" t="s">
        <v>25</v>
      </c>
      <c r="F421" t="s">
        <v>23</v>
      </c>
      <c r="G421" s="4">
        <v>78302</v>
      </c>
      <c r="H421" s="4">
        <v>900</v>
      </c>
      <c r="I421" s="5">
        <v>1.15E-2</v>
      </c>
      <c r="J421" s="2">
        <v>0.49</v>
      </c>
      <c r="K421" s="6">
        <v>441</v>
      </c>
      <c r="L421" s="4">
        <v>52</v>
      </c>
      <c r="M421" s="2">
        <v>8.48</v>
      </c>
      <c r="N421" s="6">
        <v>6354.23</v>
      </c>
      <c r="O421" s="6">
        <f t="shared" si="31"/>
        <v>5913.23</v>
      </c>
      <c r="P421" s="6">
        <f t="shared" si="32"/>
        <v>13.408684807256234</v>
      </c>
      <c r="Q421" s="3">
        <v>14.41</v>
      </c>
      <c r="R421" t="str">
        <f t="shared" si="33"/>
        <v>High</v>
      </c>
      <c r="S421" t="str">
        <f t="shared" si="34"/>
        <v>Valid</v>
      </c>
    </row>
    <row r="422" spans="1:19" x14ac:dyDescent="0.25">
      <c r="A422" s="1">
        <v>45539</v>
      </c>
      <c r="B422" s="1" t="str">
        <f t="shared" si="30"/>
        <v>2024-09</v>
      </c>
      <c r="C422" t="s">
        <v>14</v>
      </c>
      <c r="D422" t="s">
        <v>21</v>
      </c>
      <c r="E422" t="s">
        <v>19</v>
      </c>
      <c r="F422" t="s">
        <v>20</v>
      </c>
      <c r="G422" s="4">
        <v>154805</v>
      </c>
      <c r="H422" s="4">
        <v>9535</v>
      </c>
      <c r="I422" s="5">
        <v>6.1600000000000002E-2</v>
      </c>
      <c r="J422" s="2">
        <v>0.96</v>
      </c>
      <c r="K422" s="6">
        <v>9153.6</v>
      </c>
      <c r="L422" s="4">
        <v>525</v>
      </c>
      <c r="M422" s="2">
        <v>17.440000000000001</v>
      </c>
      <c r="N422" s="6">
        <v>18155.37</v>
      </c>
      <c r="O422" s="6">
        <f t="shared" si="31"/>
        <v>9001.7699999999986</v>
      </c>
      <c r="P422" s="6">
        <f t="shared" si="32"/>
        <v>0.98341308337703182</v>
      </c>
      <c r="Q422" s="3">
        <v>1.98</v>
      </c>
      <c r="R422" t="str">
        <f t="shared" si="33"/>
        <v>Medium</v>
      </c>
      <c r="S422" t="str">
        <f t="shared" si="34"/>
        <v>Valid</v>
      </c>
    </row>
    <row r="423" spans="1:19" x14ac:dyDescent="0.25">
      <c r="A423" s="1">
        <v>45421</v>
      </c>
      <c r="B423" s="1" t="str">
        <f t="shared" si="30"/>
        <v>2024-05</v>
      </c>
      <c r="C423" t="s">
        <v>18</v>
      </c>
      <c r="D423" t="s">
        <v>21</v>
      </c>
      <c r="E423" t="s">
        <v>16</v>
      </c>
      <c r="F423" t="s">
        <v>32</v>
      </c>
      <c r="G423" s="4">
        <v>41839</v>
      </c>
      <c r="H423" s="4">
        <v>2991</v>
      </c>
      <c r="I423" s="5">
        <v>7.1499999999999994E-2</v>
      </c>
      <c r="J423" s="2">
        <v>0.99</v>
      </c>
      <c r="K423" s="6">
        <v>2961.09</v>
      </c>
      <c r="L423" s="4">
        <v>45</v>
      </c>
      <c r="M423" s="2">
        <v>65.8</v>
      </c>
      <c r="N423" s="6">
        <v>9665.89</v>
      </c>
      <c r="O423" s="6">
        <f t="shared" si="31"/>
        <v>6704.7999999999993</v>
      </c>
      <c r="P423" s="6">
        <f t="shared" si="32"/>
        <v>2.2643013214728356</v>
      </c>
      <c r="Q423" s="3">
        <v>3.26</v>
      </c>
      <c r="R423" t="str">
        <f t="shared" si="33"/>
        <v>High</v>
      </c>
      <c r="S423" t="str">
        <f t="shared" si="34"/>
        <v>Valid</v>
      </c>
    </row>
    <row r="424" spans="1:19" x14ac:dyDescent="0.25">
      <c r="A424" s="1">
        <v>45460</v>
      </c>
      <c r="B424" s="1" t="str">
        <f t="shared" si="30"/>
        <v>2024-06</v>
      </c>
      <c r="C424" t="s">
        <v>28</v>
      </c>
      <c r="D424" t="s">
        <v>24</v>
      </c>
      <c r="E424" t="s">
        <v>25</v>
      </c>
      <c r="F424" t="s">
        <v>31</v>
      </c>
      <c r="G424" s="4">
        <v>127872</v>
      </c>
      <c r="H424" s="4">
        <v>2953</v>
      </c>
      <c r="I424" s="5">
        <v>2.3099999999999999E-2</v>
      </c>
      <c r="J424" s="2">
        <v>0.59</v>
      </c>
      <c r="K424" s="6">
        <v>1742.27</v>
      </c>
      <c r="L424" s="4">
        <v>150</v>
      </c>
      <c r="M424" s="2">
        <v>11.62</v>
      </c>
      <c r="N424" s="6">
        <v>15282.38</v>
      </c>
      <c r="O424" s="6">
        <f t="shared" si="31"/>
        <v>13540.109999999999</v>
      </c>
      <c r="P424" s="6">
        <f t="shared" si="32"/>
        <v>7.7715336888082787</v>
      </c>
      <c r="Q424" s="3">
        <v>8.77</v>
      </c>
      <c r="R424" t="str">
        <f t="shared" si="33"/>
        <v>High</v>
      </c>
      <c r="S424" t="str">
        <f t="shared" si="34"/>
        <v>Valid</v>
      </c>
    </row>
    <row r="425" spans="1:19" x14ac:dyDescent="0.25">
      <c r="A425" s="1">
        <v>45600</v>
      </c>
      <c r="B425" s="1" t="str">
        <f t="shared" si="30"/>
        <v>2024-11</v>
      </c>
      <c r="C425" t="s">
        <v>14</v>
      </c>
      <c r="D425" t="s">
        <v>29</v>
      </c>
      <c r="E425" t="s">
        <v>16</v>
      </c>
      <c r="F425" t="s">
        <v>26</v>
      </c>
      <c r="G425" s="4">
        <v>146779</v>
      </c>
      <c r="H425" s="4">
        <v>5019</v>
      </c>
      <c r="I425" s="5">
        <v>3.4200000000000001E-2</v>
      </c>
      <c r="J425" s="2">
        <v>2.2200000000000002</v>
      </c>
      <c r="K425" s="6">
        <v>11142.18</v>
      </c>
      <c r="L425" s="4">
        <v>349</v>
      </c>
      <c r="M425" s="2">
        <v>31.93</v>
      </c>
      <c r="N425" s="6">
        <v>91145.36</v>
      </c>
      <c r="O425" s="6">
        <f t="shared" si="31"/>
        <v>80003.179999999993</v>
      </c>
      <c r="P425" s="6">
        <f t="shared" si="32"/>
        <v>7.1802088998741711</v>
      </c>
      <c r="Q425" s="3">
        <v>8.18</v>
      </c>
      <c r="R425" t="str">
        <f t="shared" si="33"/>
        <v>High</v>
      </c>
      <c r="S425" t="str">
        <f t="shared" si="34"/>
        <v>Valid</v>
      </c>
    </row>
    <row r="426" spans="1:19" x14ac:dyDescent="0.25">
      <c r="A426" s="1">
        <v>45469</v>
      </c>
      <c r="B426" s="1" t="str">
        <f t="shared" si="30"/>
        <v>2024-06</v>
      </c>
      <c r="C426" t="s">
        <v>14</v>
      </c>
      <c r="D426" t="s">
        <v>24</v>
      </c>
      <c r="E426" t="s">
        <v>19</v>
      </c>
      <c r="F426" t="s">
        <v>23</v>
      </c>
      <c r="G426" s="4">
        <v>133588</v>
      </c>
      <c r="H426" s="4">
        <v>6545</v>
      </c>
      <c r="I426" s="5">
        <v>4.9000000000000002E-2</v>
      </c>
      <c r="J426" s="2">
        <v>1.68</v>
      </c>
      <c r="K426" s="6">
        <v>10995.6</v>
      </c>
      <c r="L426" s="4">
        <v>241</v>
      </c>
      <c r="M426" s="2">
        <v>45.62</v>
      </c>
      <c r="N426" s="6">
        <v>34421.71</v>
      </c>
      <c r="O426" s="6">
        <f t="shared" si="31"/>
        <v>23426.11</v>
      </c>
      <c r="P426" s="6">
        <f t="shared" si="32"/>
        <v>2.1304985630615882</v>
      </c>
      <c r="Q426" s="3">
        <v>3.13</v>
      </c>
      <c r="R426" t="str">
        <f t="shared" si="33"/>
        <v>High</v>
      </c>
      <c r="S426" t="str">
        <f t="shared" si="34"/>
        <v>Valid</v>
      </c>
    </row>
    <row r="427" spans="1:19" x14ac:dyDescent="0.25">
      <c r="A427" s="1">
        <v>45320</v>
      </c>
      <c r="B427" s="1" t="str">
        <f t="shared" si="30"/>
        <v>2024-01</v>
      </c>
      <c r="C427" t="s">
        <v>14</v>
      </c>
      <c r="D427" t="s">
        <v>21</v>
      </c>
      <c r="E427" t="s">
        <v>16</v>
      </c>
      <c r="F427" t="s">
        <v>20</v>
      </c>
      <c r="G427" s="4">
        <v>82462</v>
      </c>
      <c r="H427" s="4">
        <v>3916</v>
      </c>
      <c r="I427" s="5">
        <v>4.7500000000000001E-2</v>
      </c>
      <c r="J427" s="2">
        <v>2.1</v>
      </c>
      <c r="K427" s="6">
        <v>8223.6</v>
      </c>
      <c r="L427" s="4">
        <v>199</v>
      </c>
      <c r="M427" s="2">
        <v>41.32</v>
      </c>
      <c r="N427" s="6">
        <v>48785.37</v>
      </c>
      <c r="O427" s="6">
        <f t="shared" si="31"/>
        <v>40561.770000000004</v>
      </c>
      <c r="P427" s="6">
        <f t="shared" si="32"/>
        <v>4.9323617393842119</v>
      </c>
      <c r="Q427" s="3">
        <v>5.93</v>
      </c>
      <c r="R427" t="str">
        <f t="shared" si="33"/>
        <v>High</v>
      </c>
      <c r="S427" t="str">
        <f t="shared" si="34"/>
        <v>Valid</v>
      </c>
    </row>
    <row r="428" spans="1:19" x14ac:dyDescent="0.25">
      <c r="A428" s="1">
        <v>45309</v>
      </c>
      <c r="B428" s="1" t="str">
        <f t="shared" si="30"/>
        <v>2024-01</v>
      </c>
      <c r="C428" t="s">
        <v>14</v>
      </c>
      <c r="D428" t="s">
        <v>29</v>
      </c>
      <c r="E428" t="s">
        <v>30</v>
      </c>
      <c r="F428" t="s">
        <v>32</v>
      </c>
      <c r="G428" s="4">
        <v>55248</v>
      </c>
      <c r="H428" s="4">
        <v>1646</v>
      </c>
      <c r="I428" s="5">
        <v>2.98E-2</v>
      </c>
      <c r="J428" s="2">
        <v>2.6</v>
      </c>
      <c r="K428" s="6">
        <v>4279.6000000000004</v>
      </c>
      <c r="L428" s="4">
        <v>43</v>
      </c>
      <c r="M428" s="2">
        <v>99.53</v>
      </c>
      <c r="N428" s="6">
        <v>12311.15</v>
      </c>
      <c r="O428" s="6">
        <f t="shared" si="31"/>
        <v>8031.5499999999993</v>
      </c>
      <c r="P428" s="6">
        <f t="shared" si="32"/>
        <v>1.8767057668941018</v>
      </c>
      <c r="Q428" s="3">
        <v>2.88</v>
      </c>
      <c r="R428" t="str">
        <f t="shared" si="33"/>
        <v>Medium</v>
      </c>
      <c r="S428" t="str">
        <f t="shared" si="34"/>
        <v>Valid</v>
      </c>
    </row>
    <row r="429" spans="1:19" x14ac:dyDescent="0.25">
      <c r="A429" s="1">
        <v>45513</v>
      </c>
      <c r="B429" s="1" t="str">
        <f t="shared" si="30"/>
        <v>2024-08</v>
      </c>
      <c r="C429" t="s">
        <v>14</v>
      </c>
      <c r="D429" t="s">
        <v>29</v>
      </c>
      <c r="E429" t="s">
        <v>22</v>
      </c>
      <c r="F429" t="s">
        <v>17</v>
      </c>
      <c r="G429" s="4">
        <v>90374</v>
      </c>
      <c r="H429" s="4">
        <v>2349</v>
      </c>
      <c r="I429" s="5">
        <v>2.5999999999999999E-2</v>
      </c>
      <c r="J429" s="2">
        <v>0.97</v>
      </c>
      <c r="K429" s="6">
        <v>2278.5300000000002</v>
      </c>
      <c r="L429" s="4">
        <v>69</v>
      </c>
      <c r="M429" s="2">
        <v>33.020000000000003</v>
      </c>
      <c r="N429" s="6">
        <v>5506.03</v>
      </c>
      <c r="O429" s="6">
        <f t="shared" si="31"/>
        <v>3227.4999999999995</v>
      </c>
      <c r="P429" s="6">
        <f t="shared" si="32"/>
        <v>1.416483434495047</v>
      </c>
      <c r="Q429" s="3">
        <v>2.42</v>
      </c>
      <c r="R429" t="str">
        <f t="shared" si="33"/>
        <v>Medium</v>
      </c>
      <c r="S429" t="str">
        <f t="shared" si="34"/>
        <v>Valid</v>
      </c>
    </row>
    <row r="430" spans="1:19" x14ac:dyDescent="0.25">
      <c r="A430" s="1">
        <v>45357</v>
      </c>
      <c r="B430" s="1" t="str">
        <f t="shared" si="30"/>
        <v>2024-03</v>
      </c>
      <c r="C430" t="s">
        <v>28</v>
      </c>
      <c r="D430" t="s">
        <v>21</v>
      </c>
      <c r="E430" t="s">
        <v>19</v>
      </c>
      <c r="F430" t="s">
        <v>23</v>
      </c>
      <c r="G430" s="4">
        <v>104976</v>
      </c>
      <c r="H430" s="4">
        <v>1238</v>
      </c>
      <c r="I430" s="5">
        <v>1.18E-2</v>
      </c>
      <c r="J430" s="2">
        <v>1.52</v>
      </c>
      <c r="K430" s="6">
        <v>1881.76</v>
      </c>
      <c r="L430" s="4">
        <v>16</v>
      </c>
      <c r="M430" s="2">
        <v>117.61</v>
      </c>
      <c r="N430" s="6">
        <v>4162.9799999999996</v>
      </c>
      <c r="O430" s="6">
        <f t="shared" si="31"/>
        <v>2281.2199999999993</v>
      </c>
      <c r="P430" s="6">
        <f t="shared" si="32"/>
        <v>1.212279993197857</v>
      </c>
      <c r="Q430" s="3">
        <v>2.21</v>
      </c>
      <c r="R430" t="str">
        <f t="shared" si="33"/>
        <v>Medium</v>
      </c>
      <c r="S430" t="str">
        <f t="shared" si="34"/>
        <v>Valid</v>
      </c>
    </row>
    <row r="431" spans="1:19" x14ac:dyDescent="0.25">
      <c r="A431" s="1">
        <v>45606</v>
      </c>
      <c r="B431" s="1" t="str">
        <f t="shared" si="30"/>
        <v>2024-11</v>
      </c>
      <c r="C431" t="s">
        <v>14</v>
      </c>
      <c r="D431" t="s">
        <v>29</v>
      </c>
      <c r="E431" t="s">
        <v>25</v>
      </c>
      <c r="F431" t="s">
        <v>32</v>
      </c>
      <c r="G431" s="4">
        <v>124774</v>
      </c>
      <c r="H431" s="4">
        <v>3481</v>
      </c>
      <c r="I431" s="5">
        <v>2.7900000000000001E-2</v>
      </c>
      <c r="J431" s="2">
        <v>1.21</v>
      </c>
      <c r="K431" s="6">
        <v>4212.01</v>
      </c>
      <c r="L431" s="4">
        <v>113</v>
      </c>
      <c r="M431" s="2">
        <v>37.270000000000003</v>
      </c>
      <c r="N431" s="6">
        <v>4447.1899999999996</v>
      </c>
      <c r="O431" s="6">
        <f t="shared" si="31"/>
        <v>235.17999999999938</v>
      </c>
      <c r="P431" s="6">
        <f t="shared" si="32"/>
        <v>5.5835574939280624E-2</v>
      </c>
      <c r="Q431" s="3">
        <v>1.06</v>
      </c>
      <c r="R431" t="str">
        <f t="shared" si="33"/>
        <v>Medium</v>
      </c>
      <c r="S431" t="str">
        <f t="shared" si="34"/>
        <v>Valid</v>
      </c>
    </row>
    <row r="432" spans="1:19" x14ac:dyDescent="0.25">
      <c r="A432" s="1">
        <v>45518</v>
      </c>
      <c r="B432" s="1" t="str">
        <f t="shared" si="30"/>
        <v>2024-08</v>
      </c>
      <c r="C432" t="s">
        <v>14</v>
      </c>
      <c r="D432" t="s">
        <v>15</v>
      </c>
      <c r="E432" t="s">
        <v>25</v>
      </c>
      <c r="F432" t="s">
        <v>23</v>
      </c>
      <c r="G432" s="4">
        <v>109263</v>
      </c>
      <c r="H432" s="4">
        <v>2829</v>
      </c>
      <c r="I432" s="5">
        <v>2.5899999999999999E-2</v>
      </c>
      <c r="J432" s="2">
        <v>0.88</v>
      </c>
      <c r="K432" s="6">
        <v>2489.52</v>
      </c>
      <c r="L432" s="4">
        <v>129</v>
      </c>
      <c r="M432" s="2">
        <v>19.3</v>
      </c>
      <c r="N432" s="6">
        <v>14321.34</v>
      </c>
      <c r="O432" s="6">
        <f t="shared" si="31"/>
        <v>11831.82</v>
      </c>
      <c r="P432" s="6">
        <f t="shared" si="32"/>
        <v>4.7526511134676559</v>
      </c>
      <c r="Q432" s="3">
        <v>5.75</v>
      </c>
      <c r="R432" t="str">
        <f t="shared" si="33"/>
        <v>High</v>
      </c>
      <c r="S432" t="str">
        <f t="shared" si="34"/>
        <v>Valid</v>
      </c>
    </row>
    <row r="433" spans="1:19" x14ac:dyDescent="0.25">
      <c r="A433" s="1">
        <v>45456</v>
      </c>
      <c r="B433" s="1" t="str">
        <f t="shared" si="30"/>
        <v>2024-06</v>
      </c>
      <c r="C433" t="s">
        <v>14</v>
      </c>
      <c r="D433" t="s">
        <v>21</v>
      </c>
      <c r="E433" t="s">
        <v>16</v>
      </c>
      <c r="F433" t="s">
        <v>17</v>
      </c>
      <c r="G433" s="4">
        <v>105814</v>
      </c>
      <c r="H433" s="4">
        <v>6126</v>
      </c>
      <c r="I433" s="5">
        <v>5.79E-2</v>
      </c>
      <c r="J433" s="2">
        <v>2.79</v>
      </c>
      <c r="K433" s="6">
        <v>17091.54</v>
      </c>
      <c r="L433" s="4">
        <v>289</v>
      </c>
      <c r="M433" s="2">
        <v>59.14</v>
      </c>
      <c r="N433" s="6">
        <v>45447.24</v>
      </c>
      <c r="O433" s="6">
        <f t="shared" si="31"/>
        <v>28355.699999999997</v>
      </c>
      <c r="P433" s="6">
        <f t="shared" si="32"/>
        <v>1.6590488627707038</v>
      </c>
      <c r="Q433" s="3">
        <v>2.66</v>
      </c>
      <c r="R433" t="str">
        <f t="shared" si="33"/>
        <v>Medium</v>
      </c>
      <c r="S433" t="str">
        <f t="shared" si="34"/>
        <v>Valid</v>
      </c>
    </row>
    <row r="434" spans="1:19" x14ac:dyDescent="0.25">
      <c r="A434" s="1">
        <v>45520</v>
      </c>
      <c r="B434" s="1" t="str">
        <f t="shared" si="30"/>
        <v>2024-08</v>
      </c>
      <c r="C434" t="s">
        <v>18</v>
      </c>
      <c r="D434" t="s">
        <v>24</v>
      </c>
      <c r="E434" t="s">
        <v>22</v>
      </c>
      <c r="F434" t="s">
        <v>27</v>
      </c>
      <c r="G434" s="4">
        <v>41113</v>
      </c>
      <c r="H434" s="4">
        <v>2347</v>
      </c>
      <c r="I434" s="5">
        <v>5.7099999999999998E-2</v>
      </c>
      <c r="J434" s="2">
        <v>0.96</v>
      </c>
      <c r="K434" s="6">
        <v>2253.12</v>
      </c>
      <c r="L434" s="4">
        <v>33</v>
      </c>
      <c r="M434" s="2">
        <v>68.28</v>
      </c>
      <c r="N434" s="6">
        <v>2659.26</v>
      </c>
      <c r="O434" s="6">
        <f t="shared" si="31"/>
        <v>406.14000000000033</v>
      </c>
      <c r="P434" s="6">
        <f t="shared" si="32"/>
        <v>0.18025671069450377</v>
      </c>
      <c r="Q434" s="3">
        <v>1.18</v>
      </c>
      <c r="R434" t="str">
        <f t="shared" si="33"/>
        <v>Medium</v>
      </c>
      <c r="S434" t="str">
        <f t="shared" si="34"/>
        <v>Valid</v>
      </c>
    </row>
    <row r="435" spans="1:19" x14ac:dyDescent="0.25">
      <c r="A435" s="1">
        <v>45306</v>
      </c>
      <c r="B435" s="1" t="str">
        <f t="shared" si="30"/>
        <v>2024-01</v>
      </c>
      <c r="C435" t="s">
        <v>14</v>
      </c>
      <c r="D435" t="s">
        <v>15</v>
      </c>
      <c r="E435" t="s">
        <v>25</v>
      </c>
      <c r="F435" t="s">
        <v>27</v>
      </c>
      <c r="G435" s="4">
        <v>43098</v>
      </c>
      <c r="H435" s="4">
        <v>1620</v>
      </c>
      <c r="I435" s="5">
        <v>3.7600000000000001E-2</v>
      </c>
      <c r="J435" s="2">
        <v>2.73</v>
      </c>
      <c r="K435" s="6">
        <v>4422.6000000000004</v>
      </c>
      <c r="L435" s="4">
        <v>39</v>
      </c>
      <c r="M435" s="2">
        <v>113.4</v>
      </c>
      <c r="N435" s="6">
        <v>7135.44</v>
      </c>
      <c r="O435" s="6">
        <f t="shared" si="31"/>
        <v>2712.8399999999992</v>
      </c>
      <c r="P435" s="6">
        <f t="shared" si="32"/>
        <v>0.61340388007054647</v>
      </c>
      <c r="Q435" s="3">
        <v>1.61</v>
      </c>
      <c r="R435" t="str">
        <f t="shared" si="33"/>
        <v>Medium</v>
      </c>
      <c r="S435" t="str">
        <f t="shared" si="34"/>
        <v>Valid</v>
      </c>
    </row>
    <row r="436" spans="1:19" x14ac:dyDescent="0.25">
      <c r="A436" s="1">
        <v>45532</v>
      </c>
      <c r="B436" s="1" t="str">
        <f t="shared" si="30"/>
        <v>2024-08</v>
      </c>
      <c r="C436" t="s">
        <v>28</v>
      </c>
      <c r="D436" t="s">
        <v>29</v>
      </c>
      <c r="E436" t="s">
        <v>30</v>
      </c>
      <c r="F436" t="s">
        <v>27</v>
      </c>
      <c r="G436" s="4">
        <v>25991</v>
      </c>
      <c r="H436" s="4">
        <v>309</v>
      </c>
      <c r="I436" s="5">
        <v>1.1900000000000001E-2</v>
      </c>
      <c r="J436" s="2">
        <v>1.52</v>
      </c>
      <c r="K436" s="6">
        <v>469.68</v>
      </c>
      <c r="L436" s="4">
        <v>14</v>
      </c>
      <c r="M436" s="2">
        <v>33.549999999999997</v>
      </c>
      <c r="N436" s="6">
        <v>2306.63</v>
      </c>
      <c r="O436" s="6">
        <f t="shared" si="31"/>
        <v>1836.95</v>
      </c>
      <c r="P436" s="6">
        <f t="shared" si="32"/>
        <v>3.9110671095213765</v>
      </c>
      <c r="Q436" s="3">
        <v>4.91</v>
      </c>
      <c r="R436" t="str">
        <f t="shared" si="33"/>
        <v>High</v>
      </c>
      <c r="S436" t="str">
        <f t="shared" si="34"/>
        <v>Valid</v>
      </c>
    </row>
    <row r="437" spans="1:19" x14ac:dyDescent="0.25">
      <c r="A437" s="1">
        <v>45617</v>
      </c>
      <c r="B437" s="1" t="str">
        <f t="shared" si="30"/>
        <v>2024-11</v>
      </c>
      <c r="C437" t="s">
        <v>14</v>
      </c>
      <c r="D437" t="s">
        <v>29</v>
      </c>
      <c r="E437" t="s">
        <v>19</v>
      </c>
      <c r="F437" t="s">
        <v>31</v>
      </c>
      <c r="G437" s="4">
        <v>150778</v>
      </c>
      <c r="H437" s="4">
        <v>2985</v>
      </c>
      <c r="I437" s="5">
        <v>1.9800000000000002E-2</v>
      </c>
      <c r="J437" s="2">
        <v>1.39</v>
      </c>
      <c r="K437" s="6">
        <v>4149.1499999999996</v>
      </c>
      <c r="L437" s="4">
        <v>59</v>
      </c>
      <c r="M437" s="2">
        <v>70.319999999999993</v>
      </c>
      <c r="N437" s="6">
        <v>16435.61</v>
      </c>
      <c r="O437" s="6">
        <f t="shared" si="31"/>
        <v>12286.460000000001</v>
      </c>
      <c r="P437" s="6">
        <f t="shared" si="32"/>
        <v>2.9611992817806061</v>
      </c>
      <c r="Q437" s="3">
        <v>3.96</v>
      </c>
      <c r="R437" t="str">
        <f t="shared" si="33"/>
        <v>High</v>
      </c>
      <c r="S437" t="str">
        <f t="shared" si="34"/>
        <v>Valid</v>
      </c>
    </row>
    <row r="438" spans="1:19" x14ac:dyDescent="0.25">
      <c r="A438" s="1">
        <v>45490</v>
      </c>
      <c r="B438" s="1" t="str">
        <f t="shared" si="30"/>
        <v>2024-07</v>
      </c>
      <c r="C438" t="s">
        <v>14</v>
      </c>
      <c r="D438" t="s">
        <v>21</v>
      </c>
      <c r="E438" t="s">
        <v>19</v>
      </c>
      <c r="F438" t="s">
        <v>26</v>
      </c>
      <c r="G438" s="4">
        <v>113500</v>
      </c>
      <c r="H438" s="4">
        <v>7604</v>
      </c>
      <c r="I438" s="5">
        <v>6.7000000000000004E-2</v>
      </c>
      <c r="J438" s="2">
        <v>1.3</v>
      </c>
      <c r="K438" s="6">
        <v>9885.2000000000007</v>
      </c>
      <c r="L438" s="4">
        <v>340</v>
      </c>
      <c r="M438" s="2">
        <v>29.07</v>
      </c>
      <c r="N438" s="6">
        <v>21520.639999999999</v>
      </c>
      <c r="O438" s="6">
        <f t="shared" si="31"/>
        <v>11635.439999999999</v>
      </c>
      <c r="P438" s="6">
        <f t="shared" si="32"/>
        <v>1.1770566098814388</v>
      </c>
      <c r="Q438" s="3">
        <v>2.1800000000000002</v>
      </c>
      <c r="R438" t="str">
        <f t="shared" si="33"/>
        <v>Medium</v>
      </c>
      <c r="S438" t="str">
        <f t="shared" si="34"/>
        <v>Valid</v>
      </c>
    </row>
    <row r="439" spans="1:19" x14ac:dyDescent="0.25">
      <c r="A439" s="1">
        <v>45596</v>
      </c>
      <c r="B439" s="1" t="str">
        <f t="shared" si="30"/>
        <v>2024-10</v>
      </c>
      <c r="C439" t="s">
        <v>28</v>
      </c>
      <c r="D439" t="s">
        <v>21</v>
      </c>
      <c r="E439" t="s">
        <v>19</v>
      </c>
      <c r="F439" t="s">
        <v>17</v>
      </c>
      <c r="G439" s="4">
        <v>140453</v>
      </c>
      <c r="H439" s="4">
        <v>4213</v>
      </c>
      <c r="I439" s="5">
        <v>0.03</v>
      </c>
      <c r="J439" s="2">
        <v>1.0900000000000001</v>
      </c>
      <c r="K439" s="6">
        <v>4592.17</v>
      </c>
      <c r="L439" s="4">
        <v>56</v>
      </c>
      <c r="M439" s="2">
        <v>82</v>
      </c>
      <c r="N439" s="6">
        <v>4347.7700000000004</v>
      </c>
      <c r="O439" s="6">
        <f t="shared" si="31"/>
        <v>-244.39999999999964</v>
      </c>
      <c r="P439" s="6">
        <f t="shared" si="32"/>
        <v>-5.3221026225074339E-2</v>
      </c>
      <c r="Q439" s="3">
        <v>0.95</v>
      </c>
      <c r="R439" t="str">
        <f t="shared" si="33"/>
        <v>Low</v>
      </c>
      <c r="S439" t="str">
        <f t="shared" si="34"/>
        <v>Valid</v>
      </c>
    </row>
    <row r="440" spans="1:19" x14ac:dyDescent="0.25">
      <c r="A440" s="1">
        <v>45403</v>
      </c>
      <c r="B440" s="1" t="str">
        <f t="shared" si="30"/>
        <v>2024-04</v>
      </c>
      <c r="C440" t="s">
        <v>18</v>
      </c>
      <c r="D440" t="s">
        <v>29</v>
      </c>
      <c r="E440" t="s">
        <v>25</v>
      </c>
      <c r="F440" t="s">
        <v>26</v>
      </c>
      <c r="G440" s="4">
        <v>27936</v>
      </c>
      <c r="H440" s="4">
        <v>1402</v>
      </c>
      <c r="I440" s="5">
        <v>5.0200000000000002E-2</v>
      </c>
      <c r="J440" s="2">
        <v>1.32</v>
      </c>
      <c r="K440" s="6">
        <v>1850.64</v>
      </c>
      <c r="L440" s="4">
        <v>99</v>
      </c>
      <c r="M440" s="2">
        <v>18.690000000000001</v>
      </c>
      <c r="N440" s="6">
        <v>26865.9</v>
      </c>
      <c r="O440" s="6">
        <f t="shared" si="31"/>
        <v>25015.260000000002</v>
      </c>
      <c r="P440" s="6">
        <f t="shared" si="32"/>
        <v>13.51708598106601</v>
      </c>
      <c r="Q440" s="3">
        <v>14.52</v>
      </c>
      <c r="R440" t="str">
        <f t="shared" si="33"/>
        <v>High</v>
      </c>
      <c r="S440" t="str">
        <f t="shared" si="34"/>
        <v>Valid</v>
      </c>
    </row>
    <row r="441" spans="1:19" x14ac:dyDescent="0.25">
      <c r="A441" s="1">
        <v>45349</v>
      </c>
      <c r="B441" s="1" t="str">
        <f t="shared" si="30"/>
        <v>2024-02</v>
      </c>
      <c r="C441" t="s">
        <v>18</v>
      </c>
      <c r="D441" t="s">
        <v>29</v>
      </c>
      <c r="E441" t="s">
        <v>25</v>
      </c>
      <c r="F441" t="s">
        <v>20</v>
      </c>
      <c r="G441" s="4">
        <v>133303</v>
      </c>
      <c r="H441" s="4">
        <v>4225</v>
      </c>
      <c r="I441" s="5">
        <v>3.1699999999999999E-2</v>
      </c>
      <c r="J441" s="2">
        <v>1.53</v>
      </c>
      <c r="K441" s="6">
        <v>6464.25</v>
      </c>
      <c r="L441" s="4">
        <v>139</v>
      </c>
      <c r="M441" s="2">
        <v>46.51</v>
      </c>
      <c r="N441" s="6">
        <v>8508.68</v>
      </c>
      <c r="O441" s="6">
        <f t="shared" si="31"/>
        <v>2044.4300000000003</v>
      </c>
      <c r="P441" s="6">
        <f t="shared" si="32"/>
        <v>0.31626716169702601</v>
      </c>
      <c r="Q441" s="3">
        <v>1.32</v>
      </c>
      <c r="R441" t="str">
        <f t="shared" si="33"/>
        <v>Medium</v>
      </c>
      <c r="S441" t="str">
        <f t="shared" si="34"/>
        <v>Valid</v>
      </c>
    </row>
    <row r="442" spans="1:19" x14ac:dyDescent="0.25">
      <c r="A442" s="1">
        <v>45414</v>
      </c>
      <c r="B442" s="1" t="str">
        <f t="shared" si="30"/>
        <v>2024-05</v>
      </c>
      <c r="C442" t="s">
        <v>14</v>
      </c>
      <c r="D442" t="s">
        <v>21</v>
      </c>
      <c r="E442" t="s">
        <v>19</v>
      </c>
      <c r="F442" t="s">
        <v>17</v>
      </c>
      <c r="G442" s="4">
        <v>117333</v>
      </c>
      <c r="H442" s="4">
        <v>2898</v>
      </c>
      <c r="I442" s="5">
        <v>2.47E-2</v>
      </c>
      <c r="J442" s="2">
        <v>3.93</v>
      </c>
      <c r="K442" s="6">
        <v>11389.14</v>
      </c>
      <c r="L442" s="4">
        <v>48</v>
      </c>
      <c r="M442" s="2">
        <v>237.27</v>
      </c>
      <c r="N442" s="6">
        <v>5367.73</v>
      </c>
      <c r="O442" s="6">
        <f t="shared" si="31"/>
        <v>-6021.41</v>
      </c>
      <c r="P442" s="6">
        <f t="shared" si="32"/>
        <v>-0.52869751359628558</v>
      </c>
      <c r="Q442" s="3">
        <v>0.47</v>
      </c>
      <c r="R442" t="str">
        <f t="shared" si="33"/>
        <v>Low</v>
      </c>
      <c r="S442" t="str">
        <f t="shared" si="34"/>
        <v>Valid</v>
      </c>
    </row>
    <row r="443" spans="1:19" x14ac:dyDescent="0.25">
      <c r="A443" s="1">
        <v>45549</v>
      </c>
      <c r="B443" s="1" t="str">
        <f t="shared" si="30"/>
        <v>2024-09</v>
      </c>
      <c r="C443" t="s">
        <v>28</v>
      </c>
      <c r="D443" t="s">
        <v>29</v>
      </c>
      <c r="E443" t="s">
        <v>25</v>
      </c>
      <c r="F443" t="s">
        <v>23</v>
      </c>
      <c r="G443" s="4">
        <v>152680</v>
      </c>
      <c r="H443" s="4">
        <v>6214</v>
      </c>
      <c r="I443" s="5">
        <v>4.07E-2</v>
      </c>
      <c r="J443" s="2">
        <v>2.1</v>
      </c>
      <c r="K443" s="6">
        <v>13049.4</v>
      </c>
      <c r="L443" s="4">
        <v>283</v>
      </c>
      <c r="M443" s="2">
        <v>46.11</v>
      </c>
      <c r="N443" s="6">
        <v>13261.37</v>
      </c>
      <c r="O443" s="6">
        <f t="shared" si="31"/>
        <v>211.97000000000116</v>
      </c>
      <c r="P443" s="6">
        <f t="shared" si="32"/>
        <v>1.624365871227805E-2</v>
      </c>
      <c r="Q443" s="3">
        <v>1.02</v>
      </c>
      <c r="R443" t="str">
        <f t="shared" si="33"/>
        <v>Medium</v>
      </c>
      <c r="S443" t="str">
        <f t="shared" si="34"/>
        <v>Valid</v>
      </c>
    </row>
    <row r="444" spans="1:19" x14ac:dyDescent="0.25">
      <c r="A444" s="1">
        <v>45555</v>
      </c>
      <c r="B444" s="1" t="str">
        <f t="shared" si="30"/>
        <v>2024-09</v>
      </c>
      <c r="C444" t="s">
        <v>14</v>
      </c>
      <c r="D444" t="s">
        <v>29</v>
      </c>
      <c r="E444" t="s">
        <v>22</v>
      </c>
      <c r="F444" t="s">
        <v>23</v>
      </c>
      <c r="G444" s="4">
        <v>168384</v>
      </c>
      <c r="H444" s="4">
        <v>4681</v>
      </c>
      <c r="I444" s="5">
        <v>2.7799999999999998E-2</v>
      </c>
      <c r="J444" s="2">
        <v>2.57</v>
      </c>
      <c r="K444" s="6">
        <v>12030.17</v>
      </c>
      <c r="L444" s="4">
        <v>267</v>
      </c>
      <c r="M444" s="2">
        <v>45.06</v>
      </c>
      <c r="N444" s="6">
        <v>58628.480000000003</v>
      </c>
      <c r="O444" s="6">
        <f t="shared" si="31"/>
        <v>46598.310000000005</v>
      </c>
      <c r="P444" s="6">
        <f t="shared" si="32"/>
        <v>3.8734539910907331</v>
      </c>
      <c r="Q444" s="3">
        <v>4.87</v>
      </c>
      <c r="R444" t="str">
        <f t="shared" si="33"/>
        <v>High</v>
      </c>
      <c r="S444" t="str">
        <f t="shared" si="34"/>
        <v>Valid</v>
      </c>
    </row>
    <row r="445" spans="1:19" x14ac:dyDescent="0.25">
      <c r="A445" s="1">
        <v>45526</v>
      </c>
      <c r="B445" s="1" t="str">
        <f t="shared" si="30"/>
        <v>2024-08</v>
      </c>
      <c r="C445" t="s">
        <v>14</v>
      </c>
      <c r="D445" t="s">
        <v>29</v>
      </c>
      <c r="E445" t="s">
        <v>16</v>
      </c>
      <c r="F445" t="s">
        <v>32</v>
      </c>
      <c r="G445" s="4">
        <v>106026</v>
      </c>
      <c r="H445" s="4">
        <v>5152</v>
      </c>
      <c r="I445" s="5">
        <v>4.8599999999999997E-2</v>
      </c>
      <c r="J445" s="2">
        <v>1.72</v>
      </c>
      <c r="K445" s="6">
        <v>8861.44</v>
      </c>
      <c r="L445" s="4">
        <v>240</v>
      </c>
      <c r="M445" s="2">
        <v>36.92</v>
      </c>
      <c r="N445" s="6">
        <v>50663.13</v>
      </c>
      <c r="O445" s="6">
        <f t="shared" si="31"/>
        <v>41801.689999999995</v>
      </c>
      <c r="P445" s="6">
        <f t="shared" si="32"/>
        <v>4.7172570146612731</v>
      </c>
      <c r="Q445" s="3">
        <v>5.72</v>
      </c>
      <c r="R445" t="str">
        <f t="shared" si="33"/>
        <v>High</v>
      </c>
      <c r="S445" t="str">
        <f t="shared" si="34"/>
        <v>Valid</v>
      </c>
    </row>
    <row r="446" spans="1:19" x14ac:dyDescent="0.25">
      <c r="A446" s="1">
        <v>45404</v>
      </c>
      <c r="B446" s="1" t="str">
        <f t="shared" si="30"/>
        <v>2024-04</v>
      </c>
      <c r="C446" t="s">
        <v>14</v>
      </c>
      <c r="D446" t="s">
        <v>15</v>
      </c>
      <c r="E446" t="s">
        <v>30</v>
      </c>
      <c r="F446" t="s">
        <v>26</v>
      </c>
      <c r="G446" s="4">
        <v>107364</v>
      </c>
      <c r="H446" s="4">
        <v>4895</v>
      </c>
      <c r="I446" s="5">
        <v>4.5600000000000002E-2</v>
      </c>
      <c r="J446" s="2">
        <v>2.65</v>
      </c>
      <c r="K446" s="6">
        <v>12971.75</v>
      </c>
      <c r="L446" s="4">
        <v>200</v>
      </c>
      <c r="M446" s="2">
        <v>64.86</v>
      </c>
      <c r="N446" s="6">
        <v>42108.23</v>
      </c>
      <c r="O446" s="6">
        <f t="shared" si="31"/>
        <v>29136.480000000003</v>
      </c>
      <c r="P446" s="6">
        <f t="shared" si="32"/>
        <v>2.2461487463141059</v>
      </c>
      <c r="Q446" s="3">
        <v>3.25</v>
      </c>
      <c r="R446" t="str">
        <f t="shared" si="33"/>
        <v>High</v>
      </c>
      <c r="S446" t="str">
        <f t="shared" si="34"/>
        <v>Valid</v>
      </c>
    </row>
    <row r="447" spans="1:19" x14ac:dyDescent="0.25">
      <c r="A447" s="1">
        <v>45468</v>
      </c>
      <c r="B447" s="1" t="str">
        <f t="shared" si="30"/>
        <v>2024-06</v>
      </c>
      <c r="C447" t="s">
        <v>14</v>
      </c>
      <c r="D447" t="s">
        <v>21</v>
      </c>
      <c r="E447" t="s">
        <v>19</v>
      </c>
      <c r="F447" t="s">
        <v>20</v>
      </c>
      <c r="G447" s="4">
        <v>132152</v>
      </c>
      <c r="H447" s="4">
        <v>7572</v>
      </c>
      <c r="I447" s="5">
        <v>5.7299999999999997E-2</v>
      </c>
      <c r="J447" s="2">
        <v>1.1399999999999999</v>
      </c>
      <c r="K447" s="6">
        <v>8632.08</v>
      </c>
      <c r="L447" s="4">
        <v>552</v>
      </c>
      <c r="M447" s="2">
        <v>15.64</v>
      </c>
      <c r="N447" s="6">
        <v>115644.47</v>
      </c>
      <c r="O447" s="6">
        <f t="shared" si="31"/>
        <v>107012.39</v>
      </c>
      <c r="P447" s="6">
        <f t="shared" si="32"/>
        <v>12.397057256188543</v>
      </c>
      <c r="Q447" s="3">
        <v>13.4</v>
      </c>
      <c r="R447" t="str">
        <f t="shared" si="33"/>
        <v>High</v>
      </c>
      <c r="S447" t="str">
        <f t="shared" si="34"/>
        <v>Valid</v>
      </c>
    </row>
    <row r="448" spans="1:19" x14ac:dyDescent="0.25">
      <c r="A448" s="1">
        <v>45487</v>
      </c>
      <c r="B448" s="1" t="str">
        <f t="shared" si="30"/>
        <v>2024-07</v>
      </c>
      <c r="C448" t="s">
        <v>14</v>
      </c>
      <c r="D448" t="s">
        <v>24</v>
      </c>
      <c r="E448" t="s">
        <v>16</v>
      </c>
      <c r="F448" t="s">
        <v>32</v>
      </c>
      <c r="G448" s="4">
        <v>116695</v>
      </c>
      <c r="H448" s="4">
        <v>5799</v>
      </c>
      <c r="I448" s="5">
        <v>4.9700000000000001E-2</v>
      </c>
      <c r="J448" s="2">
        <v>3.13</v>
      </c>
      <c r="K448" s="6">
        <v>18150.87</v>
      </c>
      <c r="L448" s="4">
        <v>372</v>
      </c>
      <c r="M448" s="2">
        <v>48.79</v>
      </c>
      <c r="N448" s="6">
        <v>56034.95</v>
      </c>
      <c r="O448" s="6">
        <f t="shared" si="31"/>
        <v>37884.080000000002</v>
      </c>
      <c r="P448" s="6">
        <f t="shared" si="32"/>
        <v>2.0871770884811585</v>
      </c>
      <c r="Q448" s="3">
        <v>3.09</v>
      </c>
      <c r="R448" t="str">
        <f t="shared" si="33"/>
        <v>High</v>
      </c>
      <c r="S448" t="str">
        <f t="shared" si="34"/>
        <v>Valid</v>
      </c>
    </row>
    <row r="449" spans="1:19" x14ac:dyDescent="0.25">
      <c r="A449" s="1">
        <v>45624</v>
      </c>
      <c r="B449" s="1" t="str">
        <f t="shared" si="30"/>
        <v>2024-11</v>
      </c>
      <c r="C449" t="s">
        <v>28</v>
      </c>
      <c r="D449" t="s">
        <v>15</v>
      </c>
      <c r="E449" t="s">
        <v>30</v>
      </c>
      <c r="F449" t="s">
        <v>20</v>
      </c>
      <c r="G449" s="4">
        <v>116030</v>
      </c>
      <c r="H449" s="4">
        <v>4177</v>
      </c>
      <c r="I449" s="5">
        <v>3.5999999999999997E-2</v>
      </c>
      <c r="J449" s="2">
        <v>0.9</v>
      </c>
      <c r="K449" s="6">
        <v>3759.3</v>
      </c>
      <c r="L449" s="4">
        <v>188</v>
      </c>
      <c r="M449" s="2">
        <v>20</v>
      </c>
      <c r="N449" s="6">
        <v>8691.11</v>
      </c>
      <c r="O449" s="6">
        <f t="shared" si="31"/>
        <v>4931.8100000000004</v>
      </c>
      <c r="P449" s="6">
        <f t="shared" si="32"/>
        <v>1.3118958316707898</v>
      </c>
      <c r="Q449" s="3">
        <v>2.31</v>
      </c>
      <c r="R449" t="str">
        <f t="shared" si="33"/>
        <v>Medium</v>
      </c>
      <c r="S449" t="str">
        <f t="shared" si="34"/>
        <v>Valid</v>
      </c>
    </row>
    <row r="450" spans="1:19" x14ac:dyDescent="0.25">
      <c r="A450" s="1">
        <v>45515</v>
      </c>
      <c r="B450" s="1" t="str">
        <f t="shared" si="30"/>
        <v>2024-08</v>
      </c>
      <c r="C450" t="s">
        <v>18</v>
      </c>
      <c r="D450" t="s">
        <v>15</v>
      </c>
      <c r="E450" t="s">
        <v>30</v>
      </c>
      <c r="F450" t="s">
        <v>32</v>
      </c>
      <c r="G450" s="4">
        <v>164599</v>
      </c>
      <c r="H450" s="4">
        <v>11209</v>
      </c>
      <c r="I450" s="5">
        <v>6.8099999999999994E-2</v>
      </c>
      <c r="J450" s="2">
        <v>0.41</v>
      </c>
      <c r="K450" s="6">
        <v>4595.6899999999996</v>
      </c>
      <c r="L450" s="4">
        <v>653</v>
      </c>
      <c r="M450" s="2">
        <v>7.04</v>
      </c>
      <c r="N450" s="6">
        <v>133415.01</v>
      </c>
      <c r="O450" s="6">
        <f t="shared" si="31"/>
        <v>128819.32</v>
      </c>
      <c r="P450" s="6">
        <f t="shared" si="32"/>
        <v>28.030463325420126</v>
      </c>
      <c r="Q450" s="3">
        <v>29.03</v>
      </c>
      <c r="R450" t="str">
        <f t="shared" si="33"/>
        <v>High</v>
      </c>
      <c r="S450" t="str">
        <f t="shared" si="34"/>
        <v>Valid</v>
      </c>
    </row>
    <row r="451" spans="1:19" x14ac:dyDescent="0.25">
      <c r="A451" s="1">
        <v>45400</v>
      </c>
      <c r="B451" s="1" t="str">
        <f t="shared" ref="B451:B514" si="35">TEXT(A451, "yyyy-mm")</f>
        <v>2024-04</v>
      </c>
      <c r="C451" t="s">
        <v>18</v>
      </c>
      <c r="D451" t="s">
        <v>21</v>
      </c>
      <c r="E451" t="s">
        <v>16</v>
      </c>
      <c r="F451" t="s">
        <v>31</v>
      </c>
      <c r="G451" s="4">
        <v>188844</v>
      </c>
      <c r="H451" s="4">
        <v>12860</v>
      </c>
      <c r="I451" s="5">
        <v>6.8099999999999994E-2</v>
      </c>
      <c r="J451" s="2">
        <v>0.98</v>
      </c>
      <c r="K451" s="6">
        <v>12602.8</v>
      </c>
      <c r="L451" s="4">
        <v>892</v>
      </c>
      <c r="M451" s="2">
        <v>14.13</v>
      </c>
      <c r="N451" s="6">
        <v>133607.64000000001</v>
      </c>
      <c r="O451" s="6">
        <f t="shared" ref="O451:O514" si="36">N451-K451</f>
        <v>121004.84000000001</v>
      </c>
      <c r="P451" s="6">
        <f t="shared" ref="P451:P514" si="37">IFERROR(O451/K451, "")</f>
        <v>9.6014250801409222</v>
      </c>
      <c r="Q451" s="3">
        <v>10.6</v>
      </c>
      <c r="R451" t="str">
        <f t="shared" ref="R451:R514" si="38">IF(Q451 &gt;= 3, "High", IF(Q451&gt;=1, "Medium", "Low"))</f>
        <v>High</v>
      </c>
      <c r="S451" t="str">
        <f t="shared" ref="S451:S514" si="39">IF(OR(G451=0, H451&gt;G451, L451&gt;H451), "Invalid", "Valid")</f>
        <v>Valid</v>
      </c>
    </row>
    <row r="452" spans="1:19" x14ac:dyDescent="0.25">
      <c r="A452" s="1">
        <v>45545</v>
      </c>
      <c r="B452" s="1" t="str">
        <f t="shared" si="35"/>
        <v>2024-09</v>
      </c>
      <c r="C452" t="s">
        <v>18</v>
      </c>
      <c r="D452" t="s">
        <v>15</v>
      </c>
      <c r="E452" t="s">
        <v>30</v>
      </c>
      <c r="F452" t="s">
        <v>27</v>
      </c>
      <c r="G452" s="4">
        <v>90468</v>
      </c>
      <c r="H452" s="4">
        <v>5753</v>
      </c>
      <c r="I452" s="5">
        <v>6.3600000000000004E-2</v>
      </c>
      <c r="J452" s="2">
        <v>0.8</v>
      </c>
      <c r="K452" s="6">
        <v>4602.3999999999996</v>
      </c>
      <c r="L452" s="4">
        <v>141</v>
      </c>
      <c r="M452" s="2">
        <v>32.64</v>
      </c>
      <c r="N452" s="6">
        <v>12042.73</v>
      </c>
      <c r="O452" s="6">
        <f t="shared" si="36"/>
        <v>7440.33</v>
      </c>
      <c r="P452" s="6">
        <f t="shared" si="37"/>
        <v>1.6166195897792457</v>
      </c>
      <c r="Q452" s="3">
        <v>2.62</v>
      </c>
      <c r="R452" t="str">
        <f t="shared" si="38"/>
        <v>Medium</v>
      </c>
      <c r="S452" t="str">
        <f t="shared" si="39"/>
        <v>Valid</v>
      </c>
    </row>
    <row r="453" spans="1:19" x14ac:dyDescent="0.25">
      <c r="A453" s="1">
        <v>45467</v>
      </c>
      <c r="B453" s="1" t="str">
        <f t="shared" si="35"/>
        <v>2024-06</v>
      </c>
      <c r="C453" t="s">
        <v>14</v>
      </c>
      <c r="D453" t="s">
        <v>21</v>
      </c>
      <c r="E453" t="s">
        <v>30</v>
      </c>
      <c r="F453" t="s">
        <v>32</v>
      </c>
      <c r="G453" s="4">
        <v>117223</v>
      </c>
      <c r="H453" s="4">
        <v>7935</v>
      </c>
      <c r="I453" s="5">
        <v>6.7699999999999996E-2</v>
      </c>
      <c r="J453" s="2">
        <v>2.02</v>
      </c>
      <c r="K453" s="6">
        <v>16028.7</v>
      </c>
      <c r="L453" s="4">
        <v>166</v>
      </c>
      <c r="M453" s="2">
        <v>96.56</v>
      </c>
      <c r="N453" s="6">
        <v>47449.87</v>
      </c>
      <c r="O453" s="6">
        <f t="shared" si="36"/>
        <v>31421.170000000002</v>
      </c>
      <c r="P453" s="6">
        <f t="shared" si="37"/>
        <v>1.960306824633314</v>
      </c>
      <c r="Q453" s="3">
        <v>2.96</v>
      </c>
      <c r="R453" t="str">
        <f t="shared" si="38"/>
        <v>Medium</v>
      </c>
      <c r="S453" t="str">
        <f t="shared" si="39"/>
        <v>Valid</v>
      </c>
    </row>
    <row r="454" spans="1:19" x14ac:dyDescent="0.25">
      <c r="A454" s="1">
        <v>45377</v>
      </c>
      <c r="B454" s="1" t="str">
        <f t="shared" si="35"/>
        <v>2024-03</v>
      </c>
      <c r="C454" t="s">
        <v>18</v>
      </c>
      <c r="D454" t="s">
        <v>24</v>
      </c>
      <c r="E454" t="s">
        <v>25</v>
      </c>
      <c r="F454" t="s">
        <v>26</v>
      </c>
      <c r="G454" s="4">
        <v>93478</v>
      </c>
      <c r="H454" s="4">
        <v>5786</v>
      </c>
      <c r="I454" s="5">
        <v>6.1899999999999997E-2</v>
      </c>
      <c r="J454" s="2">
        <v>0.42</v>
      </c>
      <c r="K454" s="6">
        <v>2430.12</v>
      </c>
      <c r="L454" s="4">
        <v>272</v>
      </c>
      <c r="M454" s="2">
        <v>8.93</v>
      </c>
      <c r="N454" s="6">
        <v>27905.19</v>
      </c>
      <c r="O454" s="6">
        <f t="shared" si="36"/>
        <v>25475.07</v>
      </c>
      <c r="P454" s="6">
        <f t="shared" si="37"/>
        <v>10.483050219742235</v>
      </c>
      <c r="Q454" s="3">
        <v>11.48</v>
      </c>
      <c r="R454" t="str">
        <f t="shared" si="38"/>
        <v>High</v>
      </c>
      <c r="S454" t="str">
        <f t="shared" si="39"/>
        <v>Valid</v>
      </c>
    </row>
    <row r="455" spans="1:19" x14ac:dyDescent="0.25">
      <c r="A455" s="1">
        <v>45625</v>
      </c>
      <c r="B455" s="1" t="str">
        <f t="shared" si="35"/>
        <v>2024-11</v>
      </c>
      <c r="C455" t="s">
        <v>14</v>
      </c>
      <c r="D455" t="s">
        <v>21</v>
      </c>
      <c r="E455" t="s">
        <v>19</v>
      </c>
      <c r="F455" t="s">
        <v>27</v>
      </c>
      <c r="G455" s="4">
        <v>9134</v>
      </c>
      <c r="H455" s="4">
        <v>228</v>
      </c>
      <c r="I455" s="5">
        <v>2.5000000000000001E-2</v>
      </c>
      <c r="J455" s="2">
        <v>1.39</v>
      </c>
      <c r="K455" s="6">
        <v>316.92</v>
      </c>
      <c r="L455" s="4">
        <v>2</v>
      </c>
      <c r="M455" s="2">
        <v>158.46</v>
      </c>
      <c r="N455" s="6">
        <v>329.55</v>
      </c>
      <c r="O455" s="6">
        <f t="shared" si="36"/>
        <v>12.629999999999995</v>
      </c>
      <c r="P455" s="6">
        <f t="shared" si="37"/>
        <v>3.9852328663385068E-2</v>
      </c>
      <c r="Q455" s="3">
        <v>1.04</v>
      </c>
      <c r="R455" t="str">
        <f t="shared" si="38"/>
        <v>Medium</v>
      </c>
      <c r="S455" t="str">
        <f t="shared" si="39"/>
        <v>Valid</v>
      </c>
    </row>
    <row r="456" spans="1:19" x14ac:dyDescent="0.25">
      <c r="A456" s="1">
        <v>45422</v>
      </c>
      <c r="B456" s="1" t="str">
        <f t="shared" si="35"/>
        <v>2024-05</v>
      </c>
      <c r="C456" t="s">
        <v>28</v>
      </c>
      <c r="D456" t="s">
        <v>29</v>
      </c>
      <c r="E456" t="s">
        <v>30</v>
      </c>
      <c r="F456" t="s">
        <v>17</v>
      </c>
      <c r="G456" s="4">
        <v>29485</v>
      </c>
      <c r="H456" s="4">
        <v>1341</v>
      </c>
      <c r="I456" s="5">
        <v>4.5499999999999999E-2</v>
      </c>
      <c r="J456" s="2">
        <v>1.41</v>
      </c>
      <c r="K456" s="6">
        <v>1890.81</v>
      </c>
      <c r="L456" s="4">
        <v>46</v>
      </c>
      <c r="M456" s="2">
        <v>41.1</v>
      </c>
      <c r="N456" s="6">
        <v>4626.55</v>
      </c>
      <c r="O456" s="6">
        <f t="shared" si="36"/>
        <v>2735.7400000000002</v>
      </c>
      <c r="P456" s="6">
        <f t="shared" si="37"/>
        <v>1.4468613980251852</v>
      </c>
      <c r="Q456" s="3">
        <v>2.4500000000000002</v>
      </c>
      <c r="R456" t="str">
        <f t="shared" si="38"/>
        <v>Medium</v>
      </c>
      <c r="S456" t="str">
        <f t="shared" si="39"/>
        <v>Valid</v>
      </c>
    </row>
    <row r="457" spans="1:19" x14ac:dyDescent="0.25">
      <c r="A457" s="1">
        <v>45649</v>
      </c>
      <c r="B457" s="1" t="str">
        <f t="shared" si="35"/>
        <v>2024-12</v>
      </c>
      <c r="C457" t="s">
        <v>18</v>
      </c>
      <c r="D457" t="s">
        <v>21</v>
      </c>
      <c r="E457" t="s">
        <v>25</v>
      </c>
      <c r="F457" t="s">
        <v>27</v>
      </c>
      <c r="G457" s="4">
        <v>22221</v>
      </c>
      <c r="H457" s="4">
        <v>1706</v>
      </c>
      <c r="I457" s="5">
        <v>7.6799999999999993E-2</v>
      </c>
      <c r="J457" s="2">
        <v>0.5</v>
      </c>
      <c r="K457" s="6">
        <v>853</v>
      </c>
      <c r="L457" s="4">
        <v>74</v>
      </c>
      <c r="M457" s="2">
        <v>11.53</v>
      </c>
      <c r="N457" s="6">
        <v>14659.06</v>
      </c>
      <c r="O457" s="6">
        <f t="shared" si="36"/>
        <v>13806.06</v>
      </c>
      <c r="P457" s="6">
        <f t="shared" si="37"/>
        <v>16.185298944900349</v>
      </c>
      <c r="Q457" s="3">
        <v>17.190000000000001</v>
      </c>
      <c r="R457" t="str">
        <f t="shared" si="38"/>
        <v>High</v>
      </c>
      <c r="S457" t="str">
        <f t="shared" si="39"/>
        <v>Valid</v>
      </c>
    </row>
    <row r="458" spans="1:19" x14ac:dyDescent="0.25">
      <c r="A458" s="1">
        <v>45462</v>
      </c>
      <c r="B458" s="1" t="str">
        <f t="shared" si="35"/>
        <v>2024-06</v>
      </c>
      <c r="C458" t="s">
        <v>14</v>
      </c>
      <c r="D458" t="s">
        <v>29</v>
      </c>
      <c r="E458" t="s">
        <v>25</v>
      </c>
      <c r="F458" t="s">
        <v>26</v>
      </c>
      <c r="G458" s="4">
        <v>178567</v>
      </c>
      <c r="H458" s="4">
        <v>8374</v>
      </c>
      <c r="I458" s="5">
        <v>4.6899999999999997E-2</v>
      </c>
      <c r="J458" s="2">
        <v>1.33</v>
      </c>
      <c r="K458" s="6">
        <v>11137.42</v>
      </c>
      <c r="L458" s="4">
        <v>98</v>
      </c>
      <c r="M458" s="2">
        <v>113.65</v>
      </c>
      <c r="N458" s="6">
        <v>8808.2900000000009</v>
      </c>
      <c r="O458" s="6">
        <f t="shared" si="36"/>
        <v>-2329.1299999999992</v>
      </c>
      <c r="P458" s="6">
        <f t="shared" si="37"/>
        <v>-0.20912653020178812</v>
      </c>
      <c r="Q458" s="3">
        <v>0.79</v>
      </c>
      <c r="R458" t="str">
        <f t="shared" si="38"/>
        <v>Low</v>
      </c>
      <c r="S458" t="str">
        <f t="shared" si="39"/>
        <v>Valid</v>
      </c>
    </row>
    <row r="459" spans="1:19" x14ac:dyDescent="0.25">
      <c r="A459" s="1">
        <v>45571</v>
      </c>
      <c r="B459" s="1" t="str">
        <f t="shared" si="35"/>
        <v>2024-10</v>
      </c>
      <c r="C459" t="s">
        <v>18</v>
      </c>
      <c r="D459" t="s">
        <v>29</v>
      </c>
      <c r="E459" t="s">
        <v>30</v>
      </c>
      <c r="F459" t="s">
        <v>32</v>
      </c>
      <c r="G459" s="4">
        <v>93074</v>
      </c>
      <c r="H459" s="4">
        <v>4225</v>
      </c>
      <c r="I459" s="5">
        <v>4.5400000000000003E-2</v>
      </c>
      <c r="J459" s="2">
        <v>1.54</v>
      </c>
      <c r="K459" s="6">
        <v>6506.5</v>
      </c>
      <c r="L459" s="4">
        <v>300</v>
      </c>
      <c r="M459" s="2">
        <v>21.69</v>
      </c>
      <c r="N459" s="6">
        <v>11467.08</v>
      </c>
      <c r="O459" s="6">
        <f t="shared" si="36"/>
        <v>4960.58</v>
      </c>
      <c r="P459" s="6">
        <f t="shared" si="37"/>
        <v>0.76240375009605776</v>
      </c>
      <c r="Q459" s="3">
        <v>1.76</v>
      </c>
      <c r="R459" t="str">
        <f t="shared" si="38"/>
        <v>Medium</v>
      </c>
      <c r="S459" t="str">
        <f t="shared" si="39"/>
        <v>Valid</v>
      </c>
    </row>
    <row r="460" spans="1:19" x14ac:dyDescent="0.25">
      <c r="A460" s="1">
        <v>45650</v>
      </c>
      <c r="B460" s="1" t="str">
        <f t="shared" si="35"/>
        <v>2024-12</v>
      </c>
      <c r="C460" t="s">
        <v>14</v>
      </c>
      <c r="D460" t="s">
        <v>15</v>
      </c>
      <c r="E460" t="s">
        <v>22</v>
      </c>
      <c r="F460" t="s">
        <v>32</v>
      </c>
      <c r="G460" s="4">
        <v>155840</v>
      </c>
      <c r="H460" s="4">
        <v>4566</v>
      </c>
      <c r="I460" s="5">
        <v>2.93E-2</v>
      </c>
      <c r="J460" s="2">
        <v>1.1200000000000001</v>
      </c>
      <c r="K460" s="6">
        <v>5113.92</v>
      </c>
      <c r="L460" s="4">
        <v>312</v>
      </c>
      <c r="M460" s="2">
        <v>16.39</v>
      </c>
      <c r="N460" s="6">
        <v>40138.5</v>
      </c>
      <c r="O460" s="6">
        <f t="shared" si="36"/>
        <v>35024.58</v>
      </c>
      <c r="P460" s="6">
        <f t="shared" si="37"/>
        <v>6.848871315937676</v>
      </c>
      <c r="Q460" s="3">
        <v>7.85</v>
      </c>
      <c r="R460" t="str">
        <f t="shared" si="38"/>
        <v>High</v>
      </c>
      <c r="S460" t="str">
        <f t="shared" si="39"/>
        <v>Valid</v>
      </c>
    </row>
    <row r="461" spans="1:19" x14ac:dyDescent="0.25">
      <c r="A461" s="1">
        <v>45494</v>
      </c>
      <c r="B461" s="1" t="str">
        <f t="shared" si="35"/>
        <v>2024-07</v>
      </c>
      <c r="C461" t="s">
        <v>18</v>
      </c>
      <c r="D461" t="s">
        <v>29</v>
      </c>
      <c r="E461" t="s">
        <v>30</v>
      </c>
      <c r="F461" t="s">
        <v>31</v>
      </c>
      <c r="G461" s="4">
        <v>21956</v>
      </c>
      <c r="H461" s="4">
        <v>1611</v>
      </c>
      <c r="I461" s="5">
        <v>7.3400000000000007E-2</v>
      </c>
      <c r="J461" s="2">
        <v>1.41</v>
      </c>
      <c r="K461" s="6">
        <v>2271.5100000000002</v>
      </c>
      <c r="L461" s="4">
        <v>79</v>
      </c>
      <c r="M461" s="2">
        <v>28.75</v>
      </c>
      <c r="N461" s="6">
        <v>9545.2800000000007</v>
      </c>
      <c r="O461" s="6">
        <f t="shared" si="36"/>
        <v>7273.77</v>
      </c>
      <c r="P461" s="6">
        <f t="shared" si="37"/>
        <v>3.2021738843324483</v>
      </c>
      <c r="Q461" s="3">
        <v>4.2</v>
      </c>
      <c r="R461" t="str">
        <f t="shared" si="38"/>
        <v>High</v>
      </c>
      <c r="S461" t="str">
        <f t="shared" si="39"/>
        <v>Valid</v>
      </c>
    </row>
    <row r="462" spans="1:19" x14ac:dyDescent="0.25">
      <c r="A462" s="1">
        <v>45418</v>
      </c>
      <c r="B462" s="1" t="str">
        <f t="shared" si="35"/>
        <v>2024-05</v>
      </c>
      <c r="C462" t="s">
        <v>28</v>
      </c>
      <c r="D462" t="s">
        <v>15</v>
      </c>
      <c r="E462" t="s">
        <v>30</v>
      </c>
      <c r="F462" t="s">
        <v>23</v>
      </c>
      <c r="G462" s="4">
        <v>177224</v>
      </c>
      <c r="H462" s="4">
        <v>2374</v>
      </c>
      <c r="I462" s="5">
        <v>1.34E-2</v>
      </c>
      <c r="J462" s="2">
        <v>1.57</v>
      </c>
      <c r="K462" s="6">
        <v>3727.18</v>
      </c>
      <c r="L462" s="4">
        <v>142</v>
      </c>
      <c r="M462" s="2">
        <v>26.25</v>
      </c>
      <c r="N462" s="6">
        <v>18303.419999999998</v>
      </c>
      <c r="O462" s="6">
        <f t="shared" si="36"/>
        <v>14576.239999999998</v>
      </c>
      <c r="P462" s="6">
        <f t="shared" si="37"/>
        <v>3.9107958295547838</v>
      </c>
      <c r="Q462" s="3">
        <v>4.91</v>
      </c>
      <c r="R462" t="str">
        <f t="shared" si="38"/>
        <v>High</v>
      </c>
      <c r="S462" t="str">
        <f t="shared" si="39"/>
        <v>Valid</v>
      </c>
    </row>
    <row r="463" spans="1:19" x14ac:dyDescent="0.25">
      <c r="A463" s="1">
        <v>45600</v>
      </c>
      <c r="B463" s="1" t="str">
        <f t="shared" si="35"/>
        <v>2024-11</v>
      </c>
      <c r="C463" t="s">
        <v>14</v>
      </c>
      <c r="D463" t="s">
        <v>15</v>
      </c>
      <c r="E463" t="s">
        <v>19</v>
      </c>
      <c r="F463" t="s">
        <v>17</v>
      </c>
      <c r="G463" s="4">
        <v>93720</v>
      </c>
      <c r="H463" s="4">
        <v>2661</v>
      </c>
      <c r="I463" s="5">
        <v>2.8400000000000002E-2</v>
      </c>
      <c r="J463" s="2">
        <v>1.7</v>
      </c>
      <c r="K463" s="6">
        <v>4523.7</v>
      </c>
      <c r="L463" s="4">
        <v>104</v>
      </c>
      <c r="M463" s="2">
        <v>43.5</v>
      </c>
      <c r="N463" s="6">
        <v>18904.07</v>
      </c>
      <c r="O463" s="6">
        <f t="shared" si="36"/>
        <v>14380.369999999999</v>
      </c>
      <c r="P463" s="6">
        <f t="shared" si="37"/>
        <v>3.1788955943143886</v>
      </c>
      <c r="Q463" s="3">
        <v>4.18</v>
      </c>
      <c r="R463" t="str">
        <f t="shared" si="38"/>
        <v>High</v>
      </c>
      <c r="S463" t="str">
        <f t="shared" si="39"/>
        <v>Valid</v>
      </c>
    </row>
    <row r="464" spans="1:19" x14ac:dyDescent="0.25">
      <c r="A464" s="1">
        <v>45440</v>
      </c>
      <c r="B464" s="1" t="str">
        <f t="shared" si="35"/>
        <v>2024-05</v>
      </c>
      <c r="C464" t="s">
        <v>14</v>
      </c>
      <c r="D464" t="s">
        <v>29</v>
      </c>
      <c r="E464" t="s">
        <v>19</v>
      </c>
      <c r="F464" t="s">
        <v>23</v>
      </c>
      <c r="G464" s="4">
        <v>169909</v>
      </c>
      <c r="H464" s="4">
        <v>7781</v>
      </c>
      <c r="I464" s="5">
        <v>4.58E-2</v>
      </c>
      <c r="J464" s="2">
        <v>2.5</v>
      </c>
      <c r="K464" s="6">
        <v>19452.5</v>
      </c>
      <c r="L464" s="4">
        <v>124</v>
      </c>
      <c r="M464" s="2">
        <v>156.88</v>
      </c>
      <c r="N464" s="6">
        <v>26123.279999999999</v>
      </c>
      <c r="O464" s="6">
        <f t="shared" si="36"/>
        <v>6670.7799999999988</v>
      </c>
      <c r="P464" s="6">
        <f t="shared" si="37"/>
        <v>0.34292661611618036</v>
      </c>
      <c r="Q464" s="3">
        <v>1.34</v>
      </c>
      <c r="R464" t="str">
        <f t="shared" si="38"/>
        <v>Medium</v>
      </c>
      <c r="S464" t="str">
        <f t="shared" si="39"/>
        <v>Valid</v>
      </c>
    </row>
    <row r="465" spans="1:19" x14ac:dyDescent="0.25">
      <c r="A465" s="1">
        <v>45509</v>
      </c>
      <c r="B465" s="1" t="str">
        <f t="shared" si="35"/>
        <v>2024-08</v>
      </c>
      <c r="C465" t="s">
        <v>28</v>
      </c>
      <c r="D465" t="s">
        <v>21</v>
      </c>
      <c r="E465" t="s">
        <v>22</v>
      </c>
      <c r="F465" t="s">
        <v>23</v>
      </c>
      <c r="G465" s="4">
        <v>46548</v>
      </c>
      <c r="H465" s="4">
        <v>1047</v>
      </c>
      <c r="I465" s="5">
        <v>2.2499999999999999E-2</v>
      </c>
      <c r="J465" s="2">
        <v>1.55</v>
      </c>
      <c r="K465" s="6">
        <v>1622.85</v>
      </c>
      <c r="L465" s="4">
        <v>28</v>
      </c>
      <c r="M465" s="2">
        <v>57.96</v>
      </c>
      <c r="N465" s="6">
        <v>7800.92</v>
      </c>
      <c r="O465" s="6">
        <f t="shared" si="36"/>
        <v>6178.07</v>
      </c>
      <c r="P465" s="6">
        <f t="shared" si="37"/>
        <v>3.8069260868225654</v>
      </c>
      <c r="Q465" s="3">
        <v>4.8099999999999996</v>
      </c>
      <c r="R465" t="str">
        <f t="shared" si="38"/>
        <v>High</v>
      </c>
      <c r="S465" t="str">
        <f t="shared" si="39"/>
        <v>Valid</v>
      </c>
    </row>
    <row r="466" spans="1:19" x14ac:dyDescent="0.25">
      <c r="A466" s="1">
        <v>45634</v>
      </c>
      <c r="B466" s="1" t="str">
        <f t="shared" si="35"/>
        <v>2024-12</v>
      </c>
      <c r="C466" t="s">
        <v>28</v>
      </c>
      <c r="D466" t="s">
        <v>15</v>
      </c>
      <c r="E466" t="s">
        <v>22</v>
      </c>
      <c r="F466" t="s">
        <v>23</v>
      </c>
      <c r="G466" s="4">
        <v>6875</v>
      </c>
      <c r="H466" s="4">
        <v>158</v>
      </c>
      <c r="I466" s="5">
        <v>2.3099999999999999E-2</v>
      </c>
      <c r="J466" s="2">
        <v>1.83</v>
      </c>
      <c r="K466" s="6">
        <v>289.14</v>
      </c>
      <c r="L466" s="4">
        <v>2</v>
      </c>
      <c r="M466" s="2">
        <v>144.57</v>
      </c>
      <c r="N466" s="6">
        <v>386.94</v>
      </c>
      <c r="O466" s="6">
        <f t="shared" si="36"/>
        <v>97.800000000000011</v>
      </c>
      <c r="P466" s="6">
        <f t="shared" si="37"/>
        <v>0.33824444905582074</v>
      </c>
      <c r="Q466" s="3">
        <v>1.34</v>
      </c>
      <c r="R466" t="str">
        <f t="shared" si="38"/>
        <v>Medium</v>
      </c>
      <c r="S466" t="str">
        <f t="shared" si="39"/>
        <v>Valid</v>
      </c>
    </row>
    <row r="467" spans="1:19" x14ac:dyDescent="0.25">
      <c r="A467" s="1">
        <v>45652</v>
      </c>
      <c r="B467" s="1" t="str">
        <f t="shared" si="35"/>
        <v>2024-12</v>
      </c>
      <c r="C467" t="s">
        <v>14</v>
      </c>
      <c r="D467" t="s">
        <v>15</v>
      </c>
      <c r="E467" t="s">
        <v>25</v>
      </c>
      <c r="F467" t="s">
        <v>31</v>
      </c>
      <c r="G467" s="4">
        <v>106975</v>
      </c>
      <c r="H467" s="4">
        <v>4300</v>
      </c>
      <c r="I467" s="5">
        <v>4.02E-2</v>
      </c>
      <c r="J467" s="2">
        <v>2.39</v>
      </c>
      <c r="K467" s="6">
        <v>10277</v>
      </c>
      <c r="L467" s="4">
        <v>335</v>
      </c>
      <c r="M467" s="2">
        <v>30.68</v>
      </c>
      <c r="N467" s="6">
        <v>35904.36</v>
      </c>
      <c r="O467" s="6">
        <f t="shared" si="36"/>
        <v>25627.360000000001</v>
      </c>
      <c r="P467" s="6">
        <f t="shared" si="37"/>
        <v>2.4936615743894133</v>
      </c>
      <c r="Q467" s="3">
        <v>3.49</v>
      </c>
      <c r="R467" t="str">
        <f t="shared" si="38"/>
        <v>High</v>
      </c>
      <c r="S467" t="str">
        <f t="shared" si="39"/>
        <v>Valid</v>
      </c>
    </row>
    <row r="468" spans="1:19" x14ac:dyDescent="0.25">
      <c r="A468" s="1">
        <v>45330</v>
      </c>
      <c r="B468" s="1" t="str">
        <f t="shared" si="35"/>
        <v>2024-02</v>
      </c>
      <c r="C468" t="s">
        <v>14</v>
      </c>
      <c r="D468" t="s">
        <v>24</v>
      </c>
      <c r="E468" t="s">
        <v>25</v>
      </c>
      <c r="F468" t="s">
        <v>20</v>
      </c>
      <c r="G468" s="4">
        <v>10574</v>
      </c>
      <c r="H468" s="4">
        <v>389</v>
      </c>
      <c r="I468" s="5">
        <v>3.6799999999999999E-2</v>
      </c>
      <c r="J468" s="2">
        <v>2.59</v>
      </c>
      <c r="K468" s="6">
        <v>1007.51</v>
      </c>
      <c r="L468" s="4">
        <v>6</v>
      </c>
      <c r="M468" s="2">
        <v>167.92</v>
      </c>
      <c r="N468" s="6">
        <v>908.68</v>
      </c>
      <c r="O468" s="6">
        <f t="shared" si="36"/>
        <v>-98.830000000000041</v>
      </c>
      <c r="P468" s="6">
        <f t="shared" si="37"/>
        <v>-9.8093319173010729E-2</v>
      </c>
      <c r="Q468" s="3">
        <v>0.9</v>
      </c>
      <c r="R468" t="str">
        <f t="shared" si="38"/>
        <v>Low</v>
      </c>
      <c r="S468" t="str">
        <f t="shared" si="39"/>
        <v>Valid</v>
      </c>
    </row>
    <row r="469" spans="1:19" x14ac:dyDescent="0.25">
      <c r="A469" s="1">
        <v>45489</v>
      </c>
      <c r="B469" s="1" t="str">
        <f t="shared" si="35"/>
        <v>2024-07</v>
      </c>
      <c r="C469" t="s">
        <v>18</v>
      </c>
      <c r="D469" t="s">
        <v>21</v>
      </c>
      <c r="E469" t="s">
        <v>16</v>
      </c>
      <c r="F469" t="s">
        <v>32</v>
      </c>
      <c r="G469" s="4">
        <v>147658</v>
      </c>
      <c r="H469" s="4">
        <v>6939</v>
      </c>
      <c r="I469" s="5">
        <v>4.7E-2</v>
      </c>
      <c r="J469" s="2">
        <v>0.86</v>
      </c>
      <c r="K469" s="6">
        <v>5967.54</v>
      </c>
      <c r="L469" s="4">
        <v>282</v>
      </c>
      <c r="M469" s="2">
        <v>21.16</v>
      </c>
      <c r="N469" s="6">
        <v>39581.75</v>
      </c>
      <c r="O469" s="6">
        <f t="shared" si="36"/>
        <v>33614.21</v>
      </c>
      <c r="P469" s="6">
        <f t="shared" si="37"/>
        <v>5.6328420085998587</v>
      </c>
      <c r="Q469" s="3">
        <v>6.63</v>
      </c>
      <c r="R469" t="str">
        <f t="shared" si="38"/>
        <v>High</v>
      </c>
      <c r="S469" t="str">
        <f t="shared" si="39"/>
        <v>Valid</v>
      </c>
    </row>
    <row r="470" spans="1:19" x14ac:dyDescent="0.25">
      <c r="A470" s="1">
        <v>45445</v>
      </c>
      <c r="B470" s="1" t="str">
        <f t="shared" si="35"/>
        <v>2024-06</v>
      </c>
      <c r="C470" t="s">
        <v>28</v>
      </c>
      <c r="D470" t="s">
        <v>24</v>
      </c>
      <c r="E470" t="s">
        <v>25</v>
      </c>
      <c r="F470" t="s">
        <v>27</v>
      </c>
      <c r="G470" s="4">
        <v>52013</v>
      </c>
      <c r="H470" s="4">
        <v>1565</v>
      </c>
      <c r="I470" s="5">
        <v>3.0099999999999998E-2</v>
      </c>
      <c r="J470" s="2">
        <v>1.03</v>
      </c>
      <c r="K470" s="6">
        <v>1611.95</v>
      </c>
      <c r="L470" s="4">
        <v>23</v>
      </c>
      <c r="M470" s="2">
        <v>70.08</v>
      </c>
      <c r="N470" s="6">
        <v>6481.69</v>
      </c>
      <c r="O470" s="6">
        <f t="shared" si="36"/>
        <v>4869.74</v>
      </c>
      <c r="P470" s="6">
        <f t="shared" si="37"/>
        <v>3.0210242253171624</v>
      </c>
      <c r="Q470" s="3">
        <v>4.0199999999999996</v>
      </c>
      <c r="R470" t="str">
        <f t="shared" si="38"/>
        <v>High</v>
      </c>
      <c r="S470" t="str">
        <f t="shared" si="39"/>
        <v>Valid</v>
      </c>
    </row>
    <row r="471" spans="1:19" x14ac:dyDescent="0.25">
      <c r="A471" s="1">
        <v>45583</v>
      </c>
      <c r="B471" s="1" t="str">
        <f t="shared" si="35"/>
        <v>2024-10</v>
      </c>
      <c r="C471" t="s">
        <v>14</v>
      </c>
      <c r="D471" t="s">
        <v>15</v>
      </c>
      <c r="E471" t="s">
        <v>30</v>
      </c>
      <c r="F471" t="s">
        <v>31</v>
      </c>
      <c r="G471" s="4">
        <v>49484</v>
      </c>
      <c r="H471" s="4">
        <v>1118</v>
      </c>
      <c r="I471" s="5">
        <v>2.2599999999999999E-2</v>
      </c>
      <c r="J471" s="2">
        <v>2.0499999999999998</v>
      </c>
      <c r="K471" s="6">
        <v>2291.9</v>
      </c>
      <c r="L471" s="4">
        <v>79</v>
      </c>
      <c r="M471" s="2">
        <v>29.01</v>
      </c>
      <c r="N471" s="6">
        <v>18417.53</v>
      </c>
      <c r="O471" s="6">
        <f t="shared" si="36"/>
        <v>16125.63</v>
      </c>
      <c r="P471" s="6">
        <f t="shared" si="37"/>
        <v>7.0359221606527331</v>
      </c>
      <c r="Q471" s="3">
        <v>8.0399999999999991</v>
      </c>
      <c r="R471" t="str">
        <f t="shared" si="38"/>
        <v>High</v>
      </c>
      <c r="S471" t="str">
        <f t="shared" si="39"/>
        <v>Valid</v>
      </c>
    </row>
    <row r="472" spans="1:19" x14ac:dyDescent="0.25">
      <c r="A472" s="1">
        <v>45477</v>
      </c>
      <c r="B472" s="1" t="str">
        <f t="shared" si="35"/>
        <v>2024-07</v>
      </c>
      <c r="C472" t="s">
        <v>14</v>
      </c>
      <c r="D472" t="s">
        <v>15</v>
      </c>
      <c r="E472" t="s">
        <v>22</v>
      </c>
      <c r="F472" t="s">
        <v>23</v>
      </c>
      <c r="G472" s="4">
        <v>18877</v>
      </c>
      <c r="H472" s="4">
        <v>545</v>
      </c>
      <c r="I472" s="5">
        <v>2.8899999999999999E-2</v>
      </c>
      <c r="J472" s="2">
        <v>3.2</v>
      </c>
      <c r="K472" s="6">
        <v>1744</v>
      </c>
      <c r="L472" s="4">
        <v>26</v>
      </c>
      <c r="M472" s="2">
        <v>67.08</v>
      </c>
      <c r="N472" s="6">
        <v>5981</v>
      </c>
      <c r="O472" s="6">
        <f t="shared" si="36"/>
        <v>4237</v>
      </c>
      <c r="P472" s="6">
        <f t="shared" si="37"/>
        <v>2.4294724770642202</v>
      </c>
      <c r="Q472" s="3">
        <v>3.43</v>
      </c>
      <c r="R472" t="str">
        <f t="shared" si="38"/>
        <v>High</v>
      </c>
      <c r="S472" t="str">
        <f t="shared" si="39"/>
        <v>Valid</v>
      </c>
    </row>
    <row r="473" spans="1:19" x14ac:dyDescent="0.25">
      <c r="A473" s="1">
        <v>45397</v>
      </c>
      <c r="B473" s="1" t="str">
        <f t="shared" si="35"/>
        <v>2024-04</v>
      </c>
      <c r="C473" t="s">
        <v>28</v>
      </c>
      <c r="D473" t="s">
        <v>24</v>
      </c>
      <c r="E473" t="s">
        <v>22</v>
      </c>
      <c r="F473" t="s">
        <v>20</v>
      </c>
      <c r="G473" s="4">
        <v>106505</v>
      </c>
      <c r="H473" s="4">
        <v>1022</v>
      </c>
      <c r="I473" s="5">
        <v>9.5999999999999992E-3</v>
      </c>
      <c r="J473" s="2">
        <v>1.8</v>
      </c>
      <c r="K473" s="6">
        <v>1839.6</v>
      </c>
      <c r="L473" s="4">
        <v>27</v>
      </c>
      <c r="M473" s="2">
        <v>68.13</v>
      </c>
      <c r="N473" s="6">
        <v>2467.1799999999998</v>
      </c>
      <c r="O473" s="6">
        <f t="shared" si="36"/>
        <v>627.57999999999993</v>
      </c>
      <c r="P473" s="6">
        <f t="shared" si="37"/>
        <v>0.34115025005435962</v>
      </c>
      <c r="Q473" s="3">
        <v>1.34</v>
      </c>
      <c r="R473" t="str">
        <f t="shared" si="38"/>
        <v>Medium</v>
      </c>
      <c r="S473" t="str">
        <f t="shared" si="39"/>
        <v>Valid</v>
      </c>
    </row>
    <row r="474" spans="1:19" x14ac:dyDescent="0.25">
      <c r="A474" s="1">
        <v>45437</v>
      </c>
      <c r="B474" s="1" t="str">
        <f t="shared" si="35"/>
        <v>2024-05</v>
      </c>
      <c r="C474" t="s">
        <v>14</v>
      </c>
      <c r="D474" t="s">
        <v>15</v>
      </c>
      <c r="E474" t="s">
        <v>30</v>
      </c>
      <c r="F474" t="s">
        <v>31</v>
      </c>
      <c r="G474" s="4">
        <v>65107</v>
      </c>
      <c r="H474" s="4">
        <v>1777</v>
      </c>
      <c r="I474" s="5">
        <v>2.7300000000000001E-2</v>
      </c>
      <c r="J474" s="2">
        <v>1.63</v>
      </c>
      <c r="K474" s="6">
        <v>2896.51</v>
      </c>
      <c r="L474" s="4">
        <v>128</v>
      </c>
      <c r="M474" s="2">
        <v>22.63</v>
      </c>
      <c r="N474" s="6">
        <v>29612.560000000001</v>
      </c>
      <c r="O474" s="6">
        <f t="shared" si="36"/>
        <v>26716.050000000003</v>
      </c>
      <c r="P474" s="6">
        <f t="shared" si="37"/>
        <v>9.2235310770548011</v>
      </c>
      <c r="Q474" s="3">
        <v>10.220000000000001</v>
      </c>
      <c r="R474" t="str">
        <f t="shared" si="38"/>
        <v>High</v>
      </c>
      <c r="S474" t="str">
        <f t="shared" si="39"/>
        <v>Valid</v>
      </c>
    </row>
    <row r="475" spans="1:19" x14ac:dyDescent="0.25">
      <c r="A475" s="1">
        <v>45353</v>
      </c>
      <c r="B475" s="1" t="str">
        <f t="shared" si="35"/>
        <v>2024-03</v>
      </c>
      <c r="C475" t="s">
        <v>14</v>
      </c>
      <c r="D475" t="s">
        <v>24</v>
      </c>
      <c r="E475" t="s">
        <v>25</v>
      </c>
      <c r="F475" t="s">
        <v>31</v>
      </c>
      <c r="G475" s="4">
        <v>69839</v>
      </c>
      <c r="H475" s="4">
        <v>1620</v>
      </c>
      <c r="I475" s="5">
        <v>2.3199999999999998E-2</v>
      </c>
      <c r="J475" s="2">
        <v>1.26</v>
      </c>
      <c r="K475" s="6">
        <v>2041.2</v>
      </c>
      <c r="L475" s="4">
        <v>80</v>
      </c>
      <c r="M475" s="2">
        <v>25.52</v>
      </c>
      <c r="N475" s="6">
        <v>22785.52</v>
      </c>
      <c r="O475" s="6">
        <f t="shared" si="36"/>
        <v>20744.32</v>
      </c>
      <c r="P475" s="6">
        <f t="shared" si="37"/>
        <v>10.162806192435822</v>
      </c>
      <c r="Q475" s="3">
        <v>11.16</v>
      </c>
      <c r="R475" t="str">
        <f t="shared" si="38"/>
        <v>High</v>
      </c>
      <c r="S475" t="str">
        <f t="shared" si="39"/>
        <v>Valid</v>
      </c>
    </row>
    <row r="476" spans="1:19" x14ac:dyDescent="0.25">
      <c r="A476" s="1">
        <v>45349</v>
      </c>
      <c r="B476" s="1" t="str">
        <f t="shared" si="35"/>
        <v>2024-02</v>
      </c>
      <c r="C476" t="s">
        <v>14</v>
      </c>
      <c r="D476" t="s">
        <v>21</v>
      </c>
      <c r="E476" t="s">
        <v>25</v>
      </c>
      <c r="F476" t="s">
        <v>23</v>
      </c>
      <c r="G476" s="4">
        <v>104794</v>
      </c>
      <c r="H476" s="4">
        <v>5920</v>
      </c>
      <c r="I476" s="5">
        <v>5.6500000000000002E-2</v>
      </c>
      <c r="J476" s="2">
        <v>3.66</v>
      </c>
      <c r="K476" s="6">
        <v>21667.200000000001</v>
      </c>
      <c r="L476" s="4">
        <v>359</v>
      </c>
      <c r="M476" s="2">
        <v>60.35</v>
      </c>
      <c r="N476" s="6">
        <v>21837.83</v>
      </c>
      <c r="O476" s="6">
        <f t="shared" si="36"/>
        <v>170.63000000000102</v>
      </c>
      <c r="P476" s="6">
        <f t="shared" si="37"/>
        <v>7.8750369221681164E-3</v>
      </c>
      <c r="Q476" s="3">
        <v>1.01</v>
      </c>
      <c r="R476" t="str">
        <f t="shared" si="38"/>
        <v>Medium</v>
      </c>
      <c r="S476" t="str">
        <f t="shared" si="39"/>
        <v>Valid</v>
      </c>
    </row>
    <row r="477" spans="1:19" x14ac:dyDescent="0.25">
      <c r="A477" s="1">
        <v>45396</v>
      </c>
      <c r="B477" s="1" t="str">
        <f t="shared" si="35"/>
        <v>2024-04</v>
      </c>
      <c r="C477" t="s">
        <v>28</v>
      </c>
      <c r="D477" t="s">
        <v>21</v>
      </c>
      <c r="E477" t="s">
        <v>19</v>
      </c>
      <c r="F477" t="s">
        <v>23</v>
      </c>
      <c r="G477" s="4">
        <v>33549</v>
      </c>
      <c r="H477" s="4">
        <v>1224</v>
      </c>
      <c r="I477" s="5">
        <v>3.6499999999999998E-2</v>
      </c>
      <c r="J477" s="2">
        <v>0.76</v>
      </c>
      <c r="K477" s="6">
        <v>930.24</v>
      </c>
      <c r="L477" s="4">
        <v>89</v>
      </c>
      <c r="M477" s="2">
        <v>10.45</v>
      </c>
      <c r="N477" s="6">
        <v>26101.34</v>
      </c>
      <c r="O477" s="6">
        <f t="shared" si="36"/>
        <v>25171.1</v>
      </c>
      <c r="P477" s="6">
        <f t="shared" si="37"/>
        <v>27.058716030271757</v>
      </c>
      <c r="Q477" s="3">
        <v>28.06</v>
      </c>
      <c r="R477" t="str">
        <f t="shared" si="38"/>
        <v>High</v>
      </c>
      <c r="S477" t="str">
        <f t="shared" si="39"/>
        <v>Valid</v>
      </c>
    </row>
    <row r="478" spans="1:19" x14ac:dyDescent="0.25">
      <c r="A478" s="1">
        <v>45339</v>
      </c>
      <c r="B478" s="1" t="str">
        <f t="shared" si="35"/>
        <v>2024-02</v>
      </c>
      <c r="C478" t="s">
        <v>14</v>
      </c>
      <c r="D478" t="s">
        <v>21</v>
      </c>
      <c r="E478" t="s">
        <v>25</v>
      </c>
      <c r="F478" t="s">
        <v>26</v>
      </c>
      <c r="G478" s="4">
        <v>133027</v>
      </c>
      <c r="H478" s="4">
        <v>7808</v>
      </c>
      <c r="I478" s="5">
        <v>5.8700000000000002E-2</v>
      </c>
      <c r="J478" s="2">
        <v>1.26</v>
      </c>
      <c r="K478" s="6">
        <v>9838.08</v>
      </c>
      <c r="L478" s="4">
        <v>153</v>
      </c>
      <c r="M478" s="2">
        <v>64.3</v>
      </c>
      <c r="N478" s="6">
        <v>22193.119999999999</v>
      </c>
      <c r="O478" s="6">
        <f t="shared" si="36"/>
        <v>12355.039999999999</v>
      </c>
      <c r="P478" s="6">
        <f t="shared" si="37"/>
        <v>1.2558385376008325</v>
      </c>
      <c r="Q478" s="3">
        <v>2.2599999999999998</v>
      </c>
      <c r="R478" t="str">
        <f t="shared" si="38"/>
        <v>Medium</v>
      </c>
      <c r="S478" t="str">
        <f t="shared" si="39"/>
        <v>Valid</v>
      </c>
    </row>
    <row r="479" spans="1:19" x14ac:dyDescent="0.25">
      <c r="A479" s="1">
        <v>45608</v>
      </c>
      <c r="B479" s="1" t="str">
        <f t="shared" si="35"/>
        <v>2024-11</v>
      </c>
      <c r="C479" t="s">
        <v>28</v>
      </c>
      <c r="D479" t="s">
        <v>21</v>
      </c>
      <c r="E479" t="s">
        <v>19</v>
      </c>
      <c r="F479" t="s">
        <v>26</v>
      </c>
      <c r="G479" s="4">
        <v>27419</v>
      </c>
      <c r="H479" s="4">
        <v>1192</v>
      </c>
      <c r="I479" s="5">
        <v>4.3499999999999997E-2</v>
      </c>
      <c r="J479" s="2">
        <v>1.83</v>
      </c>
      <c r="K479" s="6">
        <v>2181.36</v>
      </c>
      <c r="L479" s="4">
        <v>38</v>
      </c>
      <c r="M479" s="2">
        <v>57.4</v>
      </c>
      <c r="N479" s="6">
        <v>5935.39</v>
      </c>
      <c r="O479" s="6">
        <f t="shared" si="36"/>
        <v>3754.03</v>
      </c>
      <c r="P479" s="6">
        <f t="shared" si="37"/>
        <v>1.7209584846151025</v>
      </c>
      <c r="Q479" s="3">
        <v>2.72</v>
      </c>
      <c r="R479" t="str">
        <f t="shared" si="38"/>
        <v>Medium</v>
      </c>
      <c r="S479" t="str">
        <f t="shared" si="39"/>
        <v>Valid</v>
      </c>
    </row>
    <row r="480" spans="1:19" x14ac:dyDescent="0.25">
      <c r="A480" s="1">
        <v>45436</v>
      </c>
      <c r="B480" s="1" t="str">
        <f t="shared" si="35"/>
        <v>2024-05</v>
      </c>
      <c r="C480" t="s">
        <v>14</v>
      </c>
      <c r="D480" t="s">
        <v>21</v>
      </c>
      <c r="E480" t="s">
        <v>22</v>
      </c>
      <c r="F480" t="s">
        <v>27</v>
      </c>
      <c r="G480" s="4">
        <v>102648</v>
      </c>
      <c r="H480" s="4">
        <v>2330</v>
      </c>
      <c r="I480" s="5">
        <v>2.2700000000000001E-2</v>
      </c>
      <c r="J480" s="2">
        <v>2.5499999999999998</v>
      </c>
      <c r="K480" s="6">
        <v>5941.5</v>
      </c>
      <c r="L480" s="4">
        <v>157</v>
      </c>
      <c r="M480" s="2">
        <v>37.840000000000003</v>
      </c>
      <c r="N480" s="6">
        <v>28653.63</v>
      </c>
      <c r="O480" s="6">
        <f t="shared" si="36"/>
        <v>22712.13</v>
      </c>
      <c r="P480" s="6">
        <f t="shared" si="37"/>
        <v>3.8226255995960616</v>
      </c>
      <c r="Q480" s="3">
        <v>4.82</v>
      </c>
      <c r="R480" t="str">
        <f t="shared" si="38"/>
        <v>High</v>
      </c>
      <c r="S480" t="str">
        <f t="shared" si="39"/>
        <v>Valid</v>
      </c>
    </row>
    <row r="481" spans="1:19" x14ac:dyDescent="0.25">
      <c r="A481" s="1">
        <v>45311</v>
      </c>
      <c r="B481" s="1" t="str">
        <f t="shared" si="35"/>
        <v>2024-01</v>
      </c>
      <c r="C481" t="s">
        <v>14</v>
      </c>
      <c r="D481" t="s">
        <v>29</v>
      </c>
      <c r="E481" t="s">
        <v>30</v>
      </c>
      <c r="F481" t="s">
        <v>27</v>
      </c>
      <c r="G481" s="4">
        <v>181687</v>
      </c>
      <c r="H481" s="4">
        <v>8321</v>
      </c>
      <c r="I481" s="5">
        <v>4.58E-2</v>
      </c>
      <c r="J481" s="2">
        <v>3.14</v>
      </c>
      <c r="K481" s="6">
        <v>26127.94</v>
      </c>
      <c r="L481" s="4">
        <v>651</v>
      </c>
      <c r="M481" s="2">
        <v>40.14</v>
      </c>
      <c r="N481" s="6">
        <v>189283.47</v>
      </c>
      <c r="O481" s="6">
        <f t="shared" si="36"/>
        <v>163155.53</v>
      </c>
      <c r="P481" s="6">
        <f t="shared" si="37"/>
        <v>6.244485022546745</v>
      </c>
      <c r="Q481" s="3">
        <v>7.24</v>
      </c>
      <c r="R481" t="str">
        <f t="shared" si="38"/>
        <v>High</v>
      </c>
      <c r="S481" t="str">
        <f t="shared" si="39"/>
        <v>Valid</v>
      </c>
    </row>
    <row r="482" spans="1:19" x14ac:dyDescent="0.25">
      <c r="A482" s="1">
        <v>45495</v>
      </c>
      <c r="B482" s="1" t="str">
        <f t="shared" si="35"/>
        <v>2024-07</v>
      </c>
      <c r="C482" t="s">
        <v>14</v>
      </c>
      <c r="D482" t="s">
        <v>29</v>
      </c>
      <c r="E482" t="s">
        <v>25</v>
      </c>
      <c r="F482" t="s">
        <v>20</v>
      </c>
      <c r="G482" s="4">
        <v>166792</v>
      </c>
      <c r="H482" s="4">
        <v>6071</v>
      </c>
      <c r="I482" s="5">
        <v>3.6400000000000002E-2</v>
      </c>
      <c r="J482" s="2">
        <v>3.15</v>
      </c>
      <c r="K482" s="6">
        <v>19123.650000000001</v>
      </c>
      <c r="L482" s="4">
        <v>323</v>
      </c>
      <c r="M482" s="2">
        <v>59.21</v>
      </c>
      <c r="N482" s="6">
        <v>23590.83</v>
      </c>
      <c r="O482" s="6">
        <f t="shared" si="36"/>
        <v>4467.18</v>
      </c>
      <c r="P482" s="6">
        <f t="shared" si="37"/>
        <v>0.23359452824120919</v>
      </c>
      <c r="Q482" s="3">
        <v>1.23</v>
      </c>
      <c r="R482" t="str">
        <f t="shared" si="38"/>
        <v>Medium</v>
      </c>
      <c r="S482" t="str">
        <f t="shared" si="39"/>
        <v>Valid</v>
      </c>
    </row>
    <row r="483" spans="1:19" x14ac:dyDescent="0.25">
      <c r="A483" s="1">
        <v>45469</v>
      </c>
      <c r="B483" s="1" t="str">
        <f t="shared" si="35"/>
        <v>2024-06</v>
      </c>
      <c r="C483" t="s">
        <v>18</v>
      </c>
      <c r="D483" t="s">
        <v>15</v>
      </c>
      <c r="E483" t="s">
        <v>25</v>
      </c>
      <c r="F483" t="s">
        <v>23</v>
      </c>
      <c r="G483" s="4">
        <v>7889</v>
      </c>
      <c r="H483" s="4">
        <v>416</v>
      </c>
      <c r="I483" s="5">
        <v>5.28E-2</v>
      </c>
      <c r="J483" s="2">
        <v>1</v>
      </c>
      <c r="K483" s="6">
        <v>416</v>
      </c>
      <c r="L483" s="4">
        <v>16</v>
      </c>
      <c r="M483" s="2">
        <v>26</v>
      </c>
      <c r="N483" s="6">
        <v>2147.9499999999998</v>
      </c>
      <c r="O483" s="6">
        <f t="shared" si="36"/>
        <v>1731.9499999999998</v>
      </c>
      <c r="P483" s="6">
        <f t="shared" si="37"/>
        <v>4.163341346153846</v>
      </c>
      <c r="Q483" s="3">
        <v>5.16</v>
      </c>
      <c r="R483" t="str">
        <f t="shared" si="38"/>
        <v>High</v>
      </c>
      <c r="S483" t="str">
        <f t="shared" si="39"/>
        <v>Valid</v>
      </c>
    </row>
    <row r="484" spans="1:19" x14ac:dyDescent="0.25">
      <c r="A484" s="1">
        <v>45610</v>
      </c>
      <c r="B484" s="1" t="str">
        <f t="shared" si="35"/>
        <v>2024-11</v>
      </c>
      <c r="C484" t="s">
        <v>28</v>
      </c>
      <c r="D484" t="s">
        <v>21</v>
      </c>
      <c r="E484" t="s">
        <v>30</v>
      </c>
      <c r="F484" t="s">
        <v>31</v>
      </c>
      <c r="G484" s="4">
        <v>129746</v>
      </c>
      <c r="H484" s="4">
        <v>4891</v>
      </c>
      <c r="I484" s="5">
        <v>3.7699999999999997E-2</v>
      </c>
      <c r="J484" s="2">
        <v>1.81</v>
      </c>
      <c r="K484" s="6">
        <v>8852.7099999999991</v>
      </c>
      <c r="L484" s="4">
        <v>117</v>
      </c>
      <c r="M484" s="2">
        <v>75.66</v>
      </c>
      <c r="N484" s="6">
        <v>26101.17</v>
      </c>
      <c r="O484" s="6">
        <f t="shared" si="36"/>
        <v>17248.46</v>
      </c>
      <c r="P484" s="6">
        <f t="shared" si="37"/>
        <v>1.9483819079129443</v>
      </c>
      <c r="Q484" s="3">
        <v>2.95</v>
      </c>
      <c r="R484" t="str">
        <f t="shared" si="38"/>
        <v>Medium</v>
      </c>
      <c r="S484" t="str">
        <f t="shared" si="39"/>
        <v>Valid</v>
      </c>
    </row>
    <row r="485" spans="1:19" x14ac:dyDescent="0.25">
      <c r="A485" s="1">
        <v>45368</v>
      </c>
      <c r="B485" s="1" t="str">
        <f t="shared" si="35"/>
        <v>2024-03</v>
      </c>
      <c r="C485" t="s">
        <v>14</v>
      </c>
      <c r="D485" t="s">
        <v>29</v>
      </c>
      <c r="E485" t="s">
        <v>30</v>
      </c>
      <c r="F485" t="s">
        <v>26</v>
      </c>
      <c r="G485" s="4">
        <v>94506</v>
      </c>
      <c r="H485" s="4">
        <v>3269</v>
      </c>
      <c r="I485" s="5">
        <v>3.4599999999999999E-2</v>
      </c>
      <c r="J485" s="2">
        <v>1.56</v>
      </c>
      <c r="K485" s="6">
        <v>5099.6400000000003</v>
      </c>
      <c r="L485" s="4">
        <v>193</v>
      </c>
      <c r="M485" s="2">
        <v>26.42</v>
      </c>
      <c r="N485" s="6">
        <v>7342.38</v>
      </c>
      <c r="O485" s="6">
        <f t="shared" si="36"/>
        <v>2242.7399999999998</v>
      </c>
      <c r="P485" s="6">
        <f t="shared" si="37"/>
        <v>0.43978398475186475</v>
      </c>
      <c r="Q485" s="3">
        <v>1.44</v>
      </c>
      <c r="R485" t="str">
        <f t="shared" si="38"/>
        <v>Medium</v>
      </c>
      <c r="S485" t="str">
        <f t="shared" si="39"/>
        <v>Valid</v>
      </c>
    </row>
    <row r="486" spans="1:19" x14ac:dyDescent="0.25">
      <c r="A486" s="1">
        <v>45429</v>
      </c>
      <c r="B486" s="1" t="str">
        <f t="shared" si="35"/>
        <v>2024-05</v>
      </c>
      <c r="C486" t="s">
        <v>14</v>
      </c>
      <c r="D486" t="s">
        <v>29</v>
      </c>
      <c r="E486" t="s">
        <v>19</v>
      </c>
      <c r="F486" t="s">
        <v>27</v>
      </c>
      <c r="G486" s="4">
        <v>12086</v>
      </c>
      <c r="H486" s="4">
        <v>594</v>
      </c>
      <c r="I486" s="5">
        <v>4.9200000000000001E-2</v>
      </c>
      <c r="J486" s="2">
        <v>2.46</v>
      </c>
      <c r="K486" s="6">
        <v>1461.24</v>
      </c>
      <c r="L486" s="4">
        <v>21</v>
      </c>
      <c r="M486" s="2">
        <v>69.58</v>
      </c>
      <c r="N486" s="6">
        <v>3418.15</v>
      </c>
      <c r="O486" s="6">
        <f t="shared" si="36"/>
        <v>1956.91</v>
      </c>
      <c r="P486" s="6">
        <f t="shared" si="37"/>
        <v>1.3392119022200324</v>
      </c>
      <c r="Q486" s="3">
        <v>2.34</v>
      </c>
      <c r="R486" t="str">
        <f t="shared" si="38"/>
        <v>Medium</v>
      </c>
      <c r="S486" t="str">
        <f t="shared" si="39"/>
        <v>Valid</v>
      </c>
    </row>
    <row r="487" spans="1:19" x14ac:dyDescent="0.25">
      <c r="A487" s="1">
        <v>45419</v>
      </c>
      <c r="B487" s="1" t="str">
        <f t="shared" si="35"/>
        <v>2024-05</v>
      </c>
      <c r="C487" t="s">
        <v>18</v>
      </c>
      <c r="D487" t="s">
        <v>29</v>
      </c>
      <c r="E487" t="s">
        <v>25</v>
      </c>
      <c r="F487" t="s">
        <v>20</v>
      </c>
      <c r="G487" s="4">
        <v>145497</v>
      </c>
      <c r="H487" s="4">
        <v>4743</v>
      </c>
      <c r="I487" s="5">
        <v>3.2599999999999997E-2</v>
      </c>
      <c r="J487" s="2">
        <v>0.35</v>
      </c>
      <c r="K487" s="6">
        <v>1660.05</v>
      </c>
      <c r="L487" s="4">
        <v>313</v>
      </c>
      <c r="M487" s="2">
        <v>5.3</v>
      </c>
      <c r="N487" s="6">
        <v>81349.350000000006</v>
      </c>
      <c r="O487" s="6">
        <f t="shared" si="36"/>
        <v>79689.3</v>
      </c>
      <c r="P487" s="6">
        <f t="shared" si="37"/>
        <v>48.004156501310206</v>
      </c>
      <c r="Q487" s="3">
        <v>49</v>
      </c>
      <c r="R487" t="str">
        <f t="shared" si="38"/>
        <v>High</v>
      </c>
      <c r="S487" t="str">
        <f t="shared" si="39"/>
        <v>Valid</v>
      </c>
    </row>
    <row r="488" spans="1:19" x14ac:dyDescent="0.25">
      <c r="A488" s="1">
        <v>45430</v>
      </c>
      <c r="B488" s="1" t="str">
        <f t="shared" si="35"/>
        <v>2024-05</v>
      </c>
      <c r="C488" t="s">
        <v>28</v>
      </c>
      <c r="D488" t="s">
        <v>15</v>
      </c>
      <c r="E488" t="s">
        <v>19</v>
      </c>
      <c r="F488" t="s">
        <v>17</v>
      </c>
      <c r="G488" s="4">
        <v>14491</v>
      </c>
      <c r="H488" s="4">
        <v>259</v>
      </c>
      <c r="I488" s="5">
        <v>1.7899999999999999E-2</v>
      </c>
      <c r="J488" s="2">
        <v>1.7</v>
      </c>
      <c r="K488" s="6">
        <v>440.3</v>
      </c>
      <c r="L488" s="4">
        <v>3</v>
      </c>
      <c r="M488" s="2">
        <v>146.77000000000001</v>
      </c>
      <c r="N488" s="6">
        <v>260.32</v>
      </c>
      <c r="O488" s="6">
        <f t="shared" si="36"/>
        <v>-179.98000000000002</v>
      </c>
      <c r="P488" s="6">
        <f t="shared" si="37"/>
        <v>-0.40876674994322054</v>
      </c>
      <c r="Q488" s="3">
        <v>0.59</v>
      </c>
      <c r="R488" t="str">
        <f t="shared" si="38"/>
        <v>Low</v>
      </c>
      <c r="S488" t="str">
        <f t="shared" si="39"/>
        <v>Valid</v>
      </c>
    </row>
    <row r="489" spans="1:19" x14ac:dyDescent="0.25">
      <c r="A489" s="1">
        <v>45364</v>
      </c>
      <c r="B489" s="1" t="str">
        <f t="shared" si="35"/>
        <v>2024-03</v>
      </c>
      <c r="C489" t="s">
        <v>28</v>
      </c>
      <c r="D489" t="s">
        <v>24</v>
      </c>
      <c r="E489" t="s">
        <v>16</v>
      </c>
      <c r="F489" t="s">
        <v>17</v>
      </c>
      <c r="G489" s="4">
        <v>156043</v>
      </c>
      <c r="H489" s="4">
        <v>4478</v>
      </c>
      <c r="I489" s="5">
        <v>2.87E-2</v>
      </c>
      <c r="J489" s="2">
        <v>1.33</v>
      </c>
      <c r="K489" s="6">
        <v>5955.74</v>
      </c>
      <c r="L489" s="4">
        <v>193</v>
      </c>
      <c r="M489" s="2">
        <v>30.86</v>
      </c>
      <c r="N489" s="6">
        <v>22322.38</v>
      </c>
      <c r="O489" s="6">
        <f t="shared" si="36"/>
        <v>16366.640000000001</v>
      </c>
      <c r="P489" s="6">
        <f t="shared" si="37"/>
        <v>2.7480447433904103</v>
      </c>
      <c r="Q489" s="3">
        <v>3.75</v>
      </c>
      <c r="R489" t="str">
        <f t="shared" si="38"/>
        <v>High</v>
      </c>
      <c r="S489" t="str">
        <f t="shared" si="39"/>
        <v>Valid</v>
      </c>
    </row>
    <row r="490" spans="1:19" x14ac:dyDescent="0.25">
      <c r="A490" s="1">
        <v>45492</v>
      </c>
      <c r="B490" s="1" t="str">
        <f t="shared" si="35"/>
        <v>2024-07</v>
      </c>
      <c r="C490" t="s">
        <v>18</v>
      </c>
      <c r="D490" t="s">
        <v>29</v>
      </c>
      <c r="E490" t="s">
        <v>22</v>
      </c>
      <c r="F490" t="s">
        <v>20</v>
      </c>
      <c r="G490" s="4">
        <v>115304</v>
      </c>
      <c r="H490" s="4">
        <v>3551</v>
      </c>
      <c r="I490" s="5">
        <v>3.0800000000000001E-2</v>
      </c>
      <c r="J490" s="2">
        <v>1.56</v>
      </c>
      <c r="K490" s="6">
        <v>5539.56</v>
      </c>
      <c r="L490" s="4">
        <v>232</v>
      </c>
      <c r="M490" s="2">
        <v>23.88</v>
      </c>
      <c r="N490" s="6">
        <v>22178.1</v>
      </c>
      <c r="O490" s="6">
        <f t="shared" si="36"/>
        <v>16638.539999999997</v>
      </c>
      <c r="P490" s="6">
        <f t="shared" si="37"/>
        <v>3.0035851222840795</v>
      </c>
      <c r="Q490" s="3">
        <v>4</v>
      </c>
      <c r="R490" t="str">
        <f t="shared" si="38"/>
        <v>High</v>
      </c>
      <c r="S490" t="str">
        <f t="shared" si="39"/>
        <v>Valid</v>
      </c>
    </row>
    <row r="491" spans="1:19" x14ac:dyDescent="0.25">
      <c r="A491" s="1">
        <v>45559</v>
      </c>
      <c r="B491" s="1" t="str">
        <f t="shared" si="35"/>
        <v>2024-09</v>
      </c>
      <c r="C491" t="s">
        <v>18</v>
      </c>
      <c r="D491" t="s">
        <v>24</v>
      </c>
      <c r="E491" t="s">
        <v>16</v>
      </c>
      <c r="F491" t="s">
        <v>17</v>
      </c>
      <c r="G491" s="4">
        <v>132571</v>
      </c>
      <c r="H491" s="4">
        <v>9147</v>
      </c>
      <c r="I491" s="5">
        <v>6.9000000000000006E-2</v>
      </c>
      <c r="J491" s="2">
        <v>1.02</v>
      </c>
      <c r="K491" s="6">
        <v>9329.94</v>
      </c>
      <c r="L491" s="4">
        <v>502</v>
      </c>
      <c r="M491" s="2">
        <v>18.59</v>
      </c>
      <c r="N491" s="6">
        <v>55471.3</v>
      </c>
      <c r="O491" s="6">
        <f t="shared" si="36"/>
        <v>46141.36</v>
      </c>
      <c r="P491" s="6">
        <f t="shared" si="37"/>
        <v>4.9455151908801129</v>
      </c>
      <c r="Q491" s="3">
        <v>5.95</v>
      </c>
      <c r="R491" t="str">
        <f t="shared" si="38"/>
        <v>High</v>
      </c>
      <c r="S491" t="str">
        <f t="shared" si="39"/>
        <v>Valid</v>
      </c>
    </row>
    <row r="492" spans="1:19" x14ac:dyDescent="0.25">
      <c r="A492" s="1">
        <v>45609</v>
      </c>
      <c r="B492" s="1" t="str">
        <f t="shared" si="35"/>
        <v>2024-11</v>
      </c>
      <c r="C492" t="s">
        <v>14</v>
      </c>
      <c r="D492" t="s">
        <v>29</v>
      </c>
      <c r="E492" t="s">
        <v>30</v>
      </c>
      <c r="F492" t="s">
        <v>17</v>
      </c>
      <c r="G492" s="4">
        <v>92502</v>
      </c>
      <c r="H492" s="4">
        <v>2960</v>
      </c>
      <c r="I492" s="5">
        <v>3.2000000000000001E-2</v>
      </c>
      <c r="J492" s="2">
        <v>2.06</v>
      </c>
      <c r="K492" s="6">
        <v>6097.6</v>
      </c>
      <c r="L492" s="4">
        <v>201</v>
      </c>
      <c r="M492" s="2">
        <v>30.34</v>
      </c>
      <c r="N492" s="6">
        <v>47885.36</v>
      </c>
      <c r="O492" s="6">
        <f t="shared" si="36"/>
        <v>41787.760000000002</v>
      </c>
      <c r="P492" s="6">
        <f t="shared" si="37"/>
        <v>6.8531487798478086</v>
      </c>
      <c r="Q492" s="3">
        <v>7.85</v>
      </c>
      <c r="R492" t="str">
        <f t="shared" si="38"/>
        <v>High</v>
      </c>
      <c r="S492" t="str">
        <f t="shared" si="39"/>
        <v>Valid</v>
      </c>
    </row>
    <row r="493" spans="1:19" x14ac:dyDescent="0.25">
      <c r="A493" s="1">
        <v>45619</v>
      </c>
      <c r="B493" s="1" t="str">
        <f t="shared" si="35"/>
        <v>2024-11</v>
      </c>
      <c r="C493" t="s">
        <v>14</v>
      </c>
      <c r="D493" t="s">
        <v>29</v>
      </c>
      <c r="E493" t="s">
        <v>19</v>
      </c>
      <c r="F493" t="s">
        <v>23</v>
      </c>
      <c r="G493" s="4">
        <v>133792</v>
      </c>
      <c r="H493" s="4">
        <v>6943</v>
      </c>
      <c r="I493" s="5">
        <v>5.1900000000000002E-2</v>
      </c>
      <c r="J493" s="2">
        <v>2.35</v>
      </c>
      <c r="K493" s="6">
        <v>16316.05</v>
      </c>
      <c r="L493" s="4">
        <v>186</v>
      </c>
      <c r="M493" s="2">
        <v>87.72</v>
      </c>
      <c r="N493" s="6">
        <v>17630.23</v>
      </c>
      <c r="O493" s="6">
        <f t="shared" si="36"/>
        <v>1314.1800000000003</v>
      </c>
      <c r="P493" s="6">
        <f t="shared" si="37"/>
        <v>8.0545230003585447E-2</v>
      </c>
      <c r="Q493" s="3">
        <v>1.08</v>
      </c>
      <c r="R493" t="str">
        <f t="shared" si="38"/>
        <v>Medium</v>
      </c>
      <c r="S493" t="str">
        <f t="shared" si="39"/>
        <v>Valid</v>
      </c>
    </row>
    <row r="494" spans="1:19" x14ac:dyDescent="0.25">
      <c r="A494" s="1">
        <v>45652</v>
      </c>
      <c r="B494" s="1" t="str">
        <f t="shared" si="35"/>
        <v>2024-12</v>
      </c>
      <c r="C494" t="s">
        <v>14</v>
      </c>
      <c r="D494" t="s">
        <v>29</v>
      </c>
      <c r="E494" t="s">
        <v>19</v>
      </c>
      <c r="F494" t="s">
        <v>20</v>
      </c>
      <c r="G494" s="4">
        <v>77258</v>
      </c>
      <c r="H494" s="4">
        <v>3963</v>
      </c>
      <c r="I494" s="5">
        <v>5.1299999999999998E-2</v>
      </c>
      <c r="J494" s="2">
        <v>1.8</v>
      </c>
      <c r="K494" s="6">
        <v>7133.4</v>
      </c>
      <c r="L494" s="4">
        <v>135</v>
      </c>
      <c r="M494" s="2">
        <v>52.84</v>
      </c>
      <c r="N494" s="6">
        <v>34518.129999999997</v>
      </c>
      <c r="O494" s="6">
        <f t="shared" si="36"/>
        <v>27384.729999999996</v>
      </c>
      <c r="P494" s="6">
        <f t="shared" si="37"/>
        <v>3.8389449631311852</v>
      </c>
      <c r="Q494" s="3">
        <v>4.84</v>
      </c>
      <c r="R494" t="str">
        <f t="shared" si="38"/>
        <v>High</v>
      </c>
      <c r="S494" t="str">
        <f t="shared" si="39"/>
        <v>Valid</v>
      </c>
    </row>
    <row r="495" spans="1:19" x14ac:dyDescent="0.25">
      <c r="A495" s="1">
        <v>45422</v>
      </c>
      <c r="B495" s="1" t="str">
        <f t="shared" si="35"/>
        <v>2024-05</v>
      </c>
      <c r="C495" t="s">
        <v>14</v>
      </c>
      <c r="D495" t="s">
        <v>29</v>
      </c>
      <c r="E495" t="s">
        <v>19</v>
      </c>
      <c r="F495" t="s">
        <v>17</v>
      </c>
      <c r="G495" s="4">
        <v>74672</v>
      </c>
      <c r="H495" s="4">
        <v>2665</v>
      </c>
      <c r="I495" s="5">
        <v>3.5700000000000003E-2</v>
      </c>
      <c r="J495" s="2">
        <v>1.56</v>
      </c>
      <c r="K495" s="6">
        <v>4157.3999999999996</v>
      </c>
      <c r="L495" s="4">
        <v>129</v>
      </c>
      <c r="M495" s="2">
        <v>32.229999999999997</v>
      </c>
      <c r="N495" s="6">
        <v>32318.91</v>
      </c>
      <c r="O495" s="6">
        <f t="shared" si="36"/>
        <v>28161.510000000002</v>
      </c>
      <c r="P495" s="6">
        <f t="shared" si="37"/>
        <v>6.7738273921200758</v>
      </c>
      <c r="Q495" s="3">
        <v>7.77</v>
      </c>
      <c r="R495" t="str">
        <f t="shared" si="38"/>
        <v>High</v>
      </c>
      <c r="S495" t="str">
        <f t="shared" si="39"/>
        <v>Valid</v>
      </c>
    </row>
    <row r="496" spans="1:19" x14ac:dyDescent="0.25">
      <c r="A496" s="1">
        <v>45400</v>
      </c>
      <c r="B496" s="1" t="str">
        <f t="shared" si="35"/>
        <v>2024-04</v>
      </c>
      <c r="C496" t="s">
        <v>18</v>
      </c>
      <c r="D496" t="s">
        <v>15</v>
      </c>
      <c r="E496" t="s">
        <v>22</v>
      </c>
      <c r="F496" t="s">
        <v>32</v>
      </c>
      <c r="G496" s="4">
        <v>41558</v>
      </c>
      <c r="H496" s="4">
        <v>1757</v>
      </c>
      <c r="I496" s="5">
        <v>4.2299999999999997E-2</v>
      </c>
      <c r="J496" s="2">
        <v>1.21</v>
      </c>
      <c r="K496" s="6">
        <v>2125.9699999999998</v>
      </c>
      <c r="L496" s="4">
        <v>72</v>
      </c>
      <c r="M496" s="2">
        <v>29.53</v>
      </c>
      <c r="N496" s="6">
        <v>18414.150000000001</v>
      </c>
      <c r="O496" s="6">
        <f t="shared" si="36"/>
        <v>16288.180000000002</v>
      </c>
      <c r="P496" s="6">
        <f t="shared" si="37"/>
        <v>7.6615286198770463</v>
      </c>
      <c r="Q496" s="3">
        <v>8.66</v>
      </c>
      <c r="R496" t="str">
        <f t="shared" si="38"/>
        <v>High</v>
      </c>
      <c r="S496" t="str">
        <f t="shared" si="39"/>
        <v>Valid</v>
      </c>
    </row>
    <row r="497" spans="1:19" x14ac:dyDescent="0.25">
      <c r="A497" s="1">
        <v>45631</v>
      </c>
      <c r="B497" s="1" t="str">
        <f t="shared" si="35"/>
        <v>2024-12</v>
      </c>
      <c r="C497" t="s">
        <v>14</v>
      </c>
      <c r="D497" t="s">
        <v>24</v>
      </c>
      <c r="E497" t="s">
        <v>22</v>
      </c>
      <c r="F497" t="s">
        <v>32</v>
      </c>
      <c r="G497" s="4">
        <v>134560</v>
      </c>
      <c r="H497" s="4">
        <v>5947</v>
      </c>
      <c r="I497" s="5">
        <v>4.4200000000000003E-2</v>
      </c>
      <c r="J497" s="2">
        <v>2.84</v>
      </c>
      <c r="K497" s="6">
        <v>16889.48</v>
      </c>
      <c r="L497" s="4">
        <v>144</v>
      </c>
      <c r="M497" s="2">
        <v>117.29</v>
      </c>
      <c r="N497" s="6">
        <v>23257.77</v>
      </c>
      <c r="O497" s="6">
        <f t="shared" si="36"/>
        <v>6368.2900000000009</v>
      </c>
      <c r="P497" s="6">
        <f t="shared" si="37"/>
        <v>0.37705660565038124</v>
      </c>
      <c r="Q497" s="3">
        <v>1.38</v>
      </c>
      <c r="R497" t="str">
        <f t="shared" si="38"/>
        <v>Medium</v>
      </c>
      <c r="S497" t="str">
        <f t="shared" si="39"/>
        <v>Valid</v>
      </c>
    </row>
    <row r="498" spans="1:19" x14ac:dyDescent="0.25">
      <c r="A498" s="1">
        <v>45438</v>
      </c>
      <c r="B498" s="1" t="str">
        <f t="shared" si="35"/>
        <v>2024-05</v>
      </c>
      <c r="C498" t="s">
        <v>18</v>
      </c>
      <c r="D498" t="s">
        <v>15</v>
      </c>
      <c r="E498" t="s">
        <v>30</v>
      </c>
      <c r="F498" t="s">
        <v>27</v>
      </c>
      <c r="G498" s="4">
        <v>143518</v>
      </c>
      <c r="H498" s="4">
        <v>10491</v>
      </c>
      <c r="I498" s="5">
        <v>7.3099999999999998E-2</v>
      </c>
      <c r="J498" s="2">
        <v>0.85</v>
      </c>
      <c r="K498" s="6">
        <v>8917.35</v>
      </c>
      <c r="L498" s="4">
        <v>313</v>
      </c>
      <c r="M498" s="2">
        <v>28.49</v>
      </c>
      <c r="N498" s="6">
        <v>46285.52</v>
      </c>
      <c r="O498" s="6">
        <f t="shared" si="36"/>
        <v>37368.17</v>
      </c>
      <c r="P498" s="6">
        <f t="shared" si="37"/>
        <v>4.1905016624894165</v>
      </c>
      <c r="Q498" s="3">
        <v>5.19</v>
      </c>
      <c r="R498" t="str">
        <f t="shared" si="38"/>
        <v>High</v>
      </c>
      <c r="S498" t="str">
        <f t="shared" si="39"/>
        <v>Valid</v>
      </c>
    </row>
    <row r="499" spans="1:19" x14ac:dyDescent="0.25">
      <c r="A499" s="1">
        <v>45574</v>
      </c>
      <c r="B499" s="1" t="str">
        <f t="shared" si="35"/>
        <v>2024-10</v>
      </c>
      <c r="C499" t="s">
        <v>28</v>
      </c>
      <c r="D499" t="s">
        <v>21</v>
      </c>
      <c r="E499" t="s">
        <v>16</v>
      </c>
      <c r="F499" t="s">
        <v>20</v>
      </c>
      <c r="G499" s="4">
        <v>7402</v>
      </c>
      <c r="H499" s="4">
        <v>91</v>
      </c>
      <c r="I499" s="5">
        <v>1.24E-2</v>
      </c>
      <c r="J499" s="2">
        <v>2.08</v>
      </c>
      <c r="K499" s="6">
        <v>189.28</v>
      </c>
      <c r="L499" s="4">
        <v>6</v>
      </c>
      <c r="M499" s="2">
        <v>31.55</v>
      </c>
      <c r="N499" s="6">
        <v>1105.17</v>
      </c>
      <c r="O499" s="6">
        <f t="shared" si="36"/>
        <v>915.8900000000001</v>
      </c>
      <c r="P499" s="6">
        <f t="shared" si="37"/>
        <v>4.8388102282333056</v>
      </c>
      <c r="Q499" s="3">
        <v>5.84</v>
      </c>
      <c r="R499" t="str">
        <f t="shared" si="38"/>
        <v>High</v>
      </c>
      <c r="S499" t="str">
        <f t="shared" si="39"/>
        <v>Valid</v>
      </c>
    </row>
    <row r="500" spans="1:19" x14ac:dyDescent="0.25">
      <c r="A500" s="1">
        <v>45560</v>
      </c>
      <c r="B500" s="1" t="str">
        <f t="shared" si="35"/>
        <v>2024-09</v>
      </c>
      <c r="C500" t="s">
        <v>14</v>
      </c>
      <c r="D500" t="s">
        <v>24</v>
      </c>
      <c r="E500" t="s">
        <v>19</v>
      </c>
      <c r="F500" t="s">
        <v>32</v>
      </c>
      <c r="G500" s="4">
        <v>49225</v>
      </c>
      <c r="H500" s="4">
        <v>2367</v>
      </c>
      <c r="I500" s="5">
        <v>4.8099999999999997E-2</v>
      </c>
      <c r="J500" s="2">
        <v>1.84</v>
      </c>
      <c r="K500" s="6">
        <v>4355.28</v>
      </c>
      <c r="L500" s="4">
        <v>137</v>
      </c>
      <c r="M500" s="2">
        <v>31.79</v>
      </c>
      <c r="N500" s="6">
        <v>8811.5300000000007</v>
      </c>
      <c r="O500" s="6">
        <f t="shared" si="36"/>
        <v>4456.2500000000009</v>
      </c>
      <c r="P500" s="6">
        <f t="shared" si="37"/>
        <v>1.0231833544571189</v>
      </c>
      <c r="Q500" s="3">
        <v>2.02</v>
      </c>
      <c r="R500" t="str">
        <f t="shared" si="38"/>
        <v>Medium</v>
      </c>
      <c r="S500" t="str">
        <f t="shared" si="39"/>
        <v>Valid</v>
      </c>
    </row>
    <row r="501" spans="1:19" x14ac:dyDescent="0.25">
      <c r="A501" s="1">
        <v>45501</v>
      </c>
      <c r="B501" s="1" t="str">
        <f t="shared" si="35"/>
        <v>2024-07</v>
      </c>
      <c r="C501" t="s">
        <v>14</v>
      </c>
      <c r="D501" t="s">
        <v>21</v>
      </c>
      <c r="E501" t="s">
        <v>22</v>
      </c>
      <c r="F501" t="s">
        <v>31</v>
      </c>
      <c r="G501" s="4">
        <v>173678</v>
      </c>
      <c r="H501" s="4">
        <v>11428</v>
      </c>
      <c r="I501" s="5">
        <v>6.5799999999999997E-2</v>
      </c>
      <c r="J501" s="2">
        <v>2.11</v>
      </c>
      <c r="K501" s="6">
        <v>24113.08</v>
      </c>
      <c r="L501" s="4">
        <v>310</v>
      </c>
      <c r="M501" s="2">
        <v>77.78</v>
      </c>
      <c r="N501" s="6">
        <v>83080.36</v>
      </c>
      <c r="O501" s="6">
        <f t="shared" si="36"/>
        <v>58967.28</v>
      </c>
      <c r="P501" s="6">
        <f t="shared" si="37"/>
        <v>2.4454478648103017</v>
      </c>
      <c r="Q501" s="3">
        <v>3.45</v>
      </c>
      <c r="R501" t="str">
        <f t="shared" si="38"/>
        <v>High</v>
      </c>
      <c r="S501" t="str">
        <f t="shared" si="39"/>
        <v>Valid</v>
      </c>
    </row>
    <row r="502" spans="1:19" x14ac:dyDescent="0.25">
      <c r="A502" s="1">
        <v>45358</v>
      </c>
      <c r="B502" s="1" t="str">
        <f t="shared" si="35"/>
        <v>2024-03</v>
      </c>
      <c r="C502" t="s">
        <v>28</v>
      </c>
      <c r="D502" t="s">
        <v>29</v>
      </c>
      <c r="E502" t="s">
        <v>22</v>
      </c>
      <c r="F502" t="s">
        <v>32</v>
      </c>
      <c r="G502" s="4">
        <v>92793</v>
      </c>
      <c r="H502" s="4">
        <v>1261</v>
      </c>
      <c r="I502" s="5">
        <v>1.3599999999999999E-2</v>
      </c>
      <c r="J502" s="2">
        <v>0.37</v>
      </c>
      <c r="K502" s="6">
        <v>466.57</v>
      </c>
      <c r="L502" s="4">
        <v>80</v>
      </c>
      <c r="M502" s="2">
        <v>5.83</v>
      </c>
      <c r="N502" s="6">
        <v>13024.34</v>
      </c>
      <c r="O502" s="6">
        <f t="shared" si="36"/>
        <v>12557.77</v>
      </c>
      <c r="P502" s="6">
        <f t="shared" si="37"/>
        <v>26.915082409927773</v>
      </c>
      <c r="Q502" s="3">
        <v>27.92</v>
      </c>
      <c r="R502" t="str">
        <f t="shared" si="38"/>
        <v>High</v>
      </c>
      <c r="S502" t="str">
        <f t="shared" si="39"/>
        <v>Valid</v>
      </c>
    </row>
    <row r="503" spans="1:19" x14ac:dyDescent="0.25">
      <c r="A503" s="1">
        <v>45513</v>
      </c>
      <c r="B503" s="1" t="str">
        <f t="shared" si="35"/>
        <v>2024-08</v>
      </c>
      <c r="C503" t="s">
        <v>18</v>
      </c>
      <c r="D503" t="s">
        <v>21</v>
      </c>
      <c r="E503" t="s">
        <v>25</v>
      </c>
      <c r="F503" t="s">
        <v>20</v>
      </c>
      <c r="G503" s="4">
        <v>122408</v>
      </c>
      <c r="H503" s="4">
        <v>6671</v>
      </c>
      <c r="I503" s="5">
        <v>5.45E-2</v>
      </c>
      <c r="J503" s="2">
        <v>1.17</v>
      </c>
      <c r="K503" s="6">
        <v>7805.07</v>
      </c>
      <c r="L503" s="4">
        <v>293</v>
      </c>
      <c r="M503" s="2">
        <v>26.64</v>
      </c>
      <c r="N503" s="6">
        <v>67215.820000000007</v>
      </c>
      <c r="O503" s="6">
        <f t="shared" si="36"/>
        <v>59410.750000000007</v>
      </c>
      <c r="P503" s="6">
        <f t="shared" si="37"/>
        <v>7.6118151406713856</v>
      </c>
      <c r="Q503" s="3">
        <v>8.61</v>
      </c>
      <c r="R503" t="str">
        <f t="shared" si="38"/>
        <v>High</v>
      </c>
      <c r="S503" t="str">
        <f t="shared" si="39"/>
        <v>Valid</v>
      </c>
    </row>
    <row r="504" spans="1:19" x14ac:dyDescent="0.25">
      <c r="A504" s="1">
        <v>45477</v>
      </c>
      <c r="B504" s="1" t="str">
        <f t="shared" si="35"/>
        <v>2024-07</v>
      </c>
      <c r="C504" t="s">
        <v>18</v>
      </c>
      <c r="D504" t="s">
        <v>15</v>
      </c>
      <c r="E504" t="s">
        <v>30</v>
      </c>
      <c r="F504" t="s">
        <v>17</v>
      </c>
      <c r="G504" s="4">
        <v>162826</v>
      </c>
      <c r="H504" s="4">
        <v>7815</v>
      </c>
      <c r="I504" s="5">
        <v>4.8000000000000001E-2</v>
      </c>
      <c r="J504" s="2">
        <v>1.64</v>
      </c>
      <c r="K504" s="6">
        <v>12816.6</v>
      </c>
      <c r="L504" s="4">
        <v>120</v>
      </c>
      <c r="M504" s="2">
        <v>106.81</v>
      </c>
      <c r="N504" s="6">
        <v>13520.75</v>
      </c>
      <c r="O504" s="6">
        <f t="shared" si="36"/>
        <v>704.14999999999964</v>
      </c>
      <c r="P504" s="6">
        <f t="shared" si="37"/>
        <v>5.4940467830781922E-2</v>
      </c>
      <c r="Q504" s="3">
        <v>1.05</v>
      </c>
      <c r="R504" t="str">
        <f t="shared" si="38"/>
        <v>Medium</v>
      </c>
      <c r="S504" t="str">
        <f t="shared" si="39"/>
        <v>Valid</v>
      </c>
    </row>
    <row r="505" spans="1:19" x14ac:dyDescent="0.25">
      <c r="A505" s="1">
        <v>45483</v>
      </c>
      <c r="B505" s="1" t="str">
        <f t="shared" si="35"/>
        <v>2024-07</v>
      </c>
      <c r="C505" t="s">
        <v>28</v>
      </c>
      <c r="D505" t="s">
        <v>24</v>
      </c>
      <c r="E505" t="s">
        <v>22</v>
      </c>
      <c r="F505" t="s">
        <v>31</v>
      </c>
      <c r="G505" s="4">
        <v>134614</v>
      </c>
      <c r="H505" s="4">
        <v>3190</v>
      </c>
      <c r="I505" s="5">
        <v>2.3699999999999999E-2</v>
      </c>
      <c r="J505" s="2">
        <v>1.78</v>
      </c>
      <c r="K505" s="6">
        <v>5678.2</v>
      </c>
      <c r="L505" s="4">
        <v>188</v>
      </c>
      <c r="M505" s="2">
        <v>30.2</v>
      </c>
      <c r="N505" s="6">
        <v>41736.54</v>
      </c>
      <c r="O505" s="6">
        <f t="shared" si="36"/>
        <v>36058.340000000004</v>
      </c>
      <c r="P505" s="6">
        <f t="shared" si="37"/>
        <v>6.3503117185023434</v>
      </c>
      <c r="Q505" s="3">
        <v>7.35</v>
      </c>
      <c r="R505" t="str">
        <f t="shared" si="38"/>
        <v>High</v>
      </c>
      <c r="S505" t="str">
        <f t="shared" si="39"/>
        <v>Valid</v>
      </c>
    </row>
    <row r="506" spans="1:19" x14ac:dyDescent="0.25">
      <c r="A506" s="1">
        <v>45369</v>
      </c>
      <c r="B506" s="1" t="str">
        <f t="shared" si="35"/>
        <v>2024-03</v>
      </c>
      <c r="C506" t="s">
        <v>14</v>
      </c>
      <c r="D506" t="s">
        <v>24</v>
      </c>
      <c r="E506" t="s">
        <v>16</v>
      </c>
      <c r="F506" t="s">
        <v>31</v>
      </c>
      <c r="G506" s="4">
        <v>116451</v>
      </c>
      <c r="H506" s="4">
        <v>3388</v>
      </c>
      <c r="I506" s="5">
        <v>2.9100000000000001E-2</v>
      </c>
      <c r="J506" s="2">
        <v>3.39</v>
      </c>
      <c r="K506" s="6">
        <v>11485.32</v>
      </c>
      <c r="L506" s="4">
        <v>188</v>
      </c>
      <c r="M506" s="2">
        <v>61.09</v>
      </c>
      <c r="N506" s="6">
        <v>28791.61</v>
      </c>
      <c r="O506" s="6">
        <f t="shared" si="36"/>
        <v>17306.29</v>
      </c>
      <c r="P506" s="6">
        <f t="shared" si="37"/>
        <v>1.5068182688858474</v>
      </c>
      <c r="Q506" s="3">
        <v>2.5099999999999998</v>
      </c>
      <c r="R506" t="str">
        <f t="shared" si="38"/>
        <v>Medium</v>
      </c>
      <c r="S506" t="str">
        <f t="shared" si="39"/>
        <v>Valid</v>
      </c>
    </row>
    <row r="507" spans="1:19" x14ac:dyDescent="0.25">
      <c r="A507" s="1">
        <v>45335</v>
      </c>
      <c r="B507" s="1" t="str">
        <f t="shared" si="35"/>
        <v>2024-02</v>
      </c>
      <c r="C507" t="s">
        <v>14</v>
      </c>
      <c r="D507" t="s">
        <v>15</v>
      </c>
      <c r="E507" t="s">
        <v>30</v>
      </c>
      <c r="F507" t="s">
        <v>26</v>
      </c>
      <c r="G507" s="4">
        <v>188276</v>
      </c>
      <c r="H507" s="4">
        <v>11277</v>
      </c>
      <c r="I507" s="5">
        <v>5.9900000000000002E-2</v>
      </c>
      <c r="J507" s="2">
        <v>2.48</v>
      </c>
      <c r="K507" s="6">
        <v>27966.959999999999</v>
      </c>
      <c r="L507" s="4">
        <v>554</v>
      </c>
      <c r="M507" s="2">
        <v>50.48</v>
      </c>
      <c r="N507" s="6">
        <v>89376.47</v>
      </c>
      <c r="O507" s="6">
        <f t="shared" si="36"/>
        <v>61409.51</v>
      </c>
      <c r="P507" s="6">
        <f t="shared" si="37"/>
        <v>2.195787815336383</v>
      </c>
      <c r="Q507" s="3">
        <v>3.2</v>
      </c>
      <c r="R507" t="str">
        <f t="shared" si="38"/>
        <v>High</v>
      </c>
      <c r="S507" t="str">
        <f t="shared" si="39"/>
        <v>Valid</v>
      </c>
    </row>
    <row r="508" spans="1:19" x14ac:dyDescent="0.25">
      <c r="A508" s="1">
        <v>45487</v>
      </c>
      <c r="B508" s="1" t="str">
        <f t="shared" si="35"/>
        <v>2024-07</v>
      </c>
      <c r="C508" t="s">
        <v>28</v>
      </c>
      <c r="D508" t="s">
        <v>15</v>
      </c>
      <c r="E508" t="s">
        <v>16</v>
      </c>
      <c r="F508" t="s">
        <v>32</v>
      </c>
      <c r="G508" s="4">
        <v>165552</v>
      </c>
      <c r="H508" s="4">
        <v>4337</v>
      </c>
      <c r="I508" s="5">
        <v>2.6200000000000001E-2</v>
      </c>
      <c r="J508" s="2">
        <v>2.2200000000000002</v>
      </c>
      <c r="K508" s="6">
        <v>9628.14</v>
      </c>
      <c r="L508" s="4">
        <v>132</v>
      </c>
      <c r="M508" s="2">
        <v>72.94</v>
      </c>
      <c r="N508" s="6">
        <v>21448.35</v>
      </c>
      <c r="O508" s="6">
        <f t="shared" si="36"/>
        <v>11820.21</v>
      </c>
      <c r="P508" s="6">
        <f t="shared" si="37"/>
        <v>1.2276732577631817</v>
      </c>
      <c r="Q508" s="3">
        <v>2.23</v>
      </c>
      <c r="R508" t="str">
        <f t="shared" si="38"/>
        <v>Medium</v>
      </c>
      <c r="S508" t="str">
        <f t="shared" si="39"/>
        <v>Valid</v>
      </c>
    </row>
    <row r="509" spans="1:19" x14ac:dyDescent="0.25">
      <c r="A509" s="1">
        <v>45522</v>
      </c>
      <c r="B509" s="1" t="str">
        <f t="shared" si="35"/>
        <v>2024-08</v>
      </c>
      <c r="C509" t="s">
        <v>28</v>
      </c>
      <c r="D509" t="s">
        <v>21</v>
      </c>
      <c r="E509" t="s">
        <v>19</v>
      </c>
      <c r="F509" t="s">
        <v>20</v>
      </c>
      <c r="G509" s="4">
        <v>82271</v>
      </c>
      <c r="H509" s="4">
        <v>3397</v>
      </c>
      <c r="I509" s="5">
        <v>4.1300000000000003E-2</v>
      </c>
      <c r="J509" s="2">
        <v>0.52</v>
      </c>
      <c r="K509" s="6">
        <v>1766.44</v>
      </c>
      <c r="L509" s="4">
        <v>36</v>
      </c>
      <c r="M509" s="2">
        <v>49.07</v>
      </c>
      <c r="N509" s="6">
        <v>6412.73</v>
      </c>
      <c r="O509" s="6">
        <f t="shared" si="36"/>
        <v>4646.2899999999991</v>
      </c>
      <c r="P509" s="6">
        <f t="shared" si="37"/>
        <v>2.630312945811915</v>
      </c>
      <c r="Q509" s="3">
        <v>3.63</v>
      </c>
      <c r="R509" t="str">
        <f t="shared" si="38"/>
        <v>High</v>
      </c>
      <c r="S509" t="str">
        <f t="shared" si="39"/>
        <v>Valid</v>
      </c>
    </row>
    <row r="510" spans="1:19" x14ac:dyDescent="0.25">
      <c r="A510" s="1">
        <v>45656</v>
      </c>
      <c r="B510" s="1" t="str">
        <f t="shared" si="35"/>
        <v>2024-12</v>
      </c>
      <c r="C510" t="s">
        <v>18</v>
      </c>
      <c r="D510" t="s">
        <v>15</v>
      </c>
      <c r="E510" t="s">
        <v>16</v>
      </c>
      <c r="F510" t="s">
        <v>26</v>
      </c>
      <c r="G510" s="4">
        <v>61921</v>
      </c>
      <c r="H510" s="4">
        <v>3814</v>
      </c>
      <c r="I510" s="5">
        <v>6.1600000000000002E-2</v>
      </c>
      <c r="J510" s="2">
        <v>0.31</v>
      </c>
      <c r="K510" s="6">
        <v>1182.3399999999999</v>
      </c>
      <c r="L510" s="4">
        <v>50</v>
      </c>
      <c r="M510" s="2">
        <v>23.65</v>
      </c>
      <c r="N510" s="6">
        <v>8842.35</v>
      </c>
      <c r="O510" s="6">
        <f t="shared" si="36"/>
        <v>7660.01</v>
      </c>
      <c r="P510" s="6">
        <f t="shared" si="37"/>
        <v>6.4786863338802716</v>
      </c>
      <c r="Q510" s="3">
        <v>7.48</v>
      </c>
      <c r="R510" t="str">
        <f t="shared" si="38"/>
        <v>High</v>
      </c>
      <c r="S510" t="str">
        <f t="shared" si="39"/>
        <v>Valid</v>
      </c>
    </row>
    <row r="511" spans="1:19" x14ac:dyDescent="0.25">
      <c r="A511" s="1">
        <v>45561</v>
      </c>
      <c r="B511" s="1" t="str">
        <f t="shared" si="35"/>
        <v>2024-09</v>
      </c>
      <c r="C511" t="s">
        <v>14</v>
      </c>
      <c r="D511" t="s">
        <v>24</v>
      </c>
      <c r="E511" t="s">
        <v>30</v>
      </c>
      <c r="F511" t="s">
        <v>27</v>
      </c>
      <c r="G511" s="4">
        <v>161089</v>
      </c>
      <c r="H511" s="4">
        <v>6540</v>
      </c>
      <c r="I511" s="5">
        <v>4.0599999999999997E-2</v>
      </c>
      <c r="J511" s="2">
        <v>2.1</v>
      </c>
      <c r="K511" s="6">
        <v>13734</v>
      </c>
      <c r="L511" s="4">
        <v>285</v>
      </c>
      <c r="M511" s="2">
        <v>48.19</v>
      </c>
      <c r="N511" s="6">
        <v>49746.79</v>
      </c>
      <c r="O511" s="6">
        <f t="shared" si="36"/>
        <v>36012.79</v>
      </c>
      <c r="P511" s="6">
        <f t="shared" si="37"/>
        <v>2.6221632445026941</v>
      </c>
      <c r="Q511" s="3">
        <v>3.62</v>
      </c>
      <c r="R511" t="str">
        <f t="shared" si="38"/>
        <v>High</v>
      </c>
      <c r="S511" t="str">
        <f t="shared" si="39"/>
        <v>Valid</v>
      </c>
    </row>
    <row r="512" spans="1:19" x14ac:dyDescent="0.25">
      <c r="A512" s="1">
        <v>45548</v>
      </c>
      <c r="B512" s="1" t="str">
        <f t="shared" si="35"/>
        <v>2024-09</v>
      </c>
      <c r="C512" t="s">
        <v>14</v>
      </c>
      <c r="D512" t="s">
        <v>24</v>
      </c>
      <c r="E512" t="s">
        <v>22</v>
      </c>
      <c r="F512" t="s">
        <v>23</v>
      </c>
      <c r="G512" s="4">
        <v>85618</v>
      </c>
      <c r="H512" s="4">
        <v>2679</v>
      </c>
      <c r="I512" s="5">
        <v>3.1300000000000001E-2</v>
      </c>
      <c r="J512" s="2">
        <v>0.92</v>
      </c>
      <c r="K512" s="6">
        <v>2464.6799999999998</v>
      </c>
      <c r="L512" s="4">
        <v>74</v>
      </c>
      <c r="M512" s="2">
        <v>33.31</v>
      </c>
      <c r="N512" s="6">
        <v>6024.46</v>
      </c>
      <c r="O512" s="6">
        <f t="shared" si="36"/>
        <v>3559.78</v>
      </c>
      <c r="P512" s="6">
        <f t="shared" si="37"/>
        <v>1.4443173150266972</v>
      </c>
      <c r="Q512" s="3">
        <v>2.44</v>
      </c>
      <c r="R512" t="str">
        <f t="shared" si="38"/>
        <v>Medium</v>
      </c>
      <c r="S512" t="str">
        <f t="shared" si="39"/>
        <v>Valid</v>
      </c>
    </row>
    <row r="513" spans="1:19" x14ac:dyDescent="0.25">
      <c r="A513" s="1">
        <v>45638</v>
      </c>
      <c r="B513" s="1" t="str">
        <f t="shared" si="35"/>
        <v>2024-12</v>
      </c>
      <c r="C513" t="s">
        <v>28</v>
      </c>
      <c r="D513" t="s">
        <v>15</v>
      </c>
      <c r="E513" t="s">
        <v>22</v>
      </c>
      <c r="F513" t="s">
        <v>32</v>
      </c>
      <c r="G513" s="4">
        <v>30457</v>
      </c>
      <c r="H513" s="4">
        <v>606</v>
      </c>
      <c r="I513" s="5">
        <v>1.9900000000000001E-2</v>
      </c>
      <c r="J513" s="2">
        <v>0.57999999999999996</v>
      </c>
      <c r="K513" s="6">
        <v>351.48</v>
      </c>
      <c r="L513" s="4">
        <v>34</v>
      </c>
      <c r="M513" s="2">
        <v>10.34</v>
      </c>
      <c r="N513" s="6">
        <v>4981.9399999999996</v>
      </c>
      <c r="O513" s="6">
        <f t="shared" si="36"/>
        <v>4630.4599999999991</v>
      </c>
      <c r="P513" s="6">
        <f t="shared" si="37"/>
        <v>13.174177762603843</v>
      </c>
      <c r="Q513" s="3">
        <v>14.17</v>
      </c>
      <c r="R513" t="str">
        <f t="shared" si="38"/>
        <v>High</v>
      </c>
      <c r="S513" t="str">
        <f t="shared" si="39"/>
        <v>Valid</v>
      </c>
    </row>
    <row r="514" spans="1:19" x14ac:dyDescent="0.25">
      <c r="A514" s="1">
        <v>45316</v>
      </c>
      <c r="B514" s="1" t="str">
        <f t="shared" si="35"/>
        <v>2024-01</v>
      </c>
      <c r="C514" t="s">
        <v>18</v>
      </c>
      <c r="D514" t="s">
        <v>15</v>
      </c>
      <c r="E514" t="s">
        <v>30</v>
      </c>
      <c r="F514" t="s">
        <v>31</v>
      </c>
      <c r="G514" s="4">
        <v>46420</v>
      </c>
      <c r="H514" s="4">
        <v>1880</v>
      </c>
      <c r="I514" s="5">
        <v>4.0500000000000001E-2</v>
      </c>
      <c r="J514" s="2">
        <v>1.9</v>
      </c>
      <c r="K514" s="6">
        <v>3572</v>
      </c>
      <c r="L514" s="4">
        <v>113</v>
      </c>
      <c r="M514" s="2">
        <v>31.61</v>
      </c>
      <c r="N514" s="6">
        <v>5769.59</v>
      </c>
      <c r="O514" s="6">
        <f t="shared" si="36"/>
        <v>2197.59</v>
      </c>
      <c r="P514" s="6">
        <f t="shared" si="37"/>
        <v>0.61522676371780516</v>
      </c>
      <c r="Q514" s="3">
        <v>1.62</v>
      </c>
      <c r="R514" t="str">
        <f t="shared" si="38"/>
        <v>Medium</v>
      </c>
      <c r="S514" t="str">
        <f t="shared" si="39"/>
        <v>Valid</v>
      </c>
    </row>
    <row r="515" spans="1:19" x14ac:dyDescent="0.25">
      <c r="A515" s="1">
        <v>45525</v>
      </c>
      <c r="B515" s="1" t="str">
        <f t="shared" ref="B515:B578" si="40">TEXT(A515, "yyyy-mm")</f>
        <v>2024-08</v>
      </c>
      <c r="C515" t="s">
        <v>14</v>
      </c>
      <c r="D515" t="s">
        <v>15</v>
      </c>
      <c r="E515" t="s">
        <v>30</v>
      </c>
      <c r="F515" t="s">
        <v>20</v>
      </c>
      <c r="G515" s="4">
        <v>180746</v>
      </c>
      <c r="H515" s="4">
        <v>5024</v>
      </c>
      <c r="I515" s="5">
        <v>2.7799999999999998E-2</v>
      </c>
      <c r="J515" s="2">
        <v>1.28</v>
      </c>
      <c r="K515" s="6">
        <v>6430.72</v>
      </c>
      <c r="L515" s="4">
        <v>64</v>
      </c>
      <c r="M515" s="2">
        <v>100.48</v>
      </c>
      <c r="N515" s="6">
        <v>17709.21</v>
      </c>
      <c r="O515" s="6">
        <f t="shared" ref="O515:O578" si="41">N515-K515</f>
        <v>11278.489999999998</v>
      </c>
      <c r="P515" s="6">
        <f t="shared" ref="P515:P578" si="42">IFERROR(O515/K515, "")</f>
        <v>1.7538456036027066</v>
      </c>
      <c r="Q515" s="3">
        <v>2.75</v>
      </c>
      <c r="R515" t="str">
        <f t="shared" ref="R515:R578" si="43">IF(Q515 &gt;= 3, "High", IF(Q515&gt;=1, "Medium", "Low"))</f>
        <v>Medium</v>
      </c>
      <c r="S515" t="str">
        <f t="shared" ref="S515:S578" si="44">IF(OR(G515=0, H515&gt;G515, L515&gt;H515), "Invalid", "Valid")</f>
        <v>Valid</v>
      </c>
    </row>
    <row r="516" spans="1:19" x14ac:dyDescent="0.25">
      <c r="A516" s="1">
        <v>45469</v>
      </c>
      <c r="B516" s="1" t="str">
        <f t="shared" si="40"/>
        <v>2024-06</v>
      </c>
      <c r="C516" t="s">
        <v>18</v>
      </c>
      <c r="D516" t="s">
        <v>15</v>
      </c>
      <c r="E516" t="s">
        <v>25</v>
      </c>
      <c r="F516" t="s">
        <v>26</v>
      </c>
      <c r="G516" s="4">
        <v>131244</v>
      </c>
      <c r="H516" s="4">
        <v>5604</v>
      </c>
      <c r="I516" s="5">
        <v>4.2700000000000002E-2</v>
      </c>
      <c r="J516" s="2">
        <v>0.38</v>
      </c>
      <c r="K516" s="6">
        <v>2129.52</v>
      </c>
      <c r="L516" s="4">
        <v>229</v>
      </c>
      <c r="M516" s="2">
        <v>9.3000000000000007</v>
      </c>
      <c r="N516" s="6">
        <v>65541.490000000005</v>
      </c>
      <c r="O516" s="6">
        <f t="shared" si="41"/>
        <v>63411.970000000008</v>
      </c>
      <c r="P516" s="6">
        <f t="shared" si="42"/>
        <v>29.777588376723397</v>
      </c>
      <c r="Q516" s="3">
        <v>30.78</v>
      </c>
      <c r="R516" t="str">
        <f t="shared" si="43"/>
        <v>High</v>
      </c>
      <c r="S516" t="str">
        <f t="shared" si="44"/>
        <v>Valid</v>
      </c>
    </row>
    <row r="517" spans="1:19" x14ac:dyDescent="0.25">
      <c r="A517" s="1">
        <v>45352</v>
      </c>
      <c r="B517" s="1" t="str">
        <f t="shared" si="40"/>
        <v>2024-03</v>
      </c>
      <c r="C517" t="s">
        <v>14</v>
      </c>
      <c r="D517" t="s">
        <v>15</v>
      </c>
      <c r="E517" t="s">
        <v>30</v>
      </c>
      <c r="F517" t="s">
        <v>26</v>
      </c>
      <c r="G517" s="4">
        <v>86678</v>
      </c>
      <c r="H517" s="4">
        <v>2158</v>
      </c>
      <c r="I517" s="5">
        <v>2.4899999999999999E-2</v>
      </c>
      <c r="J517" s="2">
        <v>1.45</v>
      </c>
      <c r="K517" s="6">
        <v>3129.1</v>
      </c>
      <c r="L517" s="4">
        <v>163</v>
      </c>
      <c r="M517" s="2">
        <v>19.2</v>
      </c>
      <c r="N517" s="6">
        <v>27708.880000000001</v>
      </c>
      <c r="O517" s="6">
        <f t="shared" si="41"/>
        <v>24579.780000000002</v>
      </c>
      <c r="P517" s="6">
        <f t="shared" si="42"/>
        <v>7.8552235467067222</v>
      </c>
      <c r="Q517" s="3">
        <v>8.86</v>
      </c>
      <c r="R517" t="str">
        <f t="shared" si="43"/>
        <v>High</v>
      </c>
      <c r="S517" t="str">
        <f t="shared" si="44"/>
        <v>Valid</v>
      </c>
    </row>
    <row r="518" spans="1:19" x14ac:dyDescent="0.25">
      <c r="A518" s="1">
        <v>45599</v>
      </c>
      <c r="B518" s="1" t="str">
        <f t="shared" si="40"/>
        <v>2024-11</v>
      </c>
      <c r="C518" t="s">
        <v>14</v>
      </c>
      <c r="D518" t="s">
        <v>29</v>
      </c>
      <c r="E518" t="s">
        <v>19</v>
      </c>
      <c r="F518" t="s">
        <v>27</v>
      </c>
      <c r="G518" s="4">
        <v>70226</v>
      </c>
      <c r="H518" s="4">
        <v>4037</v>
      </c>
      <c r="I518" s="5">
        <v>5.7500000000000002E-2</v>
      </c>
      <c r="J518" s="2">
        <v>2.16</v>
      </c>
      <c r="K518" s="6">
        <v>8719.92</v>
      </c>
      <c r="L518" s="4">
        <v>240</v>
      </c>
      <c r="M518" s="2">
        <v>36.33</v>
      </c>
      <c r="N518" s="6">
        <v>68153.47</v>
      </c>
      <c r="O518" s="6">
        <f t="shared" si="41"/>
        <v>59433.55</v>
      </c>
      <c r="P518" s="6">
        <f t="shared" si="42"/>
        <v>6.8158366131799379</v>
      </c>
      <c r="Q518" s="3">
        <v>7.82</v>
      </c>
      <c r="R518" t="str">
        <f t="shared" si="43"/>
        <v>High</v>
      </c>
      <c r="S518" t="str">
        <f t="shared" si="44"/>
        <v>Valid</v>
      </c>
    </row>
    <row r="519" spans="1:19" x14ac:dyDescent="0.25">
      <c r="A519" s="1">
        <v>45627</v>
      </c>
      <c r="B519" s="1" t="str">
        <f t="shared" si="40"/>
        <v>2024-12</v>
      </c>
      <c r="C519" t="s">
        <v>14</v>
      </c>
      <c r="D519" t="s">
        <v>15</v>
      </c>
      <c r="E519" t="s">
        <v>16</v>
      </c>
      <c r="F519" t="s">
        <v>26</v>
      </c>
      <c r="G519" s="4">
        <v>124119</v>
      </c>
      <c r="H519" s="4">
        <v>6416</v>
      </c>
      <c r="I519" s="5">
        <v>5.1700000000000003E-2</v>
      </c>
      <c r="J519" s="2">
        <v>2.5499999999999998</v>
      </c>
      <c r="K519" s="6">
        <v>16360.8</v>
      </c>
      <c r="L519" s="4">
        <v>358</v>
      </c>
      <c r="M519" s="2">
        <v>45.7</v>
      </c>
      <c r="N519" s="6">
        <v>48445.72</v>
      </c>
      <c r="O519" s="6">
        <f t="shared" si="41"/>
        <v>32084.920000000002</v>
      </c>
      <c r="P519" s="6">
        <f t="shared" si="42"/>
        <v>1.9610850325167475</v>
      </c>
      <c r="Q519" s="3">
        <v>2.96</v>
      </c>
      <c r="R519" t="str">
        <f t="shared" si="43"/>
        <v>Medium</v>
      </c>
      <c r="S519" t="str">
        <f t="shared" si="44"/>
        <v>Valid</v>
      </c>
    </row>
    <row r="520" spans="1:19" x14ac:dyDescent="0.25">
      <c r="A520" s="1">
        <v>45428</v>
      </c>
      <c r="B520" s="1" t="str">
        <f t="shared" si="40"/>
        <v>2024-05</v>
      </c>
      <c r="C520" t="s">
        <v>14</v>
      </c>
      <c r="D520" t="s">
        <v>24</v>
      </c>
      <c r="E520" t="s">
        <v>22</v>
      </c>
      <c r="F520" t="s">
        <v>17</v>
      </c>
      <c r="G520" s="4">
        <v>126292</v>
      </c>
      <c r="H520" s="4">
        <v>5165</v>
      </c>
      <c r="I520" s="5">
        <v>4.0899999999999999E-2</v>
      </c>
      <c r="J520" s="2">
        <v>1.49</v>
      </c>
      <c r="K520" s="6">
        <v>7695.85</v>
      </c>
      <c r="L520" s="4">
        <v>110</v>
      </c>
      <c r="M520" s="2">
        <v>69.959999999999994</v>
      </c>
      <c r="N520" s="6">
        <v>14074.18</v>
      </c>
      <c r="O520" s="6">
        <f t="shared" si="41"/>
        <v>6378.33</v>
      </c>
      <c r="P520" s="6">
        <f t="shared" si="42"/>
        <v>0.82880123703034747</v>
      </c>
      <c r="Q520" s="3">
        <v>1.83</v>
      </c>
      <c r="R520" t="str">
        <f t="shared" si="43"/>
        <v>Medium</v>
      </c>
      <c r="S520" t="str">
        <f t="shared" si="44"/>
        <v>Valid</v>
      </c>
    </row>
    <row r="521" spans="1:19" x14ac:dyDescent="0.25">
      <c r="A521" s="1">
        <v>45345</v>
      </c>
      <c r="B521" s="1" t="str">
        <f t="shared" si="40"/>
        <v>2024-02</v>
      </c>
      <c r="C521" t="s">
        <v>14</v>
      </c>
      <c r="D521" t="s">
        <v>21</v>
      </c>
      <c r="E521" t="s">
        <v>30</v>
      </c>
      <c r="F521" t="s">
        <v>27</v>
      </c>
      <c r="G521" s="4">
        <v>189935</v>
      </c>
      <c r="H521" s="4">
        <v>10161</v>
      </c>
      <c r="I521" s="5">
        <v>5.3499999999999999E-2</v>
      </c>
      <c r="J521" s="2">
        <v>1.49</v>
      </c>
      <c r="K521" s="6">
        <v>15139.89</v>
      </c>
      <c r="L521" s="4">
        <v>615</v>
      </c>
      <c r="M521" s="2">
        <v>24.62</v>
      </c>
      <c r="N521" s="6">
        <v>31748.86</v>
      </c>
      <c r="O521" s="6">
        <f t="shared" si="41"/>
        <v>16608.97</v>
      </c>
      <c r="P521" s="6">
        <f t="shared" si="42"/>
        <v>1.0970337300997564</v>
      </c>
      <c r="Q521" s="3">
        <v>2.1</v>
      </c>
      <c r="R521" t="str">
        <f t="shared" si="43"/>
        <v>Medium</v>
      </c>
      <c r="S521" t="str">
        <f t="shared" si="44"/>
        <v>Valid</v>
      </c>
    </row>
    <row r="522" spans="1:19" x14ac:dyDescent="0.25">
      <c r="A522" s="1">
        <v>45398</v>
      </c>
      <c r="B522" s="1" t="str">
        <f t="shared" si="40"/>
        <v>2024-04</v>
      </c>
      <c r="C522" t="s">
        <v>14</v>
      </c>
      <c r="D522" t="s">
        <v>29</v>
      </c>
      <c r="E522" t="s">
        <v>19</v>
      </c>
      <c r="F522" t="s">
        <v>17</v>
      </c>
      <c r="G522" s="4">
        <v>103066</v>
      </c>
      <c r="H522" s="4">
        <v>2380</v>
      </c>
      <c r="I522" s="5">
        <v>2.3099999999999999E-2</v>
      </c>
      <c r="J522" s="2">
        <v>2.4900000000000002</v>
      </c>
      <c r="K522" s="6">
        <v>5926.2</v>
      </c>
      <c r="L522" s="4">
        <v>121</v>
      </c>
      <c r="M522" s="2">
        <v>48.98</v>
      </c>
      <c r="N522" s="6">
        <v>20395.259999999998</v>
      </c>
      <c r="O522" s="6">
        <f t="shared" si="41"/>
        <v>14469.059999999998</v>
      </c>
      <c r="P522" s="6">
        <f t="shared" si="42"/>
        <v>2.4415409537308896</v>
      </c>
      <c r="Q522" s="3">
        <v>3.44</v>
      </c>
      <c r="R522" t="str">
        <f t="shared" si="43"/>
        <v>High</v>
      </c>
      <c r="S522" t="str">
        <f t="shared" si="44"/>
        <v>Valid</v>
      </c>
    </row>
    <row r="523" spans="1:19" x14ac:dyDescent="0.25">
      <c r="A523" s="1">
        <v>45381</v>
      </c>
      <c r="B523" s="1" t="str">
        <f t="shared" si="40"/>
        <v>2024-03</v>
      </c>
      <c r="C523" t="s">
        <v>28</v>
      </c>
      <c r="D523" t="s">
        <v>24</v>
      </c>
      <c r="E523" t="s">
        <v>30</v>
      </c>
      <c r="F523" t="s">
        <v>23</v>
      </c>
      <c r="G523" s="4">
        <v>11083</v>
      </c>
      <c r="H523" s="4">
        <v>193</v>
      </c>
      <c r="I523" s="5">
        <v>1.7500000000000002E-2</v>
      </c>
      <c r="J523" s="2">
        <v>0.83</v>
      </c>
      <c r="K523" s="6">
        <v>160.19</v>
      </c>
      <c r="L523" s="4">
        <v>11</v>
      </c>
      <c r="M523" s="2">
        <v>14.56</v>
      </c>
      <c r="N523" s="6">
        <v>912.82</v>
      </c>
      <c r="O523" s="6">
        <f t="shared" si="41"/>
        <v>752.63000000000011</v>
      </c>
      <c r="P523" s="6">
        <f t="shared" si="42"/>
        <v>4.6983581996379309</v>
      </c>
      <c r="Q523" s="3">
        <v>5.7</v>
      </c>
      <c r="R523" t="str">
        <f t="shared" si="43"/>
        <v>High</v>
      </c>
      <c r="S523" t="str">
        <f t="shared" si="44"/>
        <v>Valid</v>
      </c>
    </row>
    <row r="524" spans="1:19" x14ac:dyDescent="0.25">
      <c r="A524" s="1">
        <v>45407</v>
      </c>
      <c r="B524" s="1" t="str">
        <f t="shared" si="40"/>
        <v>2024-04</v>
      </c>
      <c r="C524" t="s">
        <v>28</v>
      </c>
      <c r="D524" t="s">
        <v>29</v>
      </c>
      <c r="E524" t="s">
        <v>19</v>
      </c>
      <c r="F524" t="s">
        <v>17</v>
      </c>
      <c r="G524" s="4">
        <v>6074</v>
      </c>
      <c r="H524" s="4">
        <v>128</v>
      </c>
      <c r="I524" s="5">
        <v>2.12E-2</v>
      </c>
      <c r="J524" s="2">
        <v>1.51</v>
      </c>
      <c r="K524" s="6">
        <v>193.28</v>
      </c>
      <c r="L524" s="4">
        <v>5</v>
      </c>
      <c r="M524" s="2">
        <v>38.659999999999997</v>
      </c>
      <c r="N524" s="6">
        <v>1253.71</v>
      </c>
      <c r="O524" s="6">
        <f t="shared" si="41"/>
        <v>1060.43</v>
      </c>
      <c r="P524" s="6">
        <f t="shared" si="42"/>
        <v>5.4864962748344377</v>
      </c>
      <c r="Q524" s="3">
        <v>6.49</v>
      </c>
      <c r="R524" t="str">
        <f t="shared" si="43"/>
        <v>High</v>
      </c>
      <c r="S524" t="str">
        <f t="shared" si="44"/>
        <v>Valid</v>
      </c>
    </row>
    <row r="525" spans="1:19" x14ac:dyDescent="0.25">
      <c r="A525" s="1">
        <v>45576</v>
      </c>
      <c r="B525" s="1" t="str">
        <f t="shared" si="40"/>
        <v>2024-10</v>
      </c>
      <c r="C525" t="s">
        <v>18</v>
      </c>
      <c r="D525" t="s">
        <v>21</v>
      </c>
      <c r="E525" t="s">
        <v>22</v>
      </c>
      <c r="F525" t="s">
        <v>27</v>
      </c>
      <c r="G525" s="4">
        <v>54752</v>
      </c>
      <c r="H525" s="4">
        <v>2814</v>
      </c>
      <c r="I525" s="5">
        <v>5.1400000000000001E-2</v>
      </c>
      <c r="J525" s="2">
        <v>0.86</v>
      </c>
      <c r="K525" s="6">
        <v>2420.04</v>
      </c>
      <c r="L525" s="4">
        <v>137</v>
      </c>
      <c r="M525" s="2">
        <v>17.66</v>
      </c>
      <c r="N525" s="6">
        <v>13580.22</v>
      </c>
      <c r="O525" s="6">
        <f t="shared" si="41"/>
        <v>11160.18</v>
      </c>
      <c r="P525" s="6">
        <f t="shared" si="42"/>
        <v>4.611568403828036</v>
      </c>
      <c r="Q525" s="3">
        <v>5.61</v>
      </c>
      <c r="R525" t="str">
        <f t="shared" si="43"/>
        <v>High</v>
      </c>
      <c r="S525" t="str">
        <f t="shared" si="44"/>
        <v>Valid</v>
      </c>
    </row>
    <row r="526" spans="1:19" x14ac:dyDescent="0.25">
      <c r="A526" s="1">
        <v>45332</v>
      </c>
      <c r="B526" s="1" t="str">
        <f t="shared" si="40"/>
        <v>2024-02</v>
      </c>
      <c r="C526" t="s">
        <v>28</v>
      </c>
      <c r="D526" t="s">
        <v>21</v>
      </c>
      <c r="E526" t="s">
        <v>22</v>
      </c>
      <c r="F526" t="s">
        <v>20</v>
      </c>
      <c r="G526" s="4">
        <v>141313</v>
      </c>
      <c r="H526" s="4">
        <v>4762</v>
      </c>
      <c r="I526" s="5">
        <v>3.3700000000000001E-2</v>
      </c>
      <c r="J526" s="2">
        <v>1.05</v>
      </c>
      <c r="K526" s="6">
        <v>5000.1000000000004</v>
      </c>
      <c r="L526" s="4">
        <v>207</v>
      </c>
      <c r="M526" s="2">
        <v>24.16</v>
      </c>
      <c r="N526" s="6">
        <v>26737.15</v>
      </c>
      <c r="O526" s="6">
        <f t="shared" si="41"/>
        <v>21737.050000000003</v>
      </c>
      <c r="P526" s="6">
        <f t="shared" si="42"/>
        <v>4.3473230535389291</v>
      </c>
      <c r="Q526" s="3">
        <v>5.35</v>
      </c>
      <c r="R526" t="str">
        <f t="shared" si="43"/>
        <v>High</v>
      </c>
      <c r="S526" t="str">
        <f t="shared" si="44"/>
        <v>Valid</v>
      </c>
    </row>
    <row r="527" spans="1:19" x14ac:dyDescent="0.25">
      <c r="A527" s="1">
        <v>45624</v>
      </c>
      <c r="B527" s="1" t="str">
        <f t="shared" si="40"/>
        <v>2024-11</v>
      </c>
      <c r="C527" t="s">
        <v>18</v>
      </c>
      <c r="D527" t="s">
        <v>29</v>
      </c>
      <c r="E527" t="s">
        <v>19</v>
      </c>
      <c r="F527" t="s">
        <v>23</v>
      </c>
      <c r="G527" s="4">
        <v>34669</v>
      </c>
      <c r="H527" s="4">
        <v>1965</v>
      </c>
      <c r="I527" s="5">
        <v>5.67E-2</v>
      </c>
      <c r="J527" s="2">
        <v>1.61</v>
      </c>
      <c r="K527" s="6">
        <v>3163.65</v>
      </c>
      <c r="L527" s="4">
        <v>74</v>
      </c>
      <c r="M527" s="2">
        <v>42.75</v>
      </c>
      <c r="N527" s="6">
        <v>12153.4</v>
      </c>
      <c r="O527" s="6">
        <f t="shared" si="41"/>
        <v>8989.75</v>
      </c>
      <c r="P527" s="6">
        <f t="shared" si="42"/>
        <v>2.8415753955083525</v>
      </c>
      <c r="Q527" s="3">
        <v>3.84</v>
      </c>
      <c r="R527" t="str">
        <f t="shared" si="43"/>
        <v>High</v>
      </c>
      <c r="S527" t="str">
        <f t="shared" si="44"/>
        <v>Valid</v>
      </c>
    </row>
    <row r="528" spans="1:19" x14ac:dyDescent="0.25">
      <c r="A528" s="1">
        <v>45368</v>
      </c>
      <c r="B528" s="1" t="str">
        <f t="shared" si="40"/>
        <v>2024-03</v>
      </c>
      <c r="C528" t="s">
        <v>28</v>
      </c>
      <c r="D528" t="s">
        <v>29</v>
      </c>
      <c r="E528" t="s">
        <v>30</v>
      </c>
      <c r="F528" t="s">
        <v>32</v>
      </c>
      <c r="G528" s="4">
        <v>104714</v>
      </c>
      <c r="H528" s="4">
        <v>1015</v>
      </c>
      <c r="I528" s="5">
        <v>9.7000000000000003E-3</v>
      </c>
      <c r="J528" s="2">
        <v>0.93</v>
      </c>
      <c r="K528" s="6">
        <v>943.95</v>
      </c>
      <c r="L528" s="4">
        <v>78</v>
      </c>
      <c r="M528" s="2">
        <v>12.1</v>
      </c>
      <c r="N528" s="6">
        <v>20952.03</v>
      </c>
      <c r="O528" s="6">
        <f t="shared" si="41"/>
        <v>20008.079999999998</v>
      </c>
      <c r="P528" s="6">
        <f t="shared" si="42"/>
        <v>21.196122675989191</v>
      </c>
      <c r="Q528" s="3">
        <v>22.2</v>
      </c>
      <c r="R528" t="str">
        <f t="shared" si="43"/>
        <v>High</v>
      </c>
      <c r="S528" t="str">
        <f t="shared" si="44"/>
        <v>Valid</v>
      </c>
    </row>
    <row r="529" spans="1:19" x14ac:dyDescent="0.25">
      <c r="A529" s="1">
        <v>45442</v>
      </c>
      <c r="B529" s="1" t="str">
        <f t="shared" si="40"/>
        <v>2024-05</v>
      </c>
      <c r="C529" t="s">
        <v>18</v>
      </c>
      <c r="D529" t="s">
        <v>21</v>
      </c>
      <c r="E529" t="s">
        <v>22</v>
      </c>
      <c r="F529" t="s">
        <v>17</v>
      </c>
      <c r="G529" s="4">
        <v>109733</v>
      </c>
      <c r="H529" s="4">
        <v>6616</v>
      </c>
      <c r="I529" s="5">
        <v>6.0299999999999999E-2</v>
      </c>
      <c r="J529" s="2">
        <v>0.91</v>
      </c>
      <c r="K529" s="6">
        <v>6020.56</v>
      </c>
      <c r="L529" s="4">
        <v>516</v>
      </c>
      <c r="M529" s="2">
        <v>11.67</v>
      </c>
      <c r="N529" s="6">
        <v>53965.61</v>
      </c>
      <c r="O529" s="6">
        <f t="shared" si="41"/>
        <v>47945.05</v>
      </c>
      <c r="P529" s="6">
        <f t="shared" si="42"/>
        <v>7.9635532242847837</v>
      </c>
      <c r="Q529" s="3">
        <v>8.9600000000000009</v>
      </c>
      <c r="R529" t="str">
        <f t="shared" si="43"/>
        <v>High</v>
      </c>
      <c r="S529" t="str">
        <f t="shared" si="44"/>
        <v>Valid</v>
      </c>
    </row>
    <row r="530" spans="1:19" x14ac:dyDescent="0.25">
      <c r="A530" s="1">
        <v>45551</v>
      </c>
      <c r="B530" s="1" t="str">
        <f t="shared" si="40"/>
        <v>2024-09</v>
      </c>
      <c r="C530" t="s">
        <v>18</v>
      </c>
      <c r="D530" t="s">
        <v>29</v>
      </c>
      <c r="E530" t="s">
        <v>25</v>
      </c>
      <c r="F530" t="s">
        <v>23</v>
      </c>
      <c r="G530" s="4">
        <v>67502</v>
      </c>
      <c r="H530" s="4">
        <v>5859</v>
      </c>
      <c r="I530" s="5">
        <v>8.6800000000000002E-2</v>
      </c>
      <c r="J530" s="2">
        <v>0.48</v>
      </c>
      <c r="K530" s="6">
        <v>2812.32</v>
      </c>
      <c r="L530" s="4">
        <v>395</v>
      </c>
      <c r="M530" s="2">
        <v>7.12</v>
      </c>
      <c r="N530" s="6">
        <v>42271.31</v>
      </c>
      <c r="O530" s="6">
        <f t="shared" si="41"/>
        <v>39458.99</v>
      </c>
      <c r="P530" s="6">
        <f t="shared" si="42"/>
        <v>14.030761079820218</v>
      </c>
      <c r="Q530" s="3">
        <v>15.03</v>
      </c>
      <c r="R530" t="str">
        <f t="shared" si="43"/>
        <v>High</v>
      </c>
      <c r="S530" t="str">
        <f t="shared" si="44"/>
        <v>Valid</v>
      </c>
    </row>
    <row r="531" spans="1:19" x14ac:dyDescent="0.25">
      <c r="A531" s="1">
        <v>45406</v>
      </c>
      <c r="B531" s="1" t="str">
        <f t="shared" si="40"/>
        <v>2024-04</v>
      </c>
      <c r="C531" t="s">
        <v>14</v>
      </c>
      <c r="D531" t="s">
        <v>29</v>
      </c>
      <c r="E531" t="s">
        <v>30</v>
      </c>
      <c r="F531" t="s">
        <v>27</v>
      </c>
      <c r="G531" s="4">
        <v>129121</v>
      </c>
      <c r="H531" s="4">
        <v>4893</v>
      </c>
      <c r="I531" s="5">
        <v>3.7900000000000003E-2</v>
      </c>
      <c r="J531" s="2">
        <v>2.56</v>
      </c>
      <c r="K531" s="6">
        <v>12526.08</v>
      </c>
      <c r="L531" s="4">
        <v>137</v>
      </c>
      <c r="M531" s="2">
        <v>91.43</v>
      </c>
      <c r="N531" s="6">
        <v>7241.16</v>
      </c>
      <c r="O531" s="6">
        <f t="shared" si="41"/>
        <v>-5284.92</v>
      </c>
      <c r="P531" s="6">
        <f t="shared" si="42"/>
        <v>-0.42191332004904969</v>
      </c>
      <c r="Q531" s="3">
        <v>0.57999999999999996</v>
      </c>
      <c r="R531" t="str">
        <f t="shared" si="43"/>
        <v>Low</v>
      </c>
      <c r="S531" t="str">
        <f t="shared" si="44"/>
        <v>Valid</v>
      </c>
    </row>
    <row r="532" spans="1:19" x14ac:dyDescent="0.25">
      <c r="A532" s="1">
        <v>45376</v>
      </c>
      <c r="B532" s="1" t="str">
        <f t="shared" si="40"/>
        <v>2024-03</v>
      </c>
      <c r="C532" t="s">
        <v>14</v>
      </c>
      <c r="D532" t="s">
        <v>21</v>
      </c>
      <c r="E532" t="s">
        <v>16</v>
      </c>
      <c r="F532" t="s">
        <v>23</v>
      </c>
      <c r="G532" s="4">
        <v>173102</v>
      </c>
      <c r="H532" s="4">
        <v>4414</v>
      </c>
      <c r="I532" s="5">
        <v>2.5499999999999998E-2</v>
      </c>
      <c r="J532" s="2">
        <v>3.4</v>
      </c>
      <c r="K532" s="6">
        <v>15007.6</v>
      </c>
      <c r="L532" s="4">
        <v>341</v>
      </c>
      <c r="M532" s="2">
        <v>44.01</v>
      </c>
      <c r="N532" s="6">
        <v>52487.34</v>
      </c>
      <c r="O532" s="6">
        <f t="shared" si="41"/>
        <v>37479.74</v>
      </c>
      <c r="P532" s="6">
        <f t="shared" si="42"/>
        <v>2.4973839921106635</v>
      </c>
      <c r="Q532" s="3">
        <v>3.5</v>
      </c>
      <c r="R532" t="str">
        <f t="shared" si="43"/>
        <v>High</v>
      </c>
      <c r="S532" t="str">
        <f t="shared" si="44"/>
        <v>Valid</v>
      </c>
    </row>
    <row r="533" spans="1:19" x14ac:dyDescent="0.25">
      <c r="A533" s="1">
        <v>45378</v>
      </c>
      <c r="B533" s="1" t="str">
        <f t="shared" si="40"/>
        <v>2024-03</v>
      </c>
      <c r="C533" t="s">
        <v>14</v>
      </c>
      <c r="D533" t="s">
        <v>24</v>
      </c>
      <c r="E533" t="s">
        <v>19</v>
      </c>
      <c r="F533" t="s">
        <v>27</v>
      </c>
      <c r="G533" s="4">
        <v>140607</v>
      </c>
      <c r="H533" s="4">
        <v>6397</v>
      </c>
      <c r="I533" s="5">
        <v>4.5499999999999999E-2</v>
      </c>
      <c r="J533" s="2">
        <v>1.43</v>
      </c>
      <c r="K533" s="6">
        <v>9147.7099999999991</v>
      </c>
      <c r="L533" s="4">
        <v>393</v>
      </c>
      <c r="M533" s="2">
        <v>23.28</v>
      </c>
      <c r="N533" s="6">
        <v>82224.929999999993</v>
      </c>
      <c r="O533" s="6">
        <f t="shared" si="41"/>
        <v>73077.22</v>
      </c>
      <c r="P533" s="6">
        <f t="shared" si="42"/>
        <v>7.9885807486245204</v>
      </c>
      <c r="Q533" s="3">
        <v>8.99</v>
      </c>
      <c r="R533" t="str">
        <f t="shared" si="43"/>
        <v>High</v>
      </c>
      <c r="S533" t="str">
        <f t="shared" si="44"/>
        <v>Valid</v>
      </c>
    </row>
    <row r="534" spans="1:19" x14ac:dyDescent="0.25">
      <c r="A534" s="1">
        <v>45302</v>
      </c>
      <c r="B534" s="1" t="str">
        <f t="shared" si="40"/>
        <v>2024-01</v>
      </c>
      <c r="C534" t="s">
        <v>14</v>
      </c>
      <c r="D534" t="s">
        <v>15</v>
      </c>
      <c r="E534" t="s">
        <v>22</v>
      </c>
      <c r="F534" t="s">
        <v>26</v>
      </c>
      <c r="G534" s="4">
        <v>48351</v>
      </c>
      <c r="H534" s="4">
        <v>2156</v>
      </c>
      <c r="I534" s="5">
        <v>4.4600000000000001E-2</v>
      </c>
      <c r="J534" s="2">
        <v>3.16</v>
      </c>
      <c r="K534" s="6">
        <v>6812.96</v>
      </c>
      <c r="L534" s="4">
        <v>83</v>
      </c>
      <c r="M534" s="2">
        <v>82.08</v>
      </c>
      <c r="N534" s="6">
        <v>7504.87</v>
      </c>
      <c r="O534" s="6">
        <f t="shared" si="41"/>
        <v>691.90999999999985</v>
      </c>
      <c r="P534" s="6">
        <f t="shared" si="42"/>
        <v>0.101557913153754</v>
      </c>
      <c r="Q534" s="3">
        <v>1.1000000000000001</v>
      </c>
      <c r="R534" t="str">
        <f t="shared" si="43"/>
        <v>Medium</v>
      </c>
      <c r="S534" t="str">
        <f t="shared" si="44"/>
        <v>Valid</v>
      </c>
    </row>
    <row r="535" spans="1:19" x14ac:dyDescent="0.25">
      <c r="A535" s="1">
        <v>45388</v>
      </c>
      <c r="B535" s="1" t="str">
        <f t="shared" si="40"/>
        <v>2024-04</v>
      </c>
      <c r="C535" t="s">
        <v>18</v>
      </c>
      <c r="D535" t="s">
        <v>21</v>
      </c>
      <c r="E535" t="s">
        <v>16</v>
      </c>
      <c r="F535" t="s">
        <v>26</v>
      </c>
      <c r="G535" s="4">
        <v>118135</v>
      </c>
      <c r="H535" s="4">
        <v>8151</v>
      </c>
      <c r="I535" s="5">
        <v>6.9000000000000006E-2</v>
      </c>
      <c r="J535" s="2">
        <v>0.69</v>
      </c>
      <c r="K535" s="6">
        <v>5624.19</v>
      </c>
      <c r="L535" s="4">
        <v>428</v>
      </c>
      <c r="M535" s="2">
        <v>13.14</v>
      </c>
      <c r="N535" s="6">
        <v>64189.34</v>
      </c>
      <c r="O535" s="6">
        <f t="shared" si="41"/>
        <v>58565.149999999994</v>
      </c>
      <c r="P535" s="6">
        <f t="shared" si="42"/>
        <v>10.413081705987883</v>
      </c>
      <c r="Q535" s="3">
        <v>11.41</v>
      </c>
      <c r="R535" t="str">
        <f t="shared" si="43"/>
        <v>High</v>
      </c>
      <c r="S535" t="str">
        <f t="shared" si="44"/>
        <v>Valid</v>
      </c>
    </row>
    <row r="536" spans="1:19" x14ac:dyDescent="0.25">
      <c r="A536" s="1">
        <v>45468</v>
      </c>
      <c r="B536" s="1" t="str">
        <f t="shared" si="40"/>
        <v>2024-06</v>
      </c>
      <c r="C536" t="s">
        <v>18</v>
      </c>
      <c r="D536" t="s">
        <v>15</v>
      </c>
      <c r="E536" t="s">
        <v>16</v>
      </c>
      <c r="F536" t="s">
        <v>20</v>
      </c>
      <c r="G536" s="4">
        <v>20185</v>
      </c>
      <c r="H536" s="4">
        <v>878</v>
      </c>
      <c r="I536" s="5">
        <v>4.3499999999999997E-2</v>
      </c>
      <c r="J536" s="2">
        <v>0.61</v>
      </c>
      <c r="K536" s="6">
        <v>535.58000000000004</v>
      </c>
      <c r="L536" s="4">
        <v>27</v>
      </c>
      <c r="M536" s="2">
        <v>19.84</v>
      </c>
      <c r="N536" s="6">
        <v>7476.28</v>
      </c>
      <c r="O536" s="6">
        <f t="shared" si="41"/>
        <v>6940.7</v>
      </c>
      <c r="P536" s="6">
        <f t="shared" si="42"/>
        <v>12.959221778259082</v>
      </c>
      <c r="Q536" s="3">
        <v>13.96</v>
      </c>
      <c r="R536" t="str">
        <f t="shared" si="43"/>
        <v>High</v>
      </c>
      <c r="S536" t="str">
        <f t="shared" si="44"/>
        <v>Valid</v>
      </c>
    </row>
    <row r="537" spans="1:19" x14ac:dyDescent="0.25">
      <c r="A537" s="1">
        <v>45625</v>
      </c>
      <c r="B537" s="1" t="str">
        <f t="shared" si="40"/>
        <v>2024-11</v>
      </c>
      <c r="C537" t="s">
        <v>18</v>
      </c>
      <c r="D537" t="s">
        <v>21</v>
      </c>
      <c r="E537" t="s">
        <v>30</v>
      </c>
      <c r="F537" t="s">
        <v>32</v>
      </c>
      <c r="G537" s="4">
        <v>50802</v>
      </c>
      <c r="H537" s="4">
        <v>3617</v>
      </c>
      <c r="I537" s="5">
        <v>7.1199999999999999E-2</v>
      </c>
      <c r="J537" s="2">
        <v>0.42</v>
      </c>
      <c r="K537" s="6">
        <v>1519.14</v>
      </c>
      <c r="L537" s="4">
        <v>279</v>
      </c>
      <c r="M537" s="2">
        <v>5.44</v>
      </c>
      <c r="N537" s="6">
        <v>22644.29</v>
      </c>
      <c r="O537" s="6">
        <f t="shared" si="41"/>
        <v>21125.15</v>
      </c>
      <c r="P537" s="6">
        <f t="shared" si="42"/>
        <v>13.905992864383796</v>
      </c>
      <c r="Q537" s="3">
        <v>14.91</v>
      </c>
      <c r="R537" t="str">
        <f t="shared" si="43"/>
        <v>High</v>
      </c>
      <c r="S537" t="str">
        <f t="shared" si="44"/>
        <v>Valid</v>
      </c>
    </row>
    <row r="538" spans="1:19" x14ac:dyDescent="0.25">
      <c r="A538" s="1">
        <v>45518</v>
      </c>
      <c r="B538" s="1" t="str">
        <f t="shared" si="40"/>
        <v>2024-08</v>
      </c>
      <c r="C538" t="s">
        <v>28</v>
      </c>
      <c r="D538" t="s">
        <v>24</v>
      </c>
      <c r="E538" t="s">
        <v>30</v>
      </c>
      <c r="F538" t="s">
        <v>27</v>
      </c>
      <c r="G538" s="4">
        <v>34048</v>
      </c>
      <c r="H538" s="4">
        <v>694</v>
      </c>
      <c r="I538" s="5">
        <v>2.0400000000000001E-2</v>
      </c>
      <c r="J538" s="2">
        <v>1.45</v>
      </c>
      <c r="K538" s="6">
        <v>1006.3</v>
      </c>
      <c r="L538" s="4">
        <v>49</v>
      </c>
      <c r="M538" s="2">
        <v>20.54</v>
      </c>
      <c r="N538" s="6">
        <v>12555.06</v>
      </c>
      <c r="O538" s="6">
        <f t="shared" si="41"/>
        <v>11548.76</v>
      </c>
      <c r="P538" s="6">
        <f t="shared" si="42"/>
        <v>11.476458312630429</v>
      </c>
      <c r="Q538" s="3">
        <v>12.48</v>
      </c>
      <c r="R538" t="str">
        <f t="shared" si="43"/>
        <v>High</v>
      </c>
      <c r="S538" t="str">
        <f t="shared" si="44"/>
        <v>Valid</v>
      </c>
    </row>
    <row r="539" spans="1:19" x14ac:dyDescent="0.25">
      <c r="A539" s="1">
        <v>45345</v>
      </c>
      <c r="B539" s="1" t="str">
        <f t="shared" si="40"/>
        <v>2024-02</v>
      </c>
      <c r="C539" t="s">
        <v>18</v>
      </c>
      <c r="D539" t="s">
        <v>21</v>
      </c>
      <c r="E539" t="s">
        <v>25</v>
      </c>
      <c r="F539" t="s">
        <v>17</v>
      </c>
      <c r="G539" s="4">
        <v>56672</v>
      </c>
      <c r="H539" s="4">
        <v>2397</v>
      </c>
      <c r="I539" s="5">
        <v>4.2299999999999997E-2</v>
      </c>
      <c r="J539" s="2">
        <v>0.48</v>
      </c>
      <c r="K539" s="6">
        <v>1150.56</v>
      </c>
      <c r="L539" s="4">
        <v>138</v>
      </c>
      <c r="M539" s="2">
        <v>8.34</v>
      </c>
      <c r="N539" s="6">
        <v>33165.74</v>
      </c>
      <c r="O539" s="6">
        <f t="shared" si="41"/>
        <v>32015.179999999997</v>
      </c>
      <c r="P539" s="6">
        <f t="shared" si="42"/>
        <v>27.825737032401612</v>
      </c>
      <c r="Q539" s="3">
        <v>28.83</v>
      </c>
      <c r="R539" t="str">
        <f t="shared" si="43"/>
        <v>High</v>
      </c>
      <c r="S539" t="str">
        <f t="shared" si="44"/>
        <v>Valid</v>
      </c>
    </row>
    <row r="540" spans="1:19" x14ac:dyDescent="0.25">
      <c r="A540" s="1">
        <v>45427</v>
      </c>
      <c r="B540" s="1" t="str">
        <f t="shared" si="40"/>
        <v>2024-05</v>
      </c>
      <c r="C540" t="s">
        <v>14</v>
      </c>
      <c r="D540" t="s">
        <v>21</v>
      </c>
      <c r="E540" t="s">
        <v>16</v>
      </c>
      <c r="F540" t="s">
        <v>17</v>
      </c>
      <c r="G540" s="4">
        <v>128962</v>
      </c>
      <c r="H540" s="4">
        <v>7337</v>
      </c>
      <c r="I540" s="5">
        <v>5.6899999999999999E-2</v>
      </c>
      <c r="J540" s="2">
        <v>1.35</v>
      </c>
      <c r="K540" s="6">
        <v>9904.9500000000007</v>
      </c>
      <c r="L540" s="4">
        <v>226</v>
      </c>
      <c r="M540" s="2">
        <v>43.83</v>
      </c>
      <c r="N540" s="6">
        <v>26098.81</v>
      </c>
      <c r="O540" s="6">
        <f t="shared" si="41"/>
        <v>16193.86</v>
      </c>
      <c r="P540" s="6">
        <f t="shared" si="42"/>
        <v>1.6349259713577553</v>
      </c>
      <c r="Q540" s="3">
        <v>2.63</v>
      </c>
      <c r="R540" t="str">
        <f t="shared" si="43"/>
        <v>Medium</v>
      </c>
      <c r="S540" t="str">
        <f t="shared" si="44"/>
        <v>Valid</v>
      </c>
    </row>
    <row r="541" spans="1:19" x14ac:dyDescent="0.25">
      <c r="A541" s="1">
        <v>45557</v>
      </c>
      <c r="B541" s="1" t="str">
        <f t="shared" si="40"/>
        <v>2024-09</v>
      </c>
      <c r="C541" t="s">
        <v>28</v>
      </c>
      <c r="D541" t="s">
        <v>21</v>
      </c>
      <c r="E541" t="s">
        <v>22</v>
      </c>
      <c r="F541" t="s">
        <v>20</v>
      </c>
      <c r="G541" s="4">
        <v>15532</v>
      </c>
      <c r="H541" s="4">
        <v>593</v>
      </c>
      <c r="I541" s="5">
        <v>3.8199999999999998E-2</v>
      </c>
      <c r="J541" s="2">
        <v>1.43</v>
      </c>
      <c r="K541" s="6">
        <v>847.99</v>
      </c>
      <c r="L541" s="4">
        <v>45</v>
      </c>
      <c r="M541" s="2">
        <v>18.84</v>
      </c>
      <c r="N541" s="6">
        <v>2243.79</v>
      </c>
      <c r="O541" s="6">
        <f t="shared" si="41"/>
        <v>1395.8</v>
      </c>
      <c r="P541" s="6">
        <f t="shared" si="42"/>
        <v>1.6460099765327421</v>
      </c>
      <c r="Q541" s="3">
        <v>2.65</v>
      </c>
      <c r="R541" t="str">
        <f t="shared" si="43"/>
        <v>Medium</v>
      </c>
      <c r="S541" t="str">
        <f t="shared" si="44"/>
        <v>Valid</v>
      </c>
    </row>
    <row r="542" spans="1:19" x14ac:dyDescent="0.25">
      <c r="A542" s="1">
        <v>45519</v>
      </c>
      <c r="B542" s="1" t="str">
        <f t="shared" si="40"/>
        <v>2024-08</v>
      </c>
      <c r="C542" t="s">
        <v>14</v>
      </c>
      <c r="D542" t="s">
        <v>21</v>
      </c>
      <c r="E542" t="s">
        <v>16</v>
      </c>
      <c r="F542" t="s">
        <v>32</v>
      </c>
      <c r="G542" s="4">
        <v>154666</v>
      </c>
      <c r="H542" s="4">
        <v>5939</v>
      </c>
      <c r="I542" s="5">
        <v>3.8399999999999997E-2</v>
      </c>
      <c r="J542" s="2">
        <v>1.28</v>
      </c>
      <c r="K542" s="6">
        <v>7601.92</v>
      </c>
      <c r="L542" s="4">
        <v>366</v>
      </c>
      <c r="M542" s="2">
        <v>20.77</v>
      </c>
      <c r="N542" s="6">
        <v>24965.13</v>
      </c>
      <c r="O542" s="6">
        <f t="shared" si="41"/>
        <v>17363.21</v>
      </c>
      <c r="P542" s="6">
        <f t="shared" si="42"/>
        <v>2.2840558700959757</v>
      </c>
      <c r="Q542" s="3">
        <v>3.28</v>
      </c>
      <c r="R542" t="str">
        <f t="shared" si="43"/>
        <v>High</v>
      </c>
      <c r="S542" t="str">
        <f t="shared" si="44"/>
        <v>Valid</v>
      </c>
    </row>
    <row r="543" spans="1:19" x14ac:dyDescent="0.25">
      <c r="A543" s="1">
        <v>45526</v>
      </c>
      <c r="B543" s="1" t="str">
        <f t="shared" si="40"/>
        <v>2024-08</v>
      </c>
      <c r="C543" t="s">
        <v>18</v>
      </c>
      <c r="D543" t="s">
        <v>21</v>
      </c>
      <c r="E543" t="s">
        <v>30</v>
      </c>
      <c r="F543" t="s">
        <v>23</v>
      </c>
      <c r="G543" s="4">
        <v>9722</v>
      </c>
      <c r="H543" s="4">
        <v>455</v>
      </c>
      <c r="I543" s="5">
        <v>4.6899999999999997E-2</v>
      </c>
      <c r="J543" s="2">
        <v>1.21</v>
      </c>
      <c r="K543" s="6">
        <v>550.54999999999995</v>
      </c>
      <c r="L543" s="4">
        <v>29</v>
      </c>
      <c r="M543" s="2">
        <v>18.98</v>
      </c>
      <c r="N543" s="6">
        <v>3533.89</v>
      </c>
      <c r="O543" s="6">
        <f t="shared" si="41"/>
        <v>2983.34</v>
      </c>
      <c r="P543" s="6">
        <f t="shared" si="42"/>
        <v>5.4188357097448012</v>
      </c>
      <c r="Q543" s="3">
        <v>6.42</v>
      </c>
      <c r="R543" t="str">
        <f t="shared" si="43"/>
        <v>High</v>
      </c>
      <c r="S543" t="str">
        <f t="shared" si="44"/>
        <v>Valid</v>
      </c>
    </row>
    <row r="544" spans="1:19" x14ac:dyDescent="0.25">
      <c r="A544" s="1">
        <v>45514</v>
      </c>
      <c r="B544" s="1" t="str">
        <f t="shared" si="40"/>
        <v>2024-08</v>
      </c>
      <c r="C544" t="s">
        <v>14</v>
      </c>
      <c r="D544" t="s">
        <v>29</v>
      </c>
      <c r="E544" t="s">
        <v>16</v>
      </c>
      <c r="F544" t="s">
        <v>32</v>
      </c>
      <c r="G544" s="4">
        <v>24464</v>
      </c>
      <c r="H544" s="4">
        <v>511</v>
      </c>
      <c r="I544" s="5">
        <v>2.0899999999999998E-2</v>
      </c>
      <c r="J544" s="2">
        <v>1.1200000000000001</v>
      </c>
      <c r="K544" s="6">
        <v>572.32000000000005</v>
      </c>
      <c r="L544" s="4">
        <v>20</v>
      </c>
      <c r="M544" s="2">
        <v>28.62</v>
      </c>
      <c r="N544" s="6">
        <v>5921.83</v>
      </c>
      <c r="O544" s="6">
        <f t="shared" si="41"/>
        <v>5349.51</v>
      </c>
      <c r="P544" s="6">
        <f t="shared" si="42"/>
        <v>9.347061084707855</v>
      </c>
      <c r="Q544" s="3">
        <v>10.35</v>
      </c>
      <c r="R544" t="str">
        <f t="shared" si="43"/>
        <v>High</v>
      </c>
      <c r="S544" t="str">
        <f t="shared" si="44"/>
        <v>Valid</v>
      </c>
    </row>
    <row r="545" spans="1:19" x14ac:dyDescent="0.25">
      <c r="A545" s="1">
        <v>45331</v>
      </c>
      <c r="B545" s="1" t="str">
        <f t="shared" si="40"/>
        <v>2024-02</v>
      </c>
      <c r="C545" t="s">
        <v>28</v>
      </c>
      <c r="D545" t="s">
        <v>21</v>
      </c>
      <c r="E545" t="s">
        <v>30</v>
      </c>
      <c r="F545" t="s">
        <v>31</v>
      </c>
      <c r="G545" s="4">
        <v>170413</v>
      </c>
      <c r="H545" s="4">
        <v>3936</v>
      </c>
      <c r="I545" s="5">
        <v>2.3099999999999999E-2</v>
      </c>
      <c r="J545" s="2">
        <v>0.71</v>
      </c>
      <c r="K545" s="6">
        <v>2794.56</v>
      </c>
      <c r="L545" s="4">
        <v>63</v>
      </c>
      <c r="M545" s="2">
        <v>44.36</v>
      </c>
      <c r="N545" s="6">
        <v>12671.79</v>
      </c>
      <c r="O545" s="6">
        <f t="shared" si="41"/>
        <v>9877.2300000000014</v>
      </c>
      <c r="P545" s="6">
        <f t="shared" si="42"/>
        <v>3.534449072483683</v>
      </c>
      <c r="Q545" s="3">
        <v>4.53</v>
      </c>
      <c r="R545" t="str">
        <f t="shared" si="43"/>
        <v>High</v>
      </c>
      <c r="S545" t="str">
        <f t="shared" si="44"/>
        <v>Valid</v>
      </c>
    </row>
    <row r="546" spans="1:19" x14ac:dyDescent="0.25">
      <c r="A546" s="1">
        <v>45363</v>
      </c>
      <c r="B546" s="1" t="str">
        <f t="shared" si="40"/>
        <v>2024-03</v>
      </c>
      <c r="C546" t="s">
        <v>18</v>
      </c>
      <c r="D546" t="s">
        <v>21</v>
      </c>
      <c r="E546" t="s">
        <v>16</v>
      </c>
      <c r="F546" t="s">
        <v>26</v>
      </c>
      <c r="G546" s="4">
        <v>109205</v>
      </c>
      <c r="H546" s="4">
        <v>4499</v>
      </c>
      <c r="I546" s="5">
        <v>4.1200000000000001E-2</v>
      </c>
      <c r="J546" s="2">
        <v>0.84</v>
      </c>
      <c r="K546" s="6">
        <v>3779.16</v>
      </c>
      <c r="L546" s="4">
        <v>49</v>
      </c>
      <c r="M546" s="2">
        <v>77.13</v>
      </c>
      <c r="N546" s="6">
        <v>13660.38</v>
      </c>
      <c r="O546" s="6">
        <f t="shared" si="41"/>
        <v>9881.2199999999993</v>
      </c>
      <c r="P546" s="6">
        <f t="shared" si="42"/>
        <v>2.6146604007239702</v>
      </c>
      <c r="Q546" s="3">
        <v>3.61</v>
      </c>
      <c r="R546" t="str">
        <f t="shared" si="43"/>
        <v>High</v>
      </c>
      <c r="S546" t="str">
        <f t="shared" si="44"/>
        <v>Valid</v>
      </c>
    </row>
    <row r="547" spans="1:19" x14ac:dyDescent="0.25">
      <c r="A547" s="1">
        <v>45524</v>
      </c>
      <c r="B547" s="1" t="str">
        <f t="shared" si="40"/>
        <v>2024-08</v>
      </c>
      <c r="C547" t="s">
        <v>14</v>
      </c>
      <c r="D547" t="s">
        <v>24</v>
      </c>
      <c r="E547" t="s">
        <v>30</v>
      </c>
      <c r="F547" t="s">
        <v>26</v>
      </c>
      <c r="G547" s="4">
        <v>161926</v>
      </c>
      <c r="H547" s="4">
        <v>5424</v>
      </c>
      <c r="I547" s="5">
        <v>3.3500000000000002E-2</v>
      </c>
      <c r="J547" s="2">
        <v>3.29</v>
      </c>
      <c r="K547" s="6">
        <v>17844.96</v>
      </c>
      <c r="L547" s="4">
        <v>87</v>
      </c>
      <c r="M547" s="2">
        <v>205.11</v>
      </c>
      <c r="N547" s="6">
        <v>11807.21</v>
      </c>
      <c r="O547" s="6">
        <f t="shared" si="41"/>
        <v>-6037.75</v>
      </c>
      <c r="P547" s="6">
        <f t="shared" si="42"/>
        <v>-0.33834483237844187</v>
      </c>
      <c r="Q547" s="3">
        <v>0.66</v>
      </c>
      <c r="R547" t="str">
        <f t="shared" si="43"/>
        <v>Low</v>
      </c>
      <c r="S547" t="str">
        <f t="shared" si="44"/>
        <v>Valid</v>
      </c>
    </row>
    <row r="548" spans="1:19" x14ac:dyDescent="0.25">
      <c r="A548" s="1">
        <v>45579</v>
      </c>
      <c r="B548" s="1" t="str">
        <f t="shared" si="40"/>
        <v>2024-10</v>
      </c>
      <c r="C548" t="s">
        <v>28</v>
      </c>
      <c r="D548" t="s">
        <v>15</v>
      </c>
      <c r="E548" t="s">
        <v>30</v>
      </c>
      <c r="F548" t="s">
        <v>20</v>
      </c>
      <c r="G548" s="4">
        <v>125725</v>
      </c>
      <c r="H548" s="4">
        <v>1646</v>
      </c>
      <c r="I548" s="5">
        <v>1.3100000000000001E-2</v>
      </c>
      <c r="J548" s="2">
        <v>0.81</v>
      </c>
      <c r="K548" s="6">
        <v>1333.26</v>
      </c>
      <c r="L548" s="4">
        <v>19</v>
      </c>
      <c r="M548" s="2">
        <v>70.17</v>
      </c>
      <c r="N548" s="6">
        <v>2319.58</v>
      </c>
      <c r="O548" s="6">
        <f t="shared" si="41"/>
        <v>986.31999999999994</v>
      </c>
      <c r="P548" s="6">
        <f t="shared" si="42"/>
        <v>0.73978068793783658</v>
      </c>
      <c r="Q548" s="3">
        <v>1.74</v>
      </c>
      <c r="R548" t="str">
        <f t="shared" si="43"/>
        <v>Medium</v>
      </c>
      <c r="S548" t="str">
        <f t="shared" si="44"/>
        <v>Valid</v>
      </c>
    </row>
    <row r="549" spans="1:19" x14ac:dyDescent="0.25">
      <c r="A549" s="1">
        <v>45429</v>
      </c>
      <c r="B549" s="1" t="str">
        <f t="shared" si="40"/>
        <v>2024-05</v>
      </c>
      <c r="C549" t="s">
        <v>18</v>
      </c>
      <c r="D549" t="s">
        <v>21</v>
      </c>
      <c r="E549" t="s">
        <v>22</v>
      </c>
      <c r="F549" t="s">
        <v>17</v>
      </c>
      <c r="G549" s="4">
        <v>116301</v>
      </c>
      <c r="H549" s="4">
        <v>4198</v>
      </c>
      <c r="I549" s="5">
        <v>3.61E-2</v>
      </c>
      <c r="J549" s="2">
        <v>1.45</v>
      </c>
      <c r="K549" s="6">
        <v>6087.1</v>
      </c>
      <c r="L549" s="4">
        <v>212</v>
      </c>
      <c r="M549" s="2">
        <v>28.71</v>
      </c>
      <c r="N549" s="6">
        <v>37780.9</v>
      </c>
      <c r="O549" s="6">
        <f t="shared" si="41"/>
        <v>31693.800000000003</v>
      </c>
      <c r="P549" s="6">
        <f t="shared" si="42"/>
        <v>5.206715841698017</v>
      </c>
      <c r="Q549" s="3">
        <v>6.21</v>
      </c>
      <c r="R549" t="str">
        <f t="shared" si="43"/>
        <v>High</v>
      </c>
      <c r="S549" t="str">
        <f t="shared" si="44"/>
        <v>Valid</v>
      </c>
    </row>
    <row r="550" spans="1:19" x14ac:dyDescent="0.25">
      <c r="A550" s="1">
        <v>45638</v>
      </c>
      <c r="B550" s="1" t="str">
        <f t="shared" si="40"/>
        <v>2024-12</v>
      </c>
      <c r="C550" t="s">
        <v>14</v>
      </c>
      <c r="D550" t="s">
        <v>24</v>
      </c>
      <c r="E550" t="s">
        <v>25</v>
      </c>
      <c r="F550" t="s">
        <v>27</v>
      </c>
      <c r="G550" s="4">
        <v>88251</v>
      </c>
      <c r="H550" s="4">
        <v>2665</v>
      </c>
      <c r="I550" s="5">
        <v>3.0200000000000001E-2</v>
      </c>
      <c r="J550" s="2">
        <v>1.29</v>
      </c>
      <c r="K550" s="6">
        <v>3437.85</v>
      </c>
      <c r="L550" s="4">
        <v>151</v>
      </c>
      <c r="M550" s="2">
        <v>22.77</v>
      </c>
      <c r="N550" s="6">
        <v>17509.21</v>
      </c>
      <c r="O550" s="6">
        <f t="shared" si="41"/>
        <v>14071.359999999999</v>
      </c>
      <c r="P550" s="6">
        <f t="shared" si="42"/>
        <v>4.0930697965298073</v>
      </c>
      <c r="Q550" s="3">
        <v>5.09</v>
      </c>
      <c r="R550" t="str">
        <f t="shared" si="43"/>
        <v>High</v>
      </c>
      <c r="S550" t="str">
        <f t="shared" si="44"/>
        <v>Valid</v>
      </c>
    </row>
    <row r="551" spans="1:19" x14ac:dyDescent="0.25">
      <c r="A551" s="1">
        <v>45577</v>
      </c>
      <c r="B551" s="1" t="str">
        <f t="shared" si="40"/>
        <v>2024-10</v>
      </c>
      <c r="C551" t="s">
        <v>14</v>
      </c>
      <c r="D551" t="s">
        <v>21</v>
      </c>
      <c r="E551" t="s">
        <v>19</v>
      </c>
      <c r="F551" t="s">
        <v>26</v>
      </c>
      <c r="G551" s="4">
        <v>185378</v>
      </c>
      <c r="H551" s="4">
        <v>3244</v>
      </c>
      <c r="I551" s="5">
        <v>1.7500000000000002E-2</v>
      </c>
      <c r="J551" s="2">
        <v>1.82</v>
      </c>
      <c r="K551" s="6">
        <v>5904.08</v>
      </c>
      <c r="L551" s="4">
        <v>246</v>
      </c>
      <c r="M551" s="2">
        <v>24</v>
      </c>
      <c r="N551" s="6">
        <v>67552.800000000003</v>
      </c>
      <c r="O551" s="6">
        <f t="shared" si="41"/>
        <v>61648.72</v>
      </c>
      <c r="P551" s="6">
        <f t="shared" si="42"/>
        <v>10.441714881912169</v>
      </c>
      <c r="Q551" s="3">
        <v>11.44</v>
      </c>
      <c r="R551" t="str">
        <f t="shared" si="43"/>
        <v>High</v>
      </c>
      <c r="S551" t="str">
        <f t="shared" si="44"/>
        <v>Valid</v>
      </c>
    </row>
    <row r="552" spans="1:19" x14ac:dyDescent="0.25">
      <c r="A552" s="1">
        <v>45517</v>
      </c>
      <c r="B552" s="1" t="str">
        <f t="shared" si="40"/>
        <v>2024-08</v>
      </c>
      <c r="C552" t="s">
        <v>28</v>
      </c>
      <c r="D552" t="s">
        <v>24</v>
      </c>
      <c r="E552" t="s">
        <v>25</v>
      </c>
      <c r="F552" t="s">
        <v>23</v>
      </c>
      <c r="G552" s="4">
        <v>177905</v>
      </c>
      <c r="H552" s="4">
        <v>5532</v>
      </c>
      <c r="I552" s="5">
        <v>3.1099999999999999E-2</v>
      </c>
      <c r="J552" s="2">
        <v>0.98</v>
      </c>
      <c r="K552" s="6">
        <v>5421.36</v>
      </c>
      <c r="L552" s="4">
        <v>370</v>
      </c>
      <c r="M552" s="2">
        <v>14.65</v>
      </c>
      <c r="N552" s="6">
        <v>14673.05</v>
      </c>
      <c r="O552" s="6">
        <f t="shared" si="41"/>
        <v>9251.6899999999987</v>
      </c>
      <c r="P552" s="6">
        <f t="shared" si="42"/>
        <v>1.7065256688358639</v>
      </c>
      <c r="Q552" s="3">
        <v>2.71</v>
      </c>
      <c r="R552" t="str">
        <f t="shared" si="43"/>
        <v>Medium</v>
      </c>
      <c r="S552" t="str">
        <f t="shared" si="44"/>
        <v>Valid</v>
      </c>
    </row>
    <row r="553" spans="1:19" x14ac:dyDescent="0.25">
      <c r="A553" s="1">
        <v>45520</v>
      </c>
      <c r="B553" s="1" t="str">
        <f t="shared" si="40"/>
        <v>2024-08</v>
      </c>
      <c r="C553" t="s">
        <v>28</v>
      </c>
      <c r="D553" t="s">
        <v>21</v>
      </c>
      <c r="E553" t="s">
        <v>30</v>
      </c>
      <c r="F553" t="s">
        <v>27</v>
      </c>
      <c r="G553" s="4">
        <v>122845</v>
      </c>
      <c r="H553" s="4">
        <v>2714</v>
      </c>
      <c r="I553" s="5">
        <v>2.2100000000000002E-2</v>
      </c>
      <c r="J553" s="2">
        <v>0.56999999999999995</v>
      </c>
      <c r="K553" s="6">
        <v>1546.98</v>
      </c>
      <c r="L553" s="4">
        <v>143</v>
      </c>
      <c r="M553" s="2">
        <v>10.82</v>
      </c>
      <c r="N553" s="6">
        <v>36419.79</v>
      </c>
      <c r="O553" s="6">
        <f t="shared" si="41"/>
        <v>34872.81</v>
      </c>
      <c r="P553" s="6">
        <f t="shared" si="42"/>
        <v>22.542508629717254</v>
      </c>
      <c r="Q553" s="3">
        <v>23.54</v>
      </c>
      <c r="R553" t="str">
        <f t="shared" si="43"/>
        <v>High</v>
      </c>
      <c r="S553" t="str">
        <f t="shared" si="44"/>
        <v>Valid</v>
      </c>
    </row>
    <row r="554" spans="1:19" x14ac:dyDescent="0.25">
      <c r="A554" s="1">
        <v>45460</v>
      </c>
      <c r="B554" s="1" t="str">
        <f t="shared" si="40"/>
        <v>2024-06</v>
      </c>
      <c r="C554" t="s">
        <v>28</v>
      </c>
      <c r="D554" t="s">
        <v>21</v>
      </c>
      <c r="E554" t="s">
        <v>22</v>
      </c>
      <c r="F554" t="s">
        <v>26</v>
      </c>
      <c r="G554" s="4">
        <v>36017</v>
      </c>
      <c r="H554" s="4">
        <v>1210</v>
      </c>
      <c r="I554" s="5">
        <v>3.3599999999999998E-2</v>
      </c>
      <c r="J554" s="2">
        <v>1.01</v>
      </c>
      <c r="K554" s="6">
        <v>1222.0999999999999</v>
      </c>
      <c r="L554" s="4">
        <v>28</v>
      </c>
      <c r="M554" s="2">
        <v>43.65</v>
      </c>
      <c r="N554" s="6">
        <v>1258.31</v>
      </c>
      <c r="O554" s="6">
        <f t="shared" si="41"/>
        <v>36.210000000000036</v>
      </c>
      <c r="P554" s="6">
        <f t="shared" si="42"/>
        <v>2.9629326569020571E-2</v>
      </c>
      <c r="Q554" s="3">
        <v>1.03</v>
      </c>
      <c r="R554" t="str">
        <f t="shared" si="43"/>
        <v>Medium</v>
      </c>
      <c r="S554" t="str">
        <f t="shared" si="44"/>
        <v>Valid</v>
      </c>
    </row>
    <row r="555" spans="1:19" x14ac:dyDescent="0.25">
      <c r="A555" s="1">
        <v>45425</v>
      </c>
      <c r="B555" s="1" t="str">
        <f t="shared" si="40"/>
        <v>2024-05</v>
      </c>
      <c r="C555" t="s">
        <v>14</v>
      </c>
      <c r="D555" t="s">
        <v>15</v>
      </c>
      <c r="E555" t="s">
        <v>19</v>
      </c>
      <c r="F555" t="s">
        <v>23</v>
      </c>
      <c r="G555" s="4">
        <v>71267</v>
      </c>
      <c r="H555" s="4">
        <v>3962</v>
      </c>
      <c r="I555" s="5">
        <v>5.5599999999999997E-2</v>
      </c>
      <c r="J555" s="2">
        <v>0.93</v>
      </c>
      <c r="K555" s="6">
        <v>3684.66</v>
      </c>
      <c r="L555" s="4">
        <v>287</v>
      </c>
      <c r="M555" s="2">
        <v>12.84</v>
      </c>
      <c r="N555" s="6">
        <v>50107.59</v>
      </c>
      <c r="O555" s="6">
        <f t="shared" si="41"/>
        <v>46422.929999999993</v>
      </c>
      <c r="P555" s="6">
        <f t="shared" si="42"/>
        <v>12.598972496783963</v>
      </c>
      <c r="Q555" s="3">
        <v>13.6</v>
      </c>
      <c r="R555" t="str">
        <f t="shared" si="43"/>
        <v>High</v>
      </c>
      <c r="S555" t="str">
        <f t="shared" si="44"/>
        <v>Valid</v>
      </c>
    </row>
    <row r="556" spans="1:19" x14ac:dyDescent="0.25">
      <c r="A556" s="1">
        <v>45295</v>
      </c>
      <c r="B556" s="1" t="str">
        <f t="shared" si="40"/>
        <v>2024-01</v>
      </c>
      <c r="C556" t="s">
        <v>28</v>
      </c>
      <c r="D556" t="s">
        <v>29</v>
      </c>
      <c r="E556" t="s">
        <v>19</v>
      </c>
      <c r="F556" t="s">
        <v>31</v>
      </c>
      <c r="G556" s="4">
        <v>97152</v>
      </c>
      <c r="H556" s="4">
        <v>1156</v>
      </c>
      <c r="I556" s="5">
        <v>1.1900000000000001E-2</v>
      </c>
      <c r="J556" s="2">
        <v>0.54</v>
      </c>
      <c r="K556" s="6">
        <v>624.24</v>
      </c>
      <c r="L556" s="4">
        <v>43</v>
      </c>
      <c r="M556" s="2">
        <v>14.52</v>
      </c>
      <c r="N556" s="6">
        <v>4965.75</v>
      </c>
      <c r="O556" s="6">
        <f t="shared" si="41"/>
        <v>4341.51</v>
      </c>
      <c r="P556" s="6">
        <f t="shared" si="42"/>
        <v>6.9548731257208765</v>
      </c>
      <c r="Q556" s="3">
        <v>7.95</v>
      </c>
      <c r="R556" t="str">
        <f t="shared" si="43"/>
        <v>High</v>
      </c>
      <c r="S556" t="str">
        <f t="shared" si="44"/>
        <v>Valid</v>
      </c>
    </row>
    <row r="557" spans="1:19" x14ac:dyDescent="0.25">
      <c r="A557" s="1">
        <v>45538</v>
      </c>
      <c r="B557" s="1" t="str">
        <f t="shared" si="40"/>
        <v>2024-09</v>
      </c>
      <c r="C557" t="s">
        <v>28</v>
      </c>
      <c r="D557" t="s">
        <v>24</v>
      </c>
      <c r="E557" t="s">
        <v>30</v>
      </c>
      <c r="F557" t="s">
        <v>23</v>
      </c>
      <c r="G557" s="4">
        <v>33834</v>
      </c>
      <c r="H557" s="4">
        <v>906</v>
      </c>
      <c r="I557" s="5">
        <v>2.6800000000000001E-2</v>
      </c>
      <c r="J557" s="2">
        <v>0.88</v>
      </c>
      <c r="K557" s="6">
        <v>797.28</v>
      </c>
      <c r="L557" s="4">
        <v>23</v>
      </c>
      <c r="M557" s="2">
        <v>34.659999999999997</v>
      </c>
      <c r="N557" s="6">
        <v>2361.23</v>
      </c>
      <c r="O557" s="6">
        <f t="shared" si="41"/>
        <v>1563.95</v>
      </c>
      <c r="P557" s="6">
        <f t="shared" si="42"/>
        <v>1.9616069636765001</v>
      </c>
      <c r="Q557" s="3">
        <v>2.96</v>
      </c>
      <c r="R557" t="str">
        <f t="shared" si="43"/>
        <v>Medium</v>
      </c>
      <c r="S557" t="str">
        <f t="shared" si="44"/>
        <v>Valid</v>
      </c>
    </row>
    <row r="558" spans="1:19" x14ac:dyDescent="0.25">
      <c r="A558" s="1">
        <v>45640</v>
      </c>
      <c r="B558" s="1" t="str">
        <f t="shared" si="40"/>
        <v>2024-12</v>
      </c>
      <c r="C558" t="s">
        <v>18</v>
      </c>
      <c r="D558" t="s">
        <v>24</v>
      </c>
      <c r="E558" t="s">
        <v>30</v>
      </c>
      <c r="F558" t="s">
        <v>27</v>
      </c>
      <c r="G558" s="4">
        <v>183775</v>
      </c>
      <c r="H558" s="4">
        <v>7093</v>
      </c>
      <c r="I558" s="5">
        <v>3.8600000000000002E-2</v>
      </c>
      <c r="J558" s="2">
        <v>1</v>
      </c>
      <c r="K558" s="6">
        <v>7093</v>
      </c>
      <c r="L558" s="4">
        <v>373</v>
      </c>
      <c r="M558" s="2">
        <v>19.02</v>
      </c>
      <c r="N558" s="6">
        <v>88634</v>
      </c>
      <c r="O558" s="6">
        <f t="shared" si="41"/>
        <v>81541</v>
      </c>
      <c r="P558" s="6">
        <f t="shared" si="42"/>
        <v>11.495981954039193</v>
      </c>
      <c r="Q558" s="3">
        <v>12.5</v>
      </c>
      <c r="R558" t="str">
        <f t="shared" si="43"/>
        <v>High</v>
      </c>
      <c r="S558" t="str">
        <f t="shared" si="44"/>
        <v>Valid</v>
      </c>
    </row>
    <row r="559" spans="1:19" x14ac:dyDescent="0.25">
      <c r="A559" s="1">
        <v>45535</v>
      </c>
      <c r="B559" s="1" t="str">
        <f t="shared" si="40"/>
        <v>2024-08</v>
      </c>
      <c r="C559" t="s">
        <v>28</v>
      </c>
      <c r="D559" t="s">
        <v>15</v>
      </c>
      <c r="E559" t="s">
        <v>16</v>
      </c>
      <c r="F559" t="s">
        <v>17</v>
      </c>
      <c r="G559" s="4">
        <v>199405</v>
      </c>
      <c r="H559" s="4">
        <v>5204</v>
      </c>
      <c r="I559" s="5">
        <v>2.6100000000000002E-2</v>
      </c>
      <c r="J559" s="2">
        <v>0.96</v>
      </c>
      <c r="K559" s="6">
        <v>4995.84</v>
      </c>
      <c r="L559" s="4">
        <v>333</v>
      </c>
      <c r="M559" s="2">
        <v>15</v>
      </c>
      <c r="N559" s="6">
        <v>25169.83</v>
      </c>
      <c r="O559" s="6">
        <f t="shared" si="41"/>
        <v>20173.990000000002</v>
      </c>
      <c r="P559" s="6">
        <f t="shared" si="42"/>
        <v>4.0381577472457089</v>
      </c>
      <c r="Q559" s="3">
        <v>5.04</v>
      </c>
      <c r="R559" t="str">
        <f t="shared" si="43"/>
        <v>High</v>
      </c>
      <c r="S559" t="str">
        <f t="shared" si="44"/>
        <v>Valid</v>
      </c>
    </row>
    <row r="560" spans="1:19" x14ac:dyDescent="0.25">
      <c r="A560" s="1">
        <v>45370</v>
      </c>
      <c r="B560" s="1" t="str">
        <f t="shared" si="40"/>
        <v>2024-03</v>
      </c>
      <c r="C560" t="s">
        <v>18</v>
      </c>
      <c r="D560" t="s">
        <v>15</v>
      </c>
      <c r="E560" t="s">
        <v>22</v>
      </c>
      <c r="F560" t="s">
        <v>26</v>
      </c>
      <c r="G560" s="4">
        <v>169512</v>
      </c>
      <c r="H560" s="4">
        <v>9475</v>
      </c>
      <c r="I560" s="5">
        <v>5.5899999999999998E-2</v>
      </c>
      <c r="J560" s="2">
        <v>1.41</v>
      </c>
      <c r="K560" s="6">
        <v>13359.75</v>
      </c>
      <c r="L560" s="4">
        <v>203</v>
      </c>
      <c r="M560" s="2">
        <v>65.81</v>
      </c>
      <c r="N560" s="6">
        <v>26995.02</v>
      </c>
      <c r="O560" s="6">
        <f t="shared" si="41"/>
        <v>13635.27</v>
      </c>
      <c r="P560" s="6">
        <f t="shared" si="42"/>
        <v>1.0206231404030763</v>
      </c>
      <c r="Q560" s="3">
        <v>2.02</v>
      </c>
      <c r="R560" t="str">
        <f t="shared" si="43"/>
        <v>Medium</v>
      </c>
      <c r="S560" t="str">
        <f t="shared" si="44"/>
        <v>Valid</v>
      </c>
    </row>
    <row r="561" spans="1:19" x14ac:dyDescent="0.25">
      <c r="A561" s="1">
        <v>45602</v>
      </c>
      <c r="B561" s="1" t="str">
        <f t="shared" si="40"/>
        <v>2024-11</v>
      </c>
      <c r="C561" t="s">
        <v>14</v>
      </c>
      <c r="D561" t="s">
        <v>29</v>
      </c>
      <c r="E561" t="s">
        <v>19</v>
      </c>
      <c r="F561" t="s">
        <v>31</v>
      </c>
      <c r="G561" s="4">
        <v>14884</v>
      </c>
      <c r="H561" s="4">
        <v>541</v>
      </c>
      <c r="I561" s="5">
        <v>3.6400000000000002E-2</v>
      </c>
      <c r="J561" s="2">
        <v>3.25</v>
      </c>
      <c r="K561" s="6">
        <v>1758.25</v>
      </c>
      <c r="L561" s="4">
        <v>43</v>
      </c>
      <c r="M561" s="2">
        <v>40.89</v>
      </c>
      <c r="N561" s="6">
        <v>4123.58</v>
      </c>
      <c r="O561" s="6">
        <f t="shared" si="41"/>
        <v>2365.33</v>
      </c>
      <c r="P561" s="6">
        <f t="shared" si="42"/>
        <v>1.3452751315228209</v>
      </c>
      <c r="Q561" s="3">
        <v>2.35</v>
      </c>
      <c r="R561" t="str">
        <f t="shared" si="43"/>
        <v>Medium</v>
      </c>
      <c r="S561" t="str">
        <f t="shared" si="44"/>
        <v>Valid</v>
      </c>
    </row>
    <row r="562" spans="1:19" x14ac:dyDescent="0.25">
      <c r="A562" s="1">
        <v>45615</v>
      </c>
      <c r="B562" s="1" t="str">
        <f t="shared" si="40"/>
        <v>2024-11</v>
      </c>
      <c r="C562" t="s">
        <v>18</v>
      </c>
      <c r="D562" t="s">
        <v>24</v>
      </c>
      <c r="E562" t="s">
        <v>22</v>
      </c>
      <c r="F562" t="s">
        <v>26</v>
      </c>
      <c r="G562" s="4">
        <v>47623</v>
      </c>
      <c r="H562" s="4">
        <v>1695</v>
      </c>
      <c r="I562" s="5">
        <v>3.56E-2</v>
      </c>
      <c r="J562" s="2">
        <v>1.85</v>
      </c>
      <c r="K562" s="6">
        <v>3135.75</v>
      </c>
      <c r="L562" s="4">
        <v>36</v>
      </c>
      <c r="M562" s="2">
        <v>87.1</v>
      </c>
      <c r="N562" s="6">
        <v>9884.86</v>
      </c>
      <c r="O562" s="6">
        <f t="shared" si="41"/>
        <v>6749.1100000000006</v>
      </c>
      <c r="P562" s="6">
        <f t="shared" si="42"/>
        <v>2.1523112493024001</v>
      </c>
      <c r="Q562" s="3">
        <v>3.15</v>
      </c>
      <c r="R562" t="str">
        <f t="shared" si="43"/>
        <v>High</v>
      </c>
      <c r="S562" t="str">
        <f t="shared" si="44"/>
        <v>Valid</v>
      </c>
    </row>
    <row r="563" spans="1:19" x14ac:dyDescent="0.25">
      <c r="A563" s="1">
        <v>45620</v>
      </c>
      <c r="B563" s="1" t="str">
        <f t="shared" si="40"/>
        <v>2024-11</v>
      </c>
      <c r="C563" t="s">
        <v>28</v>
      </c>
      <c r="D563" t="s">
        <v>15</v>
      </c>
      <c r="E563" t="s">
        <v>30</v>
      </c>
      <c r="F563" t="s">
        <v>23</v>
      </c>
      <c r="G563" s="4">
        <v>102780</v>
      </c>
      <c r="H563" s="4">
        <v>1952</v>
      </c>
      <c r="I563" s="5">
        <v>1.9E-2</v>
      </c>
      <c r="J563" s="2">
        <v>1.2</v>
      </c>
      <c r="K563" s="6">
        <v>2342.4</v>
      </c>
      <c r="L563" s="4">
        <v>63</v>
      </c>
      <c r="M563" s="2">
        <v>37.18</v>
      </c>
      <c r="N563" s="6">
        <v>16160.9</v>
      </c>
      <c r="O563" s="6">
        <f t="shared" si="41"/>
        <v>13818.5</v>
      </c>
      <c r="P563" s="6">
        <f t="shared" si="42"/>
        <v>5.8992913251366117</v>
      </c>
      <c r="Q563" s="3">
        <v>6.9</v>
      </c>
      <c r="R563" t="str">
        <f t="shared" si="43"/>
        <v>High</v>
      </c>
      <c r="S563" t="str">
        <f t="shared" si="44"/>
        <v>Valid</v>
      </c>
    </row>
    <row r="564" spans="1:19" x14ac:dyDescent="0.25">
      <c r="A564" s="1">
        <v>45332</v>
      </c>
      <c r="B564" s="1" t="str">
        <f t="shared" si="40"/>
        <v>2024-02</v>
      </c>
      <c r="C564" t="s">
        <v>14</v>
      </c>
      <c r="D564" t="s">
        <v>24</v>
      </c>
      <c r="E564" t="s">
        <v>22</v>
      </c>
      <c r="F564" t="s">
        <v>32</v>
      </c>
      <c r="G564" s="4">
        <v>167717</v>
      </c>
      <c r="H564" s="4">
        <v>4142</v>
      </c>
      <c r="I564" s="5">
        <v>2.47E-2</v>
      </c>
      <c r="J564" s="2">
        <v>1.73</v>
      </c>
      <c r="K564" s="6">
        <v>7165.66</v>
      </c>
      <c r="L564" s="4">
        <v>71</v>
      </c>
      <c r="M564" s="2">
        <v>100.92</v>
      </c>
      <c r="N564" s="6">
        <v>15937.54</v>
      </c>
      <c r="O564" s="6">
        <f t="shared" si="41"/>
        <v>8771.880000000001</v>
      </c>
      <c r="P564" s="6">
        <f t="shared" si="42"/>
        <v>1.2241552069174368</v>
      </c>
      <c r="Q564" s="3">
        <v>2.2200000000000002</v>
      </c>
      <c r="R564" t="str">
        <f t="shared" si="43"/>
        <v>Medium</v>
      </c>
      <c r="S564" t="str">
        <f t="shared" si="44"/>
        <v>Valid</v>
      </c>
    </row>
    <row r="565" spans="1:19" x14ac:dyDescent="0.25">
      <c r="A565" s="1">
        <v>45540</v>
      </c>
      <c r="B565" s="1" t="str">
        <f t="shared" si="40"/>
        <v>2024-09</v>
      </c>
      <c r="C565" t="s">
        <v>28</v>
      </c>
      <c r="D565" t="s">
        <v>15</v>
      </c>
      <c r="E565" t="s">
        <v>30</v>
      </c>
      <c r="F565" t="s">
        <v>20</v>
      </c>
      <c r="G565" s="4">
        <v>189598</v>
      </c>
      <c r="H565" s="4">
        <v>6673</v>
      </c>
      <c r="I565" s="5">
        <v>3.5200000000000002E-2</v>
      </c>
      <c r="J565" s="2">
        <v>1.99</v>
      </c>
      <c r="K565" s="6">
        <v>13279.27</v>
      </c>
      <c r="L565" s="4">
        <v>170</v>
      </c>
      <c r="M565" s="2">
        <v>78.11</v>
      </c>
      <c r="N565" s="6">
        <v>36177.68</v>
      </c>
      <c r="O565" s="6">
        <f t="shared" si="41"/>
        <v>22898.41</v>
      </c>
      <c r="P565" s="6">
        <f t="shared" si="42"/>
        <v>1.724372650002598</v>
      </c>
      <c r="Q565" s="3">
        <v>2.72</v>
      </c>
      <c r="R565" t="str">
        <f t="shared" si="43"/>
        <v>Medium</v>
      </c>
      <c r="S565" t="str">
        <f t="shared" si="44"/>
        <v>Valid</v>
      </c>
    </row>
    <row r="566" spans="1:19" x14ac:dyDescent="0.25">
      <c r="A566" s="1">
        <v>45312</v>
      </c>
      <c r="B566" s="1" t="str">
        <f t="shared" si="40"/>
        <v>2024-01</v>
      </c>
      <c r="C566" t="s">
        <v>18</v>
      </c>
      <c r="D566" t="s">
        <v>29</v>
      </c>
      <c r="E566" t="s">
        <v>25</v>
      </c>
      <c r="F566" t="s">
        <v>26</v>
      </c>
      <c r="G566" s="4">
        <v>92273</v>
      </c>
      <c r="H566" s="4">
        <v>6237</v>
      </c>
      <c r="I566" s="5">
        <v>6.7599999999999993E-2</v>
      </c>
      <c r="J566" s="2">
        <v>1.41</v>
      </c>
      <c r="K566" s="6">
        <v>8794.17</v>
      </c>
      <c r="L566" s="4">
        <v>291</v>
      </c>
      <c r="M566" s="2">
        <v>30.22</v>
      </c>
      <c r="N566" s="6">
        <v>72065.02</v>
      </c>
      <c r="O566" s="6">
        <f t="shared" si="41"/>
        <v>63270.850000000006</v>
      </c>
      <c r="P566" s="6">
        <f t="shared" si="42"/>
        <v>7.1946357643757173</v>
      </c>
      <c r="Q566" s="3">
        <v>8.19</v>
      </c>
      <c r="R566" t="str">
        <f t="shared" si="43"/>
        <v>High</v>
      </c>
      <c r="S566" t="str">
        <f t="shared" si="44"/>
        <v>Valid</v>
      </c>
    </row>
    <row r="567" spans="1:19" x14ac:dyDescent="0.25">
      <c r="A567" s="1">
        <v>45540</v>
      </c>
      <c r="B567" s="1" t="str">
        <f t="shared" si="40"/>
        <v>2024-09</v>
      </c>
      <c r="C567" t="s">
        <v>14</v>
      </c>
      <c r="D567" t="s">
        <v>29</v>
      </c>
      <c r="E567" t="s">
        <v>16</v>
      </c>
      <c r="F567" t="s">
        <v>20</v>
      </c>
      <c r="G567" s="4">
        <v>118884</v>
      </c>
      <c r="H567" s="4">
        <v>5932</v>
      </c>
      <c r="I567" s="5">
        <v>4.99E-2</v>
      </c>
      <c r="J567" s="2">
        <v>2.95</v>
      </c>
      <c r="K567" s="6">
        <v>17499.400000000001</v>
      </c>
      <c r="L567" s="4">
        <v>450</v>
      </c>
      <c r="M567" s="2">
        <v>38.89</v>
      </c>
      <c r="N567" s="6">
        <v>121374.91</v>
      </c>
      <c r="O567" s="6">
        <f t="shared" si="41"/>
        <v>103875.51000000001</v>
      </c>
      <c r="P567" s="6">
        <f t="shared" si="42"/>
        <v>5.9359469467524599</v>
      </c>
      <c r="Q567" s="3">
        <v>6.94</v>
      </c>
      <c r="R567" t="str">
        <f t="shared" si="43"/>
        <v>High</v>
      </c>
      <c r="S567" t="str">
        <f t="shared" si="44"/>
        <v>Valid</v>
      </c>
    </row>
    <row r="568" spans="1:19" x14ac:dyDescent="0.25">
      <c r="A568" s="1">
        <v>45386</v>
      </c>
      <c r="B568" s="1" t="str">
        <f t="shared" si="40"/>
        <v>2024-04</v>
      </c>
      <c r="C568" t="s">
        <v>14</v>
      </c>
      <c r="D568" t="s">
        <v>15</v>
      </c>
      <c r="E568" t="s">
        <v>22</v>
      </c>
      <c r="F568" t="s">
        <v>32</v>
      </c>
      <c r="G568" s="4">
        <v>84303</v>
      </c>
      <c r="H568" s="4">
        <v>4417</v>
      </c>
      <c r="I568" s="5">
        <v>5.2400000000000002E-2</v>
      </c>
      <c r="J568" s="2">
        <v>3.12</v>
      </c>
      <c r="K568" s="6">
        <v>13781.04</v>
      </c>
      <c r="L568" s="4">
        <v>100</v>
      </c>
      <c r="M568" s="2">
        <v>137.81</v>
      </c>
      <c r="N568" s="6">
        <v>20354.89</v>
      </c>
      <c r="O568" s="6">
        <f t="shared" si="41"/>
        <v>6573.8499999999985</v>
      </c>
      <c r="P568" s="6">
        <f t="shared" si="42"/>
        <v>0.47702132785334039</v>
      </c>
      <c r="Q568" s="3">
        <v>1.48</v>
      </c>
      <c r="R568" t="str">
        <f t="shared" si="43"/>
        <v>Medium</v>
      </c>
      <c r="S568" t="str">
        <f t="shared" si="44"/>
        <v>Valid</v>
      </c>
    </row>
    <row r="569" spans="1:19" x14ac:dyDescent="0.25">
      <c r="A569" s="1">
        <v>45295</v>
      </c>
      <c r="B569" s="1" t="str">
        <f t="shared" si="40"/>
        <v>2024-01</v>
      </c>
      <c r="C569" t="s">
        <v>14</v>
      </c>
      <c r="D569" t="s">
        <v>21</v>
      </c>
      <c r="E569" t="s">
        <v>19</v>
      </c>
      <c r="F569" t="s">
        <v>26</v>
      </c>
      <c r="G569" s="4">
        <v>89730</v>
      </c>
      <c r="H569" s="4">
        <v>4621</v>
      </c>
      <c r="I569" s="5">
        <v>5.1499999999999997E-2</v>
      </c>
      <c r="J569" s="2">
        <v>2.68</v>
      </c>
      <c r="K569" s="6">
        <v>12384.28</v>
      </c>
      <c r="L569" s="4">
        <v>277</v>
      </c>
      <c r="M569" s="2">
        <v>44.71</v>
      </c>
      <c r="N569" s="6">
        <v>13483.54</v>
      </c>
      <c r="O569" s="6">
        <f t="shared" si="41"/>
        <v>1099.2600000000002</v>
      </c>
      <c r="P569" s="6">
        <f t="shared" si="42"/>
        <v>8.8762527979018568E-2</v>
      </c>
      <c r="Q569" s="3">
        <v>1.0900000000000001</v>
      </c>
      <c r="R569" t="str">
        <f t="shared" si="43"/>
        <v>Medium</v>
      </c>
      <c r="S569" t="str">
        <f t="shared" si="44"/>
        <v>Valid</v>
      </c>
    </row>
    <row r="570" spans="1:19" x14ac:dyDescent="0.25">
      <c r="A570" s="1">
        <v>45626</v>
      </c>
      <c r="B570" s="1" t="str">
        <f t="shared" si="40"/>
        <v>2024-11</v>
      </c>
      <c r="C570" t="s">
        <v>14</v>
      </c>
      <c r="D570" t="s">
        <v>15</v>
      </c>
      <c r="E570" t="s">
        <v>25</v>
      </c>
      <c r="F570" t="s">
        <v>20</v>
      </c>
      <c r="G570" s="4">
        <v>174737</v>
      </c>
      <c r="H570" s="4">
        <v>5207</v>
      </c>
      <c r="I570" s="5">
        <v>2.98E-2</v>
      </c>
      <c r="J570" s="2">
        <v>1.44</v>
      </c>
      <c r="K570" s="6">
        <v>7498.08</v>
      </c>
      <c r="L570" s="4">
        <v>398</v>
      </c>
      <c r="M570" s="2">
        <v>18.84</v>
      </c>
      <c r="N570" s="6">
        <v>90351.24</v>
      </c>
      <c r="O570" s="6">
        <f t="shared" si="41"/>
        <v>82853.16</v>
      </c>
      <c r="P570" s="6">
        <f t="shared" si="42"/>
        <v>11.049916778695346</v>
      </c>
      <c r="Q570" s="3">
        <v>12.05</v>
      </c>
      <c r="R570" t="str">
        <f t="shared" si="43"/>
        <v>High</v>
      </c>
      <c r="S570" t="str">
        <f t="shared" si="44"/>
        <v>Valid</v>
      </c>
    </row>
    <row r="571" spans="1:19" x14ac:dyDescent="0.25">
      <c r="A571" s="1">
        <v>45545</v>
      </c>
      <c r="B571" s="1" t="str">
        <f t="shared" si="40"/>
        <v>2024-09</v>
      </c>
      <c r="C571" t="s">
        <v>14</v>
      </c>
      <c r="D571" t="s">
        <v>24</v>
      </c>
      <c r="E571" t="s">
        <v>22</v>
      </c>
      <c r="F571" t="s">
        <v>26</v>
      </c>
      <c r="G571" s="4">
        <v>145508</v>
      </c>
      <c r="H571" s="4">
        <v>7158</v>
      </c>
      <c r="I571" s="5">
        <v>4.9200000000000001E-2</v>
      </c>
      <c r="J571" s="2">
        <v>1.44</v>
      </c>
      <c r="K571" s="6">
        <v>10307.52</v>
      </c>
      <c r="L571" s="4">
        <v>566</v>
      </c>
      <c r="M571" s="2">
        <v>18.21</v>
      </c>
      <c r="N571" s="6">
        <v>76404.289999999994</v>
      </c>
      <c r="O571" s="6">
        <f t="shared" si="41"/>
        <v>66096.76999999999</v>
      </c>
      <c r="P571" s="6">
        <f t="shared" si="42"/>
        <v>6.4124804026574758</v>
      </c>
      <c r="Q571" s="3">
        <v>7.41</v>
      </c>
      <c r="R571" t="str">
        <f t="shared" si="43"/>
        <v>High</v>
      </c>
      <c r="S571" t="str">
        <f t="shared" si="44"/>
        <v>Valid</v>
      </c>
    </row>
    <row r="572" spans="1:19" x14ac:dyDescent="0.25">
      <c r="A572" s="1">
        <v>45406</v>
      </c>
      <c r="B572" s="1" t="str">
        <f t="shared" si="40"/>
        <v>2024-04</v>
      </c>
      <c r="C572" t="s">
        <v>14</v>
      </c>
      <c r="D572" t="s">
        <v>24</v>
      </c>
      <c r="E572" t="s">
        <v>19</v>
      </c>
      <c r="F572" t="s">
        <v>32</v>
      </c>
      <c r="G572" s="4">
        <v>75649</v>
      </c>
      <c r="H572" s="4">
        <v>1792</v>
      </c>
      <c r="I572" s="5">
        <v>2.3699999999999999E-2</v>
      </c>
      <c r="J572" s="2">
        <v>2.78</v>
      </c>
      <c r="K572" s="6">
        <v>4981.76</v>
      </c>
      <c r="L572" s="4">
        <v>110</v>
      </c>
      <c r="M572" s="2">
        <v>45.29</v>
      </c>
      <c r="N572" s="6">
        <v>12588.99</v>
      </c>
      <c r="O572" s="6">
        <f t="shared" si="41"/>
        <v>7607.23</v>
      </c>
      <c r="P572" s="6">
        <f t="shared" si="42"/>
        <v>1.5270165563977387</v>
      </c>
      <c r="Q572" s="3">
        <v>2.5299999999999998</v>
      </c>
      <c r="R572" t="str">
        <f t="shared" si="43"/>
        <v>Medium</v>
      </c>
      <c r="S572" t="str">
        <f t="shared" si="44"/>
        <v>Valid</v>
      </c>
    </row>
    <row r="573" spans="1:19" x14ac:dyDescent="0.25">
      <c r="A573" s="1">
        <v>45376</v>
      </c>
      <c r="B573" s="1" t="str">
        <f t="shared" si="40"/>
        <v>2024-03</v>
      </c>
      <c r="C573" t="s">
        <v>18</v>
      </c>
      <c r="D573" t="s">
        <v>29</v>
      </c>
      <c r="E573" t="s">
        <v>30</v>
      </c>
      <c r="F573" t="s">
        <v>20</v>
      </c>
      <c r="G573" s="4">
        <v>85522</v>
      </c>
      <c r="H573" s="4">
        <v>3378</v>
      </c>
      <c r="I573" s="5">
        <v>3.95E-2</v>
      </c>
      <c r="J573" s="2">
        <v>0.35</v>
      </c>
      <c r="K573" s="6">
        <v>1182.3</v>
      </c>
      <c r="L573" s="4">
        <v>167</v>
      </c>
      <c r="M573" s="2">
        <v>7.08</v>
      </c>
      <c r="N573" s="6">
        <v>30312.31</v>
      </c>
      <c r="O573" s="6">
        <f t="shared" si="41"/>
        <v>29130.010000000002</v>
      </c>
      <c r="P573" s="6">
        <f t="shared" si="42"/>
        <v>24.638425103611606</v>
      </c>
      <c r="Q573" s="3">
        <v>25.64</v>
      </c>
      <c r="R573" t="str">
        <f t="shared" si="43"/>
        <v>High</v>
      </c>
      <c r="S573" t="str">
        <f t="shared" si="44"/>
        <v>Valid</v>
      </c>
    </row>
    <row r="574" spans="1:19" x14ac:dyDescent="0.25">
      <c r="A574" s="1">
        <v>45615</v>
      </c>
      <c r="B574" s="1" t="str">
        <f t="shared" si="40"/>
        <v>2024-11</v>
      </c>
      <c r="C574" t="s">
        <v>28</v>
      </c>
      <c r="D574" t="s">
        <v>24</v>
      </c>
      <c r="E574" t="s">
        <v>22</v>
      </c>
      <c r="F574" t="s">
        <v>27</v>
      </c>
      <c r="G574" s="4">
        <v>19588</v>
      </c>
      <c r="H574" s="4">
        <v>434</v>
      </c>
      <c r="I574" s="5">
        <v>2.2200000000000001E-2</v>
      </c>
      <c r="J574" s="2">
        <v>1.77</v>
      </c>
      <c r="K574" s="6">
        <v>768.18</v>
      </c>
      <c r="L574" s="4">
        <v>5</v>
      </c>
      <c r="M574" s="2">
        <v>153.63999999999999</v>
      </c>
      <c r="N574" s="6">
        <v>560.03</v>
      </c>
      <c r="O574" s="6">
        <f t="shared" si="41"/>
        <v>-208.14999999999998</v>
      </c>
      <c r="P574" s="6">
        <f t="shared" si="42"/>
        <v>-0.27096513837902575</v>
      </c>
      <c r="Q574" s="3">
        <v>0.73</v>
      </c>
      <c r="R574" t="str">
        <f t="shared" si="43"/>
        <v>Low</v>
      </c>
      <c r="S574" t="str">
        <f t="shared" si="44"/>
        <v>Valid</v>
      </c>
    </row>
    <row r="575" spans="1:19" x14ac:dyDescent="0.25">
      <c r="A575" s="1">
        <v>45598</v>
      </c>
      <c r="B575" s="1" t="str">
        <f t="shared" si="40"/>
        <v>2024-11</v>
      </c>
      <c r="C575" t="s">
        <v>18</v>
      </c>
      <c r="D575" t="s">
        <v>21</v>
      </c>
      <c r="E575" t="s">
        <v>30</v>
      </c>
      <c r="F575" t="s">
        <v>27</v>
      </c>
      <c r="G575" s="4">
        <v>92985</v>
      </c>
      <c r="H575" s="4">
        <v>8024</v>
      </c>
      <c r="I575" s="5">
        <v>8.6300000000000002E-2</v>
      </c>
      <c r="J575" s="2">
        <v>0.85</v>
      </c>
      <c r="K575" s="6">
        <v>6820.4</v>
      </c>
      <c r="L575" s="4">
        <v>520</v>
      </c>
      <c r="M575" s="2">
        <v>13.12</v>
      </c>
      <c r="N575" s="6">
        <v>150774.99</v>
      </c>
      <c r="O575" s="6">
        <f t="shared" si="41"/>
        <v>143954.59</v>
      </c>
      <c r="P575" s="6">
        <f t="shared" si="42"/>
        <v>21.106473227376693</v>
      </c>
      <c r="Q575" s="3">
        <v>22.11</v>
      </c>
      <c r="R575" t="str">
        <f t="shared" si="43"/>
        <v>High</v>
      </c>
      <c r="S575" t="str">
        <f t="shared" si="44"/>
        <v>Valid</v>
      </c>
    </row>
    <row r="576" spans="1:19" x14ac:dyDescent="0.25">
      <c r="A576" s="1">
        <v>45372</v>
      </c>
      <c r="B576" s="1" t="str">
        <f t="shared" si="40"/>
        <v>2024-03</v>
      </c>
      <c r="C576" t="s">
        <v>14</v>
      </c>
      <c r="D576" t="s">
        <v>21</v>
      </c>
      <c r="E576" t="s">
        <v>30</v>
      </c>
      <c r="F576" t="s">
        <v>23</v>
      </c>
      <c r="G576" s="4">
        <v>134198</v>
      </c>
      <c r="H576" s="4">
        <v>2670</v>
      </c>
      <c r="I576" s="5">
        <v>1.9900000000000001E-2</v>
      </c>
      <c r="J576" s="2">
        <v>3.15</v>
      </c>
      <c r="K576" s="6">
        <v>8410.5</v>
      </c>
      <c r="L576" s="4">
        <v>71</v>
      </c>
      <c r="M576" s="2">
        <v>118.46</v>
      </c>
      <c r="N576" s="6">
        <v>14769.75</v>
      </c>
      <c r="O576" s="6">
        <f t="shared" si="41"/>
        <v>6359.25</v>
      </c>
      <c r="P576" s="6">
        <f t="shared" si="42"/>
        <v>0.75610843588371679</v>
      </c>
      <c r="Q576" s="3">
        <v>1.76</v>
      </c>
      <c r="R576" t="str">
        <f t="shared" si="43"/>
        <v>Medium</v>
      </c>
      <c r="S576" t="str">
        <f t="shared" si="44"/>
        <v>Valid</v>
      </c>
    </row>
    <row r="577" spans="1:19" x14ac:dyDescent="0.25">
      <c r="A577" s="1">
        <v>45632</v>
      </c>
      <c r="B577" s="1" t="str">
        <f t="shared" si="40"/>
        <v>2024-12</v>
      </c>
      <c r="C577" t="s">
        <v>18</v>
      </c>
      <c r="D577" t="s">
        <v>15</v>
      </c>
      <c r="E577" t="s">
        <v>30</v>
      </c>
      <c r="F577" t="s">
        <v>27</v>
      </c>
      <c r="G577" s="4">
        <v>25951</v>
      </c>
      <c r="H577" s="4">
        <v>809</v>
      </c>
      <c r="I577" s="5">
        <v>3.1199999999999999E-2</v>
      </c>
      <c r="J577" s="2">
        <v>0.48</v>
      </c>
      <c r="K577" s="6">
        <v>388.32</v>
      </c>
      <c r="L577" s="4">
        <v>61</v>
      </c>
      <c r="M577" s="2">
        <v>6.37</v>
      </c>
      <c r="N577" s="6">
        <v>10397.040000000001</v>
      </c>
      <c r="O577" s="6">
        <f t="shared" si="41"/>
        <v>10008.720000000001</v>
      </c>
      <c r="P577" s="6">
        <f t="shared" si="42"/>
        <v>25.774412855377012</v>
      </c>
      <c r="Q577" s="3">
        <v>26.77</v>
      </c>
      <c r="R577" t="str">
        <f t="shared" si="43"/>
        <v>High</v>
      </c>
      <c r="S577" t="str">
        <f t="shared" si="44"/>
        <v>Valid</v>
      </c>
    </row>
    <row r="578" spans="1:19" x14ac:dyDescent="0.25">
      <c r="A578" s="1">
        <v>45584</v>
      </c>
      <c r="B578" s="1" t="str">
        <f t="shared" si="40"/>
        <v>2024-10</v>
      </c>
      <c r="C578" t="s">
        <v>14</v>
      </c>
      <c r="D578" t="s">
        <v>24</v>
      </c>
      <c r="E578" t="s">
        <v>30</v>
      </c>
      <c r="F578" t="s">
        <v>20</v>
      </c>
      <c r="G578" s="4">
        <v>55385</v>
      </c>
      <c r="H578" s="4">
        <v>1678</v>
      </c>
      <c r="I578" s="5">
        <v>3.0300000000000001E-2</v>
      </c>
      <c r="J578" s="2">
        <v>1.44</v>
      </c>
      <c r="K578" s="6">
        <v>2416.3200000000002</v>
      </c>
      <c r="L578" s="4">
        <v>64</v>
      </c>
      <c r="M578" s="2">
        <v>37.76</v>
      </c>
      <c r="N578" s="6">
        <v>18110.48</v>
      </c>
      <c r="O578" s="6">
        <f t="shared" si="41"/>
        <v>15694.16</v>
      </c>
      <c r="P578" s="6">
        <f t="shared" si="42"/>
        <v>6.4950668785591308</v>
      </c>
      <c r="Q578" s="3">
        <v>7.5</v>
      </c>
      <c r="R578" t="str">
        <f t="shared" si="43"/>
        <v>High</v>
      </c>
      <c r="S578" t="str">
        <f t="shared" si="44"/>
        <v>Valid</v>
      </c>
    </row>
    <row r="579" spans="1:19" x14ac:dyDescent="0.25">
      <c r="A579" s="1">
        <v>45292</v>
      </c>
      <c r="B579" s="1" t="str">
        <f t="shared" ref="B579:B642" si="45">TEXT(A579, "yyyy-mm")</f>
        <v>2024-01</v>
      </c>
      <c r="C579" t="s">
        <v>14</v>
      </c>
      <c r="D579" t="s">
        <v>15</v>
      </c>
      <c r="E579" t="s">
        <v>25</v>
      </c>
      <c r="F579" t="s">
        <v>31</v>
      </c>
      <c r="G579" s="4">
        <v>21702</v>
      </c>
      <c r="H579" s="4">
        <v>1000</v>
      </c>
      <c r="I579" s="5">
        <v>4.6100000000000002E-2</v>
      </c>
      <c r="J579" s="2">
        <v>3.17</v>
      </c>
      <c r="K579" s="6">
        <v>3170</v>
      </c>
      <c r="L579" s="4">
        <v>17</v>
      </c>
      <c r="M579" s="2">
        <v>186.47</v>
      </c>
      <c r="N579" s="6">
        <v>3670.88</v>
      </c>
      <c r="O579" s="6">
        <f t="shared" ref="O579:O642" si="46">N579-K579</f>
        <v>500.88000000000011</v>
      </c>
      <c r="P579" s="6">
        <f t="shared" ref="P579:P642" si="47">IFERROR(O579/K579, "")</f>
        <v>0.15800630914826502</v>
      </c>
      <c r="Q579" s="3">
        <v>1.1599999999999999</v>
      </c>
      <c r="R579" t="str">
        <f t="shared" ref="R579:R642" si="48">IF(Q579 &gt;= 3, "High", IF(Q579&gt;=1, "Medium", "Low"))</f>
        <v>Medium</v>
      </c>
      <c r="S579" t="str">
        <f t="shared" ref="S579:S642" si="49">IF(OR(G579=0, H579&gt;G579, L579&gt;H579), "Invalid", "Valid")</f>
        <v>Valid</v>
      </c>
    </row>
    <row r="580" spans="1:19" x14ac:dyDescent="0.25">
      <c r="A580" s="1">
        <v>45349</v>
      </c>
      <c r="B580" s="1" t="str">
        <f t="shared" si="45"/>
        <v>2024-02</v>
      </c>
      <c r="C580" t="s">
        <v>18</v>
      </c>
      <c r="D580" t="s">
        <v>15</v>
      </c>
      <c r="E580" t="s">
        <v>25</v>
      </c>
      <c r="F580" t="s">
        <v>17</v>
      </c>
      <c r="G580" s="4">
        <v>195972</v>
      </c>
      <c r="H580" s="4">
        <v>13796</v>
      </c>
      <c r="I580" s="5">
        <v>7.0400000000000004E-2</v>
      </c>
      <c r="J580" s="2">
        <v>0.5</v>
      </c>
      <c r="K580" s="6">
        <v>6898</v>
      </c>
      <c r="L580" s="4">
        <v>645</v>
      </c>
      <c r="M580" s="2">
        <v>10.69</v>
      </c>
      <c r="N580" s="6">
        <v>54701.33</v>
      </c>
      <c r="O580" s="6">
        <f t="shared" si="46"/>
        <v>47803.33</v>
      </c>
      <c r="P580" s="6">
        <f t="shared" si="47"/>
        <v>6.9300275442157151</v>
      </c>
      <c r="Q580" s="3">
        <v>7.93</v>
      </c>
      <c r="R580" t="str">
        <f t="shared" si="48"/>
        <v>High</v>
      </c>
      <c r="S580" t="str">
        <f t="shared" si="49"/>
        <v>Valid</v>
      </c>
    </row>
    <row r="581" spans="1:19" x14ac:dyDescent="0.25">
      <c r="A581" s="1">
        <v>45547</v>
      </c>
      <c r="B581" s="1" t="str">
        <f t="shared" si="45"/>
        <v>2024-09</v>
      </c>
      <c r="C581" t="s">
        <v>28</v>
      </c>
      <c r="D581" t="s">
        <v>15</v>
      </c>
      <c r="E581" t="s">
        <v>22</v>
      </c>
      <c r="F581" t="s">
        <v>17</v>
      </c>
      <c r="G581" s="4">
        <v>73447</v>
      </c>
      <c r="H581" s="4">
        <v>2401</v>
      </c>
      <c r="I581" s="5">
        <v>3.27E-2</v>
      </c>
      <c r="J581" s="2">
        <v>1.44</v>
      </c>
      <c r="K581" s="6">
        <v>3457.44</v>
      </c>
      <c r="L581" s="4">
        <v>93</v>
      </c>
      <c r="M581" s="2">
        <v>37.18</v>
      </c>
      <c r="N581" s="6">
        <v>11150.38</v>
      </c>
      <c r="O581" s="6">
        <f t="shared" si="46"/>
        <v>7692.9399999999987</v>
      </c>
      <c r="P581" s="6">
        <f t="shared" si="47"/>
        <v>2.2250393354620757</v>
      </c>
      <c r="Q581" s="3">
        <v>3.23</v>
      </c>
      <c r="R581" t="str">
        <f t="shared" si="48"/>
        <v>High</v>
      </c>
      <c r="S581" t="str">
        <f t="shared" si="49"/>
        <v>Valid</v>
      </c>
    </row>
    <row r="582" spans="1:19" x14ac:dyDescent="0.25">
      <c r="A582" s="1">
        <v>45582</v>
      </c>
      <c r="B582" s="1" t="str">
        <f t="shared" si="45"/>
        <v>2024-10</v>
      </c>
      <c r="C582" t="s">
        <v>28</v>
      </c>
      <c r="D582" t="s">
        <v>15</v>
      </c>
      <c r="E582" t="s">
        <v>22</v>
      </c>
      <c r="F582" t="s">
        <v>17</v>
      </c>
      <c r="G582" s="4">
        <v>55867</v>
      </c>
      <c r="H582" s="4">
        <v>1681</v>
      </c>
      <c r="I582" s="5">
        <v>3.0099999999999998E-2</v>
      </c>
      <c r="J582" s="2">
        <v>1.98</v>
      </c>
      <c r="K582" s="6">
        <v>3328.38</v>
      </c>
      <c r="L582" s="4">
        <v>32</v>
      </c>
      <c r="M582" s="2">
        <v>104.01</v>
      </c>
      <c r="N582" s="6">
        <v>3790.94</v>
      </c>
      <c r="O582" s="6">
        <f t="shared" si="46"/>
        <v>462.55999999999995</v>
      </c>
      <c r="P582" s="6">
        <f t="shared" si="47"/>
        <v>0.13897451613097059</v>
      </c>
      <c r="Q582" s="3">
        <v>1.1399999999999999</v>
      </c>
      <c r="R582" t="str">
        <f t="shared" si="48"/>
        <v>Medium</v>
      </c>
      <c r="S582" t="str">
        <f t="shared" si="49"/>
        <v>Valid</v>
      </c>
    </row>
    <row r="583" spans="1:19" x14ac:dyDescent="0.25">
      <c r="A583" s="1">
        <v>45431</v>
      </c>
      <c r="B583" s="1" t="str">
        <f t="shared" si="45"/>
        <v>2024-05</v>
      </c>
      <c r="C583" t="s">
        <v>14</v>
      </c>
      <c r="D583" t="s">
        <v>29</v>
      </c>
      <c r="E583" t="s">
        <v>16</v>
      </c>
      <c r="F583" t="s">
        <v>20</v>
      </c>
      <c r="G583" s="4">
        <v>64567</v>
      </c>
      <c r="H583" s="4">
        <v>1439</v>
      </c>
      <c r="I583" s="5">
        <v>2.23E-2</v>
      </c>
      <c r="J583" s="2">
        <v>2.29</v>
      </c>
      <c r="K583" s="6">
        <v>3295.31</v>
      </c>
      <c r="L583" s="4">
        <v>64</v>
      </c>
      <c r="M583" s="2">
        <v>51.49</v>
      </c>
      <c r="N583" s="6">
        <v>4231.38</v>
      </c>
      <c r="O583" s="6">
        <f t="shared" si="46"/>
        <v>936.07000000000016</v>
      </c>
      <c r="P583" s="6">
        <f t="shared" si="47"/>
        <v>0.28406128710197226</v>
      </c>
      <c r="Q583" s="3">
        <v>1.28</v>
      </c>
      <c r="R583" t="str">
        <f t="shared" si="48"/>
        <v>Medium</v>
      </c>
      <c r="S583" t="str">
        <f t="shared" si="49"/>
        <v>Valid</v>
      </c>
    </row>
    <row r="584" spans="1:19" x14ac:dyDescent="0.25">
      <c r="A584" s="1">
        <v>45475</v>
      </c>
      <c r="B584" s="1" t="str">
        <f t="shared" si="45"/>
        <v>2024-07</v>
      </c>
      <c r="C584" t="s">
        <v>18</v>
      </c>
      <c r="D584" t="s">
        <v>24</v>
      </c>
      <c r="E584" t="s">
        <v>25</v>
      </c>
      <c r="F584" t="s">
        <v>27</v>
      </c>
      <c r="G584" s="4">
        <v>97254</v>
      </c>
      <c r="H584" s="4">
        <v>3374</v>
      </c>
      <c r="I584" s="5">
        <v>3.4700000000000002E-2</v>
      </c>
      <c r="J584" s="2">
        <v>1.65</v>
      </c>
      <c r="K584" s="6">
        <v>5567.1</v>
      </c>
      <c r="L584" s="4">
        <v>63</v>
      </c>
      <c r="M584" s="2">
        <v>88.37</v>
      </c>
      <c r="N584" s="6">
        <v>17255.150000000001</v>
      </c>
      <c r="O584" s="6">
        <f t="shared" si="46"/>
        <v>11688.050000000001</v>
      </c>
      <c r="P584" s="6">
        <f t="shared" si="47"/>
        <v>2.0994862675360602</v>
      </c>
      <c r="Q584" s="3">
        <v>3.1</v>
      </c>
      <c r="R584" t="str">
        <f t="shared" si="48"/>
        <v>High</v>
      </c>
      <c r="S584" t="str">
        <f t="shared" si="49"/>
        <v>Valid</v>
      </c>
    </row>
    <row r="585" spans="1:19" x14ac:dyDescent="0.25">
      <c r="A585" s="1">
        <v>45311</v>
      </c>
      <c r="B585" s="1" t="str">
        <f t="shared" si="45"/>
        <v>2024-01</v>
      </c>
      <c r="C585" t="s">
        <v>28</v>
      </c>
      <c r="D585" t="s">
        <v>24</v>
      </c>
      <c r="E585" t="s">
        <v>22</v>
      </c>
      <c r="F585" t="s">
        <v>20</v>
      </c>
      <c r="G585" s="4">
        <v>147897</v>
      </c>
      <c r="H585" s="4">
        <v>2144</v>
      </c>
      <c r="I585" s="5">
        <v>1.4500000000000001E-2</v>
      </c>
      <c r="J585" s="2">
        <v>1.94</v>
      </c>
      <c r="K585" s="6">
        <v>4159.3599999999997</v>
      </c>
      <c r="L585" s="4">
        <v>24</v>
      </c>
      <c r="M585" s="2">
        <v>173.31</v>
      </c>
      <c r="N585" s="6">
        <v>3826.61</v>
      </c>
      <c r="O585" s="6">
        <f t="shared" si="46"/>
        <v>-332.74999999999955</v>
      </c>
      <c r="P585" s="6">
        <f t="shared" si="47"/>
        <v>-8.0000288505923889E-2</v>
      </c>
      <c r="Q585" s="3">
        <v>0.92</v>
      </c>
      <c r="R585" t="str">
        <f t="shared" si="48"/>
        <v>Low</v>
      </c>
      <c r="S585" t="str">
        <f t="shared" si="49"/>
        <v>Valid</v>
      </c>
    </row>
    <row r="586" spans="1:19" x14ac:dyDescent="0.25">
      <c r="A586" s="1">
        <v>45548</v>
      </c>
      <c r="B586" s="1" t="str">
        <f t="shared" si="45"/>
        <v>2024-09</v>
      </c>
      <c r="C586" t="s">
        <v>28</v>
      </c>
      <c r="D586" t="s">
        <v>29</v>
      </c>
      <c r="E586" t="s">
        <v>22</v>
      </c>
      <c r="F586" t="s">
        <v>26</v>
      </c>
      <c r="G586" s="4">
        <v>115379</v>
      </c>
      <c r="H586" s="4">
        <v>5134</v>
      </c>
      <c r="I586" s="5">
        <v>4.4499999999999998E-2</v>
      </c>
      <c r="J586" s="2">
        <v>2.41</v>
      </c>
      <c r="K586" s="6">
        <v>12372.94</v>
      </c>
      <c r="L586" s="4">
        <v>391</v>
      </c>
      <c r="M586" s="2">
        <v>31.64</v>
      </c>
      <c r="N586" s="6">
        <v>109895.16</v>
      </c>
      <c r="O586" s="6">
        <f t="shared" si="46"/>
        <v>97522.22</v>
      </c>
      <c r="P586" s="6">
        <f t="shared" si="47"/>
        <v>7.8818954912898631</v>
      </c>
      <c r="Q586" s="3">
        <v>8.8800000000000008</v>
      </c>
      <c r="R586" t="str">
        <f t="shared" si="48"/>
        <v>High</v>
      </c>
      <c r="S586" t="str">
        <f t="shared" si="49"/>
        <v>Valid</v>
      </c>
    </row>
    <row r="587" spans="1:19" x14ac:dyDescent="0.25">
      <c r="A587" s="1">
        <v>45354</v>
      </c>
      <c r="B587" s="1" t="str">
        <f t="shared" si="45"/>
        <v>2024-03</v>
      </c>
      <c r="C587" t="s">
        <v>14</v>
      </c>
      <c r="D587" t="s">
        <v>15</v>
      </c>
      <c r="E587" t="s">
        <v>16</v>
      </c>
      <c r="F587" t="s">
        <v>20</v>
      </c>
      <c r="G587" s="4">
        <v>51566</v>
      </c>
      <c r="H587" s="4">
        <v>1531</v>
      </c>
      <c r="I587" s="5">
        <v>2.9700000000000001E-2</v>
      </c>
      <c r="J587" s="2">
        <v>1.39</v>
      </c>
      <c r="K587" s="6">
        <v>2128.09</v>
      </c>
      <c r="L587" s="4">
        <v>112</v>
      </c>
      <c r="M587" s="2">
        <v>19</v>
      </c>
      <c r="N587" s="6">
        <v>6716.48</v>
      </c>
      <c r="O587" s="6">
        <f t="shared" si="46"/>
        <v>4588.3899999999994</v>
      </c>
      <c r="P587" s="6">
        <f t="shared" si="47"/>
        <v>2.1561071195297186</v>
      </c>
      <c r="Q587" s="3">
        <v>3.16</v>
      </c>
      <c r="R587" t="str">
        <f t="shared" si="48"/>
        <v>High</v>
      </c>
      <c r="S587" t="str">
        <f t="shared" si="49"/>
        <v>Valid</v>
      </c>
    </row>
    <row r="588" spans="1:19" x14ac:dyDescent="0.25">
      <c r="A588" s="1">
        <v>45461</v>
      </c>
      <c r="B588" s="1" t="str">
        <f t="shared" si="45"/>
        <v>2024-06</v>
      </c>
      <c r="C588" t="s">
        <v>14</v>
      </c>
      <c r="D588" t="s">
        <v>15</v>
      </c>
      <c r="E588" t="s">
        <v>22</v>
      </c>
      <c r="F588" t="s">
        <v>17</v>
      </c>
      <c r="G588" s="4">
        <v>184889</v>
      </c>
      <c r="H588" s="4">
        <v>6212</v>
      </c>
      <c r="I588" s="5">
        <v>3.3599999999999998E-2</v>
      </c>
      <c r="J588" s="2">
        <v>2.17</v>
      </c>
      <c r="K588" s="6">
        <v>13480.04</v>
      </c>
      <c r="L588" s="4">
        <v>73</v>
      </c>
      <c r="M588" s="2">
        <v>184.66</v>
      </c>
      <c r="N588" s="6">
        <v>2434.91</v>
      </c>
      <c r="O588" s="6">
        <f t="shared" si="46"/>
        <v>-11045.130000000001</v>
      </c>
      <c r="P588" s="6">
        <f t="shared" si="47"/>
        <v>-0.81936923035836695</v>
      </c>
      <c r="Q588" s="3">
        <v>0.18</v>
      </c>
      <c r="R588" t="str">
        <f t="shared" si="48"/>
        <v>Low</v>
      </c>
      <c r="S588" t="str">
        <f t="shared" si="49"/>
        <v>Valid</v>
      </c>
    </row>
    <row r="589" spans="1:19" x14ac:dyDescent="0.25">
      <c r="A589" s="1">
        <v>45399</v>
      </c>
      <c r="B589" s="1" t="str">
        <f t="shared" si="45"/>
        <v>2024-04</v>
      </c>
      <c r="C589" t="s">
        <v>18</v>
      </c>
      <c r="D589" t="s">
        <v>24</v>
      </c>
      <c r="E589" t="s">
        <v>19</v>
      </c>
      <c r="F589" t="s">
        <v>32</v>
      </c>
      <c r="G589" s="4">
        <v>100028</v>
      </c>
      <c r="H589" s="4">
        <v>7402</v>
      </c>
      <c r="I589" s="5">
        <v>7.3999999999999996E-2</v>
      </c>
      <c r="J589" s="2">
        <v>0.73</v>
      </c>
      <c r="K589" s="6">
        <v>5403.46</v>
      </c>
      <c r="L589" s="4">
        <v>100</v>
      </c>
      <c r="M589" s="2">
        <v>54.03</v>
      </c>
      <c r="N589" s="6">
        <v>7280.48</v>
      </c>
      <c r="O589" s="6">
        <f t="shared" si="46"/>
        <v>1877.0199999999995</v>
      </c>
      <c r="P589" s="6">
        <f t="shared" si="47"/>
        <v>0.34737371980175658</v>
      </c>
      <c r="Q589" s="3">
        <v>1.35</v>
      </c>
      <c r="R589" t="str">
        <f t="shared" si="48"/>
        <v>Medium</v>
      </c>
      <c r="S589" t="str">
        <f t="shared" si="49"/>
        <v>Valid</v>
      </c>
    </row>
    <row r="590" spans="1:19" x14ac:dyDescent="0.25">
      <c r="A590" s="1">
        <v>45504</v>
      </c>
      <c r="B590" s="1" t="str">
        <f t="shared" si="45"/>
        <v>2024-07</v>
      </c>
      <c r="C590" t="s">
        <v>18</v>
      </c>
      <c r="D590" t="s">
        <v>15</v>
      </c>
      <c r="E590" t="s">
        <v>19</v>
      </c>
      <c r="F590" t="s">
        <v>31</v>
      </c>
      <c r="G590" s="4">
        <v>29741</v>
      </c>
      <c r="H590" s="4">
        <v>1287</v>
      </c>
      <c r="I590" s="5">
        <v>4.3299999999999998E-2</v>
      </c>
      <c r="J590" s="2">
        <v>1.23</v>
      </c>
      <c r="K590" s="6">
        <v>1583.01</v>
      </c>
      <c r="L590" s="4">
        <v>55</v>
      </c>
      <c r="M590" s="2">
        <v>28.78</v>
      </c>
      <c r="N590" s="6">
        <v>6012.36</v>
      </c>
      <c r="O590" s="6">
        <f t="shared" si="46"/>
        <v>4429.3499999999995</v>
      </c>
      <c r="P590" s="6">
        <f t="shared" si="47"/>
        <v>2.7980556029336512</v>
      </c>
      <c r="Q590" s="3">
        <v>3.8</v>
      </c>
      <c r="R590" t="str">
        <f t="shared" si="48"/>
        <v>High</v>
      </c>
      <c r="S590" t="str">
        <f t="shared" si="49"/>
        <v>Valid</v>
      </c>
    </row>
    <row r="591" spans="1:19" x14ac:dyDescent="0.25">
      <c r="A591" s="1">
        <v>45363</v>
      </c>
      <c r="B591" s="1" t="str">
        <f t="shared" si="45"/>
        <v>2024-03</v>
      </c>
      <c r="C591" t="s">
        <v>14</v>
      </c>
      <c r="D591" t="s">
        <v>24</v>
      </c>
      <c r="E591" t="s">
        <v>16</v>
      </c>
      <c r="F591" t="s">
        <v>32</v>
      </c>
      <c r="G591" s="4">
        <v>155033</v>
      </c>
      <c r="H591" s="4">
        <v>5782</v>
      </c>
      <c r="I591" s="5">
        <v>3.73E-2</v>
      </c>
      <c r="J591" s="2">
        <v>2.17</v>
      </c>
      <c r="K591" s="6">
        <v>12546.94</v>
      </c>
      <c r="L591" s="4">
        <v>248</v>
      </c>
      <c r="M591" s="2">
        <v>50.59</v>
      </c>
      <c r="N591" s="6">
        <v>71470.23</v>
      </c>
      <c r="O591" s="6">
        <f t="shared" si="46"/>
        <v>58923.289999999994</v>
      </c>
      <c r="P591" s="6">
        <f t="shared" si="47"/>
        <v>4.6962279248964283</v>
      </c>
      <c r="Q591" s="3">
        <v>5.7</v>
      </c>
      <c r="R591" t="str">
        <f t="shared" si="48"/>
        <v>High</v>
      </c>
      <c r="S591" t="str">
        <f t="shared" si="49"/>
        <v>Valid</v>
      </c>
    </row>
    <row r="592" spans="1:19" x14ac:dyDescent="0.25">
      <c r="A592" s="1">
        <v>45519</v>
      </c>
      <c r="B592" s="1" t="str">
        <f t="shared" si="45"/>
        <v>2024-08</v>
      </c>
      <c r="C592" t="s">
        <v>18</v>
      </c>
      <c r="D592" t="s">
        <v>24</v>
      </c>
      <c r="E592" t="s">
        <v>16</v>
      </c>
      <c r="F592" t="s">
        <v>27</v>
      </c>
      <c r="G592" s="4">
        <v>13562</v>
      </c>
      <c r="H592" s="4">
        <v>790</v>
      </c>
      <c r="I592" s="5">
        <v>5.8299999999999998E-2</v>
      </c>
      <c r="J592" s="2">
        <v>1.18</v>
      </c>
      <c r="K592" s="6">
        <v>932.2</v>
      </c>
      <c r="L592" s="4">
        <v>40</v>
      </c>
      <c r="M592" s="2">
        <v>23.3</v>
      </c>
      <c r="N592" s="6">
        <v>7014.55</v>
      </c>
      <c r="O592" s="6">
        <f t="shared" si="46"/>
        <v>6082.35</v>
      </c>
      <c r="P592" s="6">
        <f t="shared" si="47"/>
        <v>6.5247264535507403</v>
      </c>
      <c r="Q592" s="3">
        <v>7.52</v>
      </c>
      <c r="R592" t="str">
        <f t="shared" si="48"/>
        <v>High</v>
      </c>
      <c r="S592" t="str">
        <f t="shared" si="49"/>
        <v>Valid</v>
      </c>
    </row>
    <row r="593" spans="1:19" x14ac:dyDescent="0.25">
      <c r="A593" s="1">
        <v>45309</v>
      </c>
      <c r="B593" s="1" t="str">
        <f t="shared" si="45"/>
        <v>2024-01</v>
      </c>
      <c r="C593" t="s">
        <v>28</v>
      </c>
      <c r="D593" t="s">
        <v>24</v>
      </c>
      <c r="E593" t="s">
        <v>22</v>
      </c>
      <c r="F593" t="s">
        <v>17</v>
      </c>
      <c r="G593" s="4">
        <v>84830</v>
      </c>
      <c r="H593" s="4">
        <v>2612</v>
      </c>
      <c r="I593" s="5">
        <v>3.0800000000000001E-2</v>
      </c>
      <c r="J593" s="2">
        <v>1.98</v>
      </c>
      <c r="K593" s="6">
        <v>5171.76</v>
      </c>
      <c r="L593" s="4">
        <v>84</v>
      </c>
      <c r="M593" s="2">
        <v>61.57</v>
      </c>
      <c r="N593" s="6">
        <v>6284.59</v>
      </c>
      <c r="O593" s="6">
        <f t="shared" si="46"/>
        <v>1112.83</v>
      </c>
      <c r="P593" s="6">
        <f t="shared" si="47"/>
        <v>0.21517433136881833</v>
      </c>
      <c r="Q593" s="3">
        <v>1.22</v>
      </c>
      <c r="R593" t="str">
        <f t="shared" si="48"/>
        <v>Medium</v>
      </c>
      <c r="S593" t="str">
        <f t="shared" si="49"/>
        <v>Valid</v>
      </c>
    </row>
    <row r="594" spans="1:19" x14ac:dyDescent="0.25">
      <c r="A594" s="1">
        <v>45433</v>
      </c>
      <c r="B594" s="1" t="str">
        <f t="shared" si="45"/>
        <v>2024-05</v>
      </c>
      <c r="C594" t="s">
        <v>28</v>
      </c>
      <c r="D594" t="s">
        <v>24</v>
      </c>
      <c r="E594" t="s">
        <v>22</v>
      </c>
      <c r="F594" t="s">
        <v>26</v>
      </c>
      <c r="G594" s="4">
        <v>119427</v>
      </c>
      <c r="H594" s="4">
        <v>1146</v>
      </c>
      <c r="I594" s="5">
        <v>9.5999999999999992E-3</v>
      </c>
      <c r="J594" s="2">
        <v>1.93</v>
      </c>
      <c r="K594" s="6">
        <v>2211.7800000000002</v>
      </c>
      <c r="L594" s="4">
        <v>27</v>
      </c>
      <c r="M594" s="2">
        <v>81.92</v>
      </c>
      <c r="N594" s="6">
        <v>5094.3599999999997</v>
      </c>
      <c r="O594" s="6">
        <f t="shared" si="46"/>
        <v>2882.5799999999995</v>
      </c>
      <c r="P594" s="6">
        <f t="shared" si="47"/>
        <v>1.3032851368580958</v>
      </c>
      <c r="Q594" s="3">
        <v>2.2999999999999998</v>
      </c>
      <c r="R594" t="str">
        <f t="shared" si="48"/>
        <v>Medium</v>
      </c>
      <c r="S594" t="str">
        <f t="shared" si="49"/>
        <v>Valid</v>
      </c>
    </row>
    <row r="595" spans="1:19" x14ac:dyDescent="0.25">
      <c r="A595" s="1">
        <v>45519</v>
      </c>
      <c r="B595" s="1" t="str">
        <f t="shared" si="45"/>
        <v>2024-08</v>
      </c>
      <c r="C595" t="s">
        <v>14</v>
      </c>
      <c r="D595" t="s">
        <v>24</v>
      </c>
      <c r="E595" t="s">
        <v>19</v>
      </c>
      <c r="F595" t="s">
        <v>31</v>
      </c>
      <c r="G595" s="4">
        <v>175623</v>
      </c>
      <c r="H595" s="4">
        <v>9483</v>
      </c>
      <c r="I595" s="5">
        <v>5.3999999999999999E-2</v>
      </c>
      <c r="J595" s="2">
        <v>0.97</v>
      </c>
      <c r="K595" s="6">
        <v>9198.51</v>
      </c>
      <c r="L595" s="4">
        <v>268</v>
      </c>
      <c r="M595" s="2">
        <v>34.32</v>
      </c>
      <c r="N595" s="6">
        <v>79311.56</v>
      </c>
      <c r="O595" s="6">
        <f t="shared" si="46"/>
        <v>70113.05</v>
      </c>
      <c r="P595" s="6">
        <f t="shared" si="47"/>
        <v>7.6222181635938862</v>
      </c>
      <c r="Q595" s="3">
        <v>8.6199999999999992</v>
      </c>
      <c r="R595" t="str">
        <f t="shared" si="48"/>
        <v>High</v>
      </c>
      <c r="S595" t="str">
        <f t="shared" si="49"/>
        <v>Valid</v>
      </c>
    </row>
    <row r="596" spans="1:19" x14ac:dyDescent="0.25">
      <c r="A596" s="1">
        <v>45498</v>
      </c>
      <c r="B596" s="1" t="str">
        <f t="shared" si="45"/>
        <v>2024-07</v>
      </c>
      <c r="C596" t="s">
        <v>14</v>
      </c>
      <c r="D596" t="s">
        <v>15</v>
      </c>
      <c r="E596" t="s">
        <v>25</v>
      </c>
      <c r="F596" t="s">
        <v>32</v>
      </c>
      <c r="G596" s="4">
        <v>93919</v>
      </c>
      <c r="H596" s="4">
        <v>4968</v>
      </c>
      <c r="I596" s="5">
        <v>5.2900000000000003E-2</v>
      </c>
      <c r="J596" s="2">
        <v>2.5499999999999998</v>
      </c>
      <c r="K596" s="6">
        <v>12668.4</v>
      </c>
      <c r="L596" s="4">
        <v>308</v>
      </c>
      <c r="M596" s="2">
        <v>41.13</v>
      </c>
      <c r="N596" s="6">
        <v>66254.75</v>
      </c>
      <c r="O596" s="6">
        <f t="shared" si="46"/>
        <v>53586.35</v>
      </c>
      <c r="P596" s="6">
        <f t="shared" si="47"/>
        <v>4.229922484291623</v>
      </c>
      <c r="Q596" s="3">
        <v>5.23</v>
      </c>
      <c r="R596" t="str">
        <f t="shared" si="48"/>
        <v>High</v>
      </c>
      <c r="S596" t="str">
        <f t="shared" si="49"/>
        <v>Valid</v>
      </c>
    </row>
    <row r="597" spans="1:19" x14ac:dyDescent="0.25">
      <c r="A597" s="1">
        <v>45600</v>
      </c>
      <c r="B597" s="1" t="str">
        <f t="shared" si="45"/>
        <v>2024-11</v>
      </c>
      <c r="C597" t="s">
        <v>18</v>
      </c>
      <c r="D597" t="s">
        <v>29</v>
      </c>
      <c r="E597" t="s">
        <v>16</v>
      </c>
      <c r="F597" t="s">
        <v>17</v>
      </c>
      <c r="G597" s="4">
        <v>46190</v>
      </c>
      <c r="H597" s="4">
        <v>3030</v>
      </c>
      <c r="I597" s="5">
        <v>6.5600000000000006E-2</v>
      </c>
      <c r="J597" s="2">
        <v>0.42</v>
      </c>
      <c r="K597" s="6">
        <v>1272.5999999999999</v>
      </c>
      <c r="L597" s="4">
        <v>183</v>
      </c>
      <c r="M597" s="2">
        <v>6.95</v>
      </c>
      <c r="N597" s="6">
        <v>38945.83</v>
      </c>
      <c r="O597" s="6">
        <f t="shared" si="46"/>
        <v>37673.230000000003</v>
      </c>
      <c r="P597" s="6">
        <f t="shared" si="47"/>
        <v>29.603355335533557</v>
      </c>
      <c r="Q597" s="3">
        <v>30.6</v>
      </c>
      <c r="R597" t="str">
        <f t="shared" si="48"/>
        <v>High</v>
      </c>
      <c r="S597" t="str">
        <f t="shared" si="49"/>
        <v>Valid</v>
      </c>
    </row>
    <row r="598" spans="1:19" x14ac:dyDescent="0.25">
      <c r="A598" s="1">
        <v>45594</v>
      </c>
      <c r="B598" s="1" t="str">
        <f t="shared" si="45"/>
        <v>2024-10</v>
      </c>
      <c r="C598" t="s">
        <v>28</v>
      </c>
      <c r="D598" t="s">
        <v>29</v>
      </c>
      <c r="E598" t="s">
        <v>22</v>
      </c>
      <c r="F598" t="s">
        <v>32</v>
      </c>
      <c r="G598" s="4">
        <v>152996</v>
      </c>
      <c r="H598" s="4">
        <v>3136</v>
      </c>
      <c r="I598" s="5">
        <v>2.0500000000000001E-2</v>
      </c>
      <c r="J598" s="2">
        <v>1.79</v>
      </c>
      <c r="K598" s="6">
        <v>5613.44</v>
      </c>
      <c r="L598" s="4">
        <v>82</v>
      </c>
      <c r="M598" s="2">
        <v>68.459999999999994</v>
      </c>
      <c r="N598" s="6">
        <v>6472.17</v>
      </c>
      <c r="O598" s="6">
        <f t="shared" si="46"/>
        <v>858.73000000000047</v>
      </c>
      <c r="P598" s="6">
        <f t="shared" si="47"/>
        <v>0.15297749686466774</v>
      </c>
      <c r="Q598" s="3">
        <v>1.1499999999999999</v>
      </c>
      <c r="R598" t="str">
        <f t="shared" si="48"/>
        <v>Medium</v>
      </c>
      <c r="S598" t="str">
        <f t="shared" si="49"/>
        <v>Valid</v>
      </c>
    </row>
    <row r="599" spans="1:19" x14ac:dyDescent="0.25">
      <c r="A599" s="1">
        <v>45446</v>
      </c>
      <c r="B599" s="1" t="str">
        <f t="shared" si="45"/>
        <v>2024-06</v>
      </c>
      <c r="C599" t="s">
        <v>18</v>
      </c>
      <c r="D599" t="s">
        <v>24</v>
      </c>
      <c r="E599" t="s">
        <v>30</v>
      </c>
      <c r="F599" t="s">
        <v>17</v>
      </c>
      <c r="G599" s="4">
        <v>62600</v>
      </c>
      <c r="H599" s="4">
        <v>3142</v>
      </c>
      <c r="I599" s="5">
        <v>5.0200000000000002E-2</v>
      </c>
      <c r="J599" s="2">
        <v>0.71</v>
      </c>
      <c r="K599" s="6">
        <v>2230.8200000000002</v>
      </c>
      <c r="L599" s="4">
        <v>245</v>
      </c>
      <c r="M599" s="2">
        <v>9.11</v>
      </c>
      <c r="N599" s="6">
        <v>17495.080000000002</v>
      </c>
      <c r="O599" s="6">
        <f t="shared" si="46"/>
        <v>15264.260000000002</v>
      </c>
      <c r="P599" s="6">
        <f t="shared" si="47"/>
        <v>6.8424435857666692</v>
      </c>
      <c r="Q599" s="3">
        <v>7.84</v>
      </c>
      <c r="R599" t="str">
        <f t="shared" si="48"/>
        <v>High</v>
      </c>
      <c r="S599" t="str">
        <f t="shared" si="49"/>
        <v>Valid</v>
      </c>
    </row>
    <row r="600" spans="1:19" x14ac:dyDescent="0.25">
      <c r="A600" s="1">
        <v>45351</v>
      </c>
      <c r="B600" s="1" t="str">
        <f t="shared" si="45"/>
        <v>2024-02</v>
      </c>
      <c r="C600" t="s">
        <v>28</v>
      </c>
      <c r="D600" t="s">
        <v>15</v>
      </c>
      <c r="E600" t="s">
        <v>30</v>
      </c>
      <c r="F600" t="s">
        <v>17</v>
      </c>
      <c r="G600" s="4">
        <v>36127</v>
      </c>
      <c r="H600" s="4">
        <v>610</v>
      </c>
      <c r="I600" s="5">
        <v>1.6899999999999998E-2</v>
      </c>
      <c r="J600" s="2">
        <v>1.1100000000000001</v>
      </c>
      <c r="K600" s="6">
        <v>677.1</v>
      </c>
      <c r="L600" s="4">
        <v>45</v>
      </c>
      <c r="M600" s="2">
        <v>15.05</v>
      </c>
      <c r="N600" s="6">
        <v>6906.4</v>
      </c>
      <c r="O600" s="6">
        <f t="shared" si="46"/>
        <v>6229.2999999999993</v>
      </c>
      <c r="P600" s="6">
        <f t="shared" si="47"/>
        <v>9.1999704622655436</v>
      </c>
      <c r="Q600" s="3">
        <v>10.199999999999999</v>
      </c>
      <c r="R600" t="str">
        <f t="shared" si="48"/>
        <v>High</v>
      </c>
      <c r="S600" t="str">
        <f t="shared" si="49"/>
        <v>Valid</v>
      </c>
    </row>
    <row r="601" spans="1:19" x14ac:dyDescent="0.25">
      <c r="A601" s="1">
        <v>45410</v>
      </c>
      <c r="B601" s="1" t="str">
        <f t="shared" si="45"/>
        <v>2024-04</v>
      </c>
      <c r="C601" t="s">
        <v>18</v>
      </c>
      <c r="D601" t="s">
        <v>21</v>
      </c>
      <c r="E601" t="s">
        <v>19</v>
      </c>
      <c r="F601" t="s">
        <v>31</v>
      </c>
      <c r="G601" s="4">
        <v>110940</v>
      </c>
      <c r="H601" s="4">
        <v>6512</v>
      </c>
      <c r="I601" s="5">
        <v>5.8700000000000002E-2</v>
      </c>
      <c r="J601" s="2">
        <v>1.41</v>
      </c>
      <c r="K601" s="6">
        <v>9181.92</v>
      </c>
      <c r="L601" s="4">
        <v>108</v>
      </c>
      <c r="M601" s="2">
        <v>85.02</v>
      </c>
      <c r="N601" s="6">
        <v>14612.87</v>
      </c>
      <c r="O601" s="6">
        <f t="shared" si="46"/>
        <v>5430.9500000000007</v>
      </c>
      <c r="P601" s="6">
        <f t="shared" si="47"/>
        <v>0.59148304494049186</v>
      </c>
      <c r="Q601" s="3">
        <v>1.59</v>
      </c>
      <c r="R601" t="str">
        <f t="shared" si="48"/>
        <v>Medium</v>
      </c>
      <c r="S601" t="str">
        <f t="shared" si="49"/>
        <v>Valid</v>
      </c>
    </row>
    <row r="602" spans="1:19" x14ac:dyDescent="0.25">
      <c r="A602" s="1">
        <v>45383</v>
      </c>
      <c r="B602" s="1" t="str">
        <f t="shared" si="45"/>
        <v>2024-04</v>
      </c>
      <c r="C602" t="s">
        <v>28</v>
      </c>
      <c r="D602" t="s">
        <v>15</v>
      </c>
      <c r="E602" t="s">
        <v>30</v>
      </c>
      <c r="F602" t="s">
        <v>20</v>
      </c>
      <c r="G602" s="4">
        <v>91332</v>
      </c>
      <c r="H602" s="4">
        <v>3762</v>
      </c>
      <c r="I602" s="5">
        <v>4.1200000000000001E-2</v>
      </c>
      <c r="J602" s="2">
        <v>0.65</v>
      </c>
      <c r="K602" s="6">
        <v>2445.3000000000002</v>
      </c>
      <c r="L602" s="4">
        <v>125</v>
      </c>
      <c r="M602" s="2">
        <v>19.559999999999999</v>
      </c>
      <c r="N602" s="6">
        <v>31285.11</v>
      </c>
      <c r="O602" s="6">
        <f t="shared" si="46"/>
        <v>28839.81</v>
      </c>
      <c r="P602" s="6">
        <f t="shared" si="47"/>
        <v>11.793976199239356</v>
      </c>
      <c r="Q602" s="3">
        <v>12.79</v>
      </c>
      <c r="R602" t="str">
        <f t="shared" si="48"/>
        <v>High</v>
      </c>
      <c r="S602" t="str">
        <f t="shared" si="49"/>
        <v>Valid</v>
      </c>
    </row>
    <row r="603" spans="1:19" x14ac:dyDescent="0.25">
      <c r="A603" s="1">
        <v>45531</v>
      </c>
      <c r="B603" s="1" t="str">
        <f t="shared" si="45"/>
        <v>2024-08</v>
      </c>
      <c r="C603" t="s">
        <v>18</v>
      </c>
      <c r="D603" t="s">
        <v>21</v>
      </c>
      <c r="E603" t="s">
        <v>19</v>
      </c>
      <c r="F603" t="s">
        <v>17</v>
      </c>
      <c r="G603" s="4">
        <v>149526</v>
      </c>
      <c r="H603" s="4">
        <v>4321</v>
      </c>
      <c r="I603" s="5">
        <v>2.8899999999999999E-2</v>
      </c>
      <c r="J603" s="2">
        <v>0.78</v>
      </c>
      <c r="K603" s="6">
        <v>3370.38</v>
      </c>
      <c r="L603" s="4">
        <v>120</v>
      </c>
      <c r="M603" s="2">
        <v>28.09</v>
      </c>
      <c r="N603" s="6">
        <v>25118.55</v>
      </c>
      <c r="O603" s="6">
        <f t="shared" si="46"/>
        <v>21748.17</v>
      </c>
      <c r="P603" s="6">
        <f t="shared" si="47"/>
        <v>6.4527352998771645</v>
      </c>
      <c r="Q603" s="3">
        <v>7.45</v>
      </c>
      <c r="R603" t="str">
        <f t="shared" si="48"/>
        <v>High</v>
      </c>
      <c r="S603" t="str">
        <f t="shared" si="49"/>
        <v>Valid</v>
      </c>
    </row>
    <row r="604" spans="1:19" x14ac:dyDescent="0.25">
      <c r="A604" s="1">
        <v>45411</v>
      </c>
      <c r="B604" s="1" t="str">
        <f t="shared" si="45"/>
        <v>2024-04</v>
      </c>
      <c r="C604" t="s">
        <v>28</v>
      </c>
      <c r="D604" t="s">
        <v>15</v>
      </c>
      <c r="E604" t="s">
        <v>22</v>
      </c>
      <c r="F604" t="s">
        <v>23</v>
      </c>
      <c r="G604" s="4">
        <v>77746</v>
      </c>
      <c r="H604" s="4">
        <v>2861</v>
      </c>
      <c r="I604" s="5">
        <v>3.6799999999999999E-2</v>
      </c>
      <c r="J604" s="2">
        <v>1.04</v>
      </c>
      <c r="K604" s="6">
        <v>2975.44</v>
      </c>
      <c r="L604" s="4">
        <v>82</v>
      </c>
      <c r="M604" s="2">
        <v>36.29</v>
      </c>
      <c r="N604" s="6">
        <v>21523.93</v>
      </c>
      <c r="O604" s="6">
        <f t="shared" si="46"/>
        <v>18548.490000000002</v>
      </c>
      <c r="P604" s="6">
        <f t="shared" si="47"/>
        <v>6.2338645712902974</v>
      </c>
      <c r="Q604" s="3">
        <v>7.23</v>
      </c>
      <c r="R604" t="str">
        <f t="shared" si="48"/>
        <v>High</v>
      </c>
      <c r="S604" t="str">
        <f t="shared" si="49"/>
        <v>Valid</v>
      </c>
    </row>
    <row r="605" spans="1:19" x14ac:dyDescent="0.25">
      <c r="A605" s="1">
        <v>45399</v>
      </c>
      <c r="B605" s="1" t="str">
        <f t="shared" si="45"/>
        <v>2024-04</v>
      </c>
      <c r="C605" t="s">
        <v>14</v>
      </c>
      <c r="D605" t="s">
        <v>21</v>
      </c>
      <c r="E605" t="s">
        <v>22</v>
      </c>
      <c r="F605" t="s">
        <v>20</v>
      </c>
      <c r="G605" s="4">
        <v>105804</v>
      </c>
      <c r="H605" s="4">
        <v>3110</v>
      </c>
      <c r="I605" s="5">
        <v>2.9399999999999999E-2</v>
      </c>
      <c r="J605" s="2">
        <v>0.97</v>
      </c>
      <c r="K605" s="6">
        <v>3016.7</v>
      </c>
      <c r="L605" s="4">
        <v>200</v>
      </c>
      <c r="M605" s="2">
        <v>15.08</v>
      </c>
      <c r="N605" s="6">
        <v>49067.29</v>
      </c>
      <c r="O605" s="6">
        <f t="shared" si="46"/>
        <v>46050.590000000004</v>
      </c>
      <c r="P605" s="6">
        <f t="shared" si="47"/>
        <v>15.265220273809131</v>
      </c>
      <c r="Q605" s="3">
        <v>16.27</v>
      </c>
      <c r="R605" t="str">
        <f t="shared" si="48"/>
        <v>High</v>
      </c>
      <c r="S605" t="str">
        <f t="shared" si="49"/>
        <v>Valid</v>
      </c>
    </row>
    <row r="606" spans="1:19" x14ac:dyDescent="0.25">
      <c r="A606" s="1">
        <v>45550</v>
      </c>
      <c r="B606" s="1" t="str">
        <f t="shared" si="45"/>
        <v>2024-09</v>
      </c>
      <c r="C606" t="s">
        <v>28</v>
      </c>
      <c r="D606" t="s">
        <v>21</v>
      </c>
      <c r="E606" t="s">
        <v>16</v>
      </c>
      <c r="F606" t="s">
        <v>26</v>
      </c>
      <c r="G606" s="4">
        <v>37599</v>
      </c>
      <c r="H606" s="4">
        <v>1225</v>
      </c>
      <c r="I606" s="5">
        <v>3.2599999999999997E-2</v>
      </c>
      <c r="J606" s="2">
        <v>1.3</v>
      </c>
      <c r="K606" s="6">
        <v>1592.5</v>
      </c>
      <c r="L606" s="4">
        <v>73</v>
      </c>
      <c r="M606" s="2">
        <v>21.82</v>
      </c>
      <c r="N606" s="6">
        <v>19164.89</v>
      </c>
      <c r="O606" s="6">
        <f t="shared" si="46"/>
        <v>17572.39</v>
      </c>
      <c r="P606" s="6">
        <f t="shared" si="47"/>
        <v>11.034467817896388</v>
      </c>
      <c r="Q606" s="3">
        <v>12.03</v>
      </c>
      <c r="R606" t="str">
        <f t="shared" si="48"/>
        <v>High</v>
      </c>
      <c r="S606" t="str">
        <f t="shared" si="49"/>
        <v>Valid</v>
      </c>
    </row>
    <row r="607" spans="1:19" x14ac:dyDescent="0.25">
      <c r="A607" s="1">
        <v>45396</v>
      </c>
      <c r="B607" s="1" t="str">
        <f t="shared" si="45"/>
        <v>2024-04</v>
      </c>
      <c r="C607" t="s">
        <v>14</v>
      </c>
      <c r="D607" t="s">
        <v>24</v>
      </c>
      <c r="E607" t="s">
        <v>30</v>
      </c>
      <c r="F607" t="s">
        <v>31</v>
      </c>
      <c r="G607" s="4">
        <v>9791</v>
      </c>
      <c r="H607" s="4">
        <v>519</v>
      </c>
      <c r="I607" s="5">
        <v>5.3100000000000001E-2</v>
      </c>
      <c r="J607" s="2">
        <v>3.95</v>
      </c>
      <c r="K607" s="6">
        <v>2050.0500000000002</v>
      </c>
      <c r="L607" s="4">
        <v>40</v>
      </c>
      <c r="M607" s="2">
        <v>51.25</v>
      </c>
      <c r="N607" s="6">
        <v>2255.2399999999998</v>
      </c>
      <c r="O607" s="6">
        <f t="shared" si="46"/>
        <v>205.1899999999996</v>
      </c>
      <c r="P607" s="6">
        <f t="shared" si="47"/>
        <v>0.10009024170142171</v>
      </c>
      <c r="Q607" s="3">
        <v>1.1000000000000001</v>
      </c>
      <c r="R607" t="str">
        <f t="shared" si="48"/>
        <v>Medium</v>
      </c>
      <c r="S607" t="str">
        <f t="shared" si="49"/>
        <v>Valid</v>
      </c>
    </row>
    <row r="608" spans="1:19" x14ac:dyDescent="0.25">
      <c r="A608" s="1">
        <v>45351</v>
      </c>
      <c r="B608" s="1" t="str">
        <f t="shared" si="45"/>
        <v>2024-02</v>
      </c>
      <c r="C608" t="s">
        <v>14</v>
      </c>
      <c r="D608" t="s">
        <v>15</v>
      </c>
      <c r="E608" t="s">
        <v>22</v>
      </c>
      <c r="F608" t="s">
        <v>23</v>
      </c>
      <c r="G608" s="4">
        <v>34802</v>
      </c>
      <c r="H608" s="4">
        <v>1708</v>
      </c>
      <c r="I608" s="5">
        <v>4.9099999999999998E-2</v>
      </c>
      <c r="J608" s="2">
        <v>2.9</v>
      </c>
      <c r="K608" s="6">
        <v>4953.2</v>
      </c>
      <c r="L608" s="4">
        <v>72</v>
      </c>
      <c r="M608" s="2">
        <v>68.790000000000006</v>
      </c>
      <c r="N608" s="6">
        <v>6827.25</v>
      </c>
      <c r="O608" s="6">
        <f t="shared" si="46"/>
        <v>1874.0500000000002</v>
      </c>
      <c r="P608" s="6">
        <f t="shared" si="47"/>
        <v>0.37835136881208115</v>
      </c>
      <c r="Q608" s="3">
        <v>1.38</v>
      </c>
      <c r="R608" t="str">
        <f t="shared" si="48"/>
        <v>Medium</v>
      </c>
      <c r="S608" t="str">
        <f t="shared" si="49"/>
        <v>Valid</v>
      </c>
    </row>
    <row r="609" spans="1:19" x14ac:dyDescent="0.25">
      <c r="A609" s="1">
        <v>45582</v>
      </c>
      <c r="B609" s="1" t="str">
        <f t="shared" si="45"/>
        <v>2024-10</v>
      </c>
      <c r="C609" t="s">
        <v>18</v>
      </c>
      <c r="D609" t="s">
        <v>29</v>
      </c>
      <c r="E609" t="s">
        <v>22</v>
      </c>
      <c r="F609" t="s">
        <v>31</v>
      </c>
      <c r="G609" s="4">
        <v>81394</v>
      </c>
      <c r="H609" s="4">
        <v>5192</v>
      </c>
      <c r="I609" s="5">
        <v>6.3799999999999996E-2</v>
      </c>
      <c r="J609" s="2">
        <v>0.94</v>
      </c>
      <c r="K609" s="6">
        <v>4880.4799999999996</v>
      </c>
      <c r="L609" s="4">
        <v>253</v>
      </c>
      <c r="M609" s="2">
        <v>19.29</v>
      </c>
      <c r="N609" s="6">
        <v>41499.01</v>
      </c>
      <c r="O609" s="6">
        <f t="shared" si="46"/>
        <v>36618.53</v>
      </c>
      <c r="P609" s="6">
        <f t="shared" si="47"/>
        <v>7.5030591253319354</v>
      </c>
      <c r="Q609" s="3">
        <v>8.5</v>
      </c>
      <c r="R609" t="str">
        <f t="shared" si="48"/>
        <v>High</v>
      </c>
      <c r="S609" t="str">
        <f t="shared" si="49"/>
        <v>Valid</v>
      </c>
    </row>
    <row r="610" spans="1:19" x14ac:dyDescent="0.25">
      <c r="A610" s="1">
        <v>45541</v>
      </c>
      <c r="B610" s="1" t="str">
        <f t="shared" si="45"/>
        <v>2024-09</v>
      </c>
      <c r="C610" t="s">
        <v>14</v>
      </c>
      <c r="D610" t="s">
        <v>24</v>
      </c>
      <c r="E610" t="s">
        <v>30</v>
      </c>
      <c r="F610" t="s">
        <v>26</v>
      </c>
      <c r="G610" s="4">
        <v>101299</v>
      </c>
      <c r="H610" s="4">
        <v>3504</v>
      </c>
      <c r="I610" s="5">
        <v>3.4599999999999999E-2</v>
      </c>
      <c r="J610" s="2">
        <v>1.8</v>
      </c>
      <c r="K610" s="6">
        <v>6307.2</v>
      </c>
      <c r="L610" s="4">
        <v>250</v>
      </c>
      <c r="M610" s="2">
        <v>25.23</v>
      </c>
      <c r="N610" s="6">
        <v>36776.35</v>
      </c>
      <c r="O610" s="6">
        <f t="shared" si="46"/>
        <v>30469.149999999998</v>
      </c>
      <c r="P610" s="6">
        <f t="shared" si="47"/>
        <v>4.8308520421106032</v>
      </c>
      <c r="Q610" s="3">
        <v>5.83</v>
      </c>
      <c r="R610" t="str">
        <f t="shared" si="48"/>
        <v>High</v>
      </c>
      <c r="S610" t="str">
        <f t="shared" si="49"/>
        <v>Valid</v>
      </c>
    </row>
    <row r="611" spans="1:19" x14ac:dyDescent="0.25">
      <c r="A611" s="1">
        <v>45534</v>
      </c>
      <c r="B611" s="1" t="str">
        <f t="shared" si="45"/>
        <v>2024-08</v>
      </c>
      <c r="C611" t="s">
        <v>28</v>
      </c>
      <c r="D611" t="s">
        <v>21</v>
      </c>
      <c r="E611" t="s">
        <v>22</v>
      </c>
      <c r="F611" t="s">
        <v>26</v>
      </c>
      <c r="G611" s="4">
        <v>140431</v>
      </c>
      <c r="H611" s="4">
        <v>1544</v>
      </c>
      <c r="I611" s="5">
        <v>1.0999999999999999E-2</v>
      </c>
      <c r="J611" s="2">
        <v>0.52</v>
      </c>
      <c r="K611" s="6">
        <v>802.88</v>
      </c>
      <c r="L611" s="4">
        <v>74</v>
      </c>
      <c r="M611" s="2">
        <v>10.85</v>
      </c>
      <c r="N611" s="6">
        <v>2904.54</v>
      </c>
      <c r="O611" s="6">
        <f t="shared" si="46"/>
        <v>2101.66</v>
      </c>
      <c r="P611" s="6">
        <f t="shared" si="47"/>
        <v>2.6176514547628535</v>
      </c>
      <c r="Q611" s="3">
        <v>3.62</v>
      </c>
      <c r="R611" t="str">
        <f t="shared" si="48"/>
        <v>High</v>
      </c>
      <c r="S611" t="str">
        <f t="shared" si="49"/>
        <v>Valid</v>
      </c>
    </row>
    <row r="612" spans="1:19" x14ac:dyDescent="0.25">
      <c r="A612" s="1">
        <v>45447</v>
      </c>
      <c r="B612" s="1" t="str">
        <f t="shared" si="45"/>
        <v>2024-06</v>
      </c>
      <c r="C612" t="s">
        <v>14</v>
      </c>
      <c r="D612" t="s">
        <v>21</v>
      </c>
      <c r="E612" t="s">
        <v>25</v>
      </c>
      <c r="F612" t="s">
        <v>27</v>
      </c>
      <c r="G612" s="4">
        <v>113368</v>
      </c>
      <c r="H612" s="4">
        <v>5260</v>
      </c>
      <c r="I612" s="5">
        <v>4.6399999999999997E-2</v>
      </c>
      <c r="J612" s="2">
        <v>1.31</v>
      </c>
      <c r="K612" s="6">
        <v>6890.6</v>
      </c>
      <c r="L612" s="4">
        <v>168</v>
      </c>
      <c r="M612" s="2">
        <v>41.02</v>
      </c>
      <c r="N612" s="6">
        <v>8983.58</v>
      </c>
      <c r="O612" s="6">
        <f t="shared" si="46"/>
        <v>2092.9799999999996</v>
      </c>
      <c r="P612" s="6">
        <f t="shared" si="47"/>
        <v>0.30374423127158728</v>
      </c>
      <c r="Q612" s="3">
        <v>1.3</v>
      </c>
      <c r="R612" t="str">
        <f t="shared" si="48"/>
        <v>Medium</v>
      </c>
      <c r="S612" t="str">
        <f t="shared" si="49"/>
        <v>Valid</v>
      </c>
    </row>
    <row r="613" spans="1:19" x14ac:dyDescent="0.25">
      <c r="A613" s="1">
        <v>45461</v>
      </c>
      <c r="B613" s="1" t="str">
        <f t="shared" si="45"/>
        <v>2024-06</v>
      </c>
      <c r="C613" t="s">
        <v>14</v>
      </c>
      <c r="D613" t="s">
        <v>29</v>
      </c>
      <c r="E613" t="s">
        <v>30</v>
      </c>
      <c r="F613" t="s">
        <v>26</v>
      </c>
      <c r="G613" s="4">
        <v>89263</v>
      </c>
      <c r="H613" s="4">
        <v>3695</v>
      </c>
      <c r="I613" s="5">
        <v>4.1399999999999999E-2</v>
      </c>
      <c r="J613" s="2">
        <v>1.77</v>
      </c>
      <c r="K613" s="6">
        <v>6540.15</v>
      </c>
      <c r="L613" s="4">
        <v>155</v>
      </c>
      <c r="M613" s="2">
        <v>42.19</v>
      </c>
      <c r="N613" s="6">
        <v>19291.23</v>
      </c>
      <c r="O613" s="6">
        <f t="shared" si="46"/>
        <v>12751.08</v>
      </c>
      <c r="P613" s="6">
        <f t="shared" si="47"/>
        <v>1.9496617050067659</v>
      </c>
      <c r="Q613" s="3">
        <v>2.95</v>
      </c>
      <c r="R613" t="str">
        <f t="shared" si="48"/>
        <v>Medium</v>
      </c>
      <c r="S613" t="str">
        <f t="shared" si="49"/>
        <v>Valid</v>
      </c>
    </row>
    <row r="614" spans="1:19" x14ac:dyDescent="0.25">
      <c r="A614" s="1">
        <v>45505</v>
      </c>
      <c r="B614" s="1" t="str">
        <f t="shared" si="45"/>
        <v>2024-08</v>
      </c>
      <c r="C614" t="s">
        <v>28</v>
      </c>
      <c r="D614" t="s">
        <v>29</v>
      </c>
      <c r="E614" t="s">
        <v>30</v>
      </c>
      <c r="F614" t="s">
        <v>23</v>
      </c>
      <c r="G614" s="4">
        <v>168947</v>
      </c>
      <c r="H614" s="4">
        <v>4510</v>
      </c>
      <c r="I614" s="5">
        <v>2.6700000000000002E-2</v>
      </c>
      <c r="J614" s="2">
        <v>1.94</v>
      </c>
      <c r="K614" s="6">
        <v>8749.4</v>
      </c>
      <c r="L614" s="4">
        <v>179</v>
      </c>
      <c r="M614" s="2">
        <v>48.88</v>
      </c>
      <c r="N614" s="6">
        <v>48341.14</v>
      </c>
      <c r="O614" s="6">
        <f t="shared" si="46"/>
        <v>39591.74</v>
      </c>
      <c r="P614" s="6">
        <f t="shared" si="47"/>
        <v>4.5250805769538482</v>
      </c>
      <c r="Q614" s="3">
        <v>5.53</v>
      </c>
      <c r="R614" t="str">
        <f t="shared" si="48"/>
        <v>High</v>
      </c>
      <c r="S614" t="str">
        <f t="shared" si="49"/>
        <v>Valid</v>
      </c>
    </row>
    <row r="615" spans="1:19" x14ac:dyDescent="0.25">
      <c r="A615" s="1">
        <v>45456</v>
      </c>
      <c r="B615" s="1" t="str">
        <f t="shared" si="45"/>
        <v>2024-06</v>
      </c>
      <c r="C615" t="s">
        <v>18</v>
      </c>
      <c r="D615" t="s">
        <v>15</v>
      </c>
      <c r="E615" t="s">
        <v>19</v>
      </c>
      <c r="F615" t="s">
        <v>17</v>
      </c>
      <c r="G615" s="4">
        <v>139511</v>
      </c>
      <c r="H615" s="4">
        <v>8384</v>
      </c>
      <c r="I615" s="5">
        <v>6.0100000000000001E-2</v>
      </c>
      <c r="J615" s="2">
        <v>1.35</v>
      </c>
      <c r="K615" s="6">
        <v>11318.4</v>
      </c>
      <c r="L615" s="4">
        <v>209</v>
      </c>
      <c r="M615" s="2">
        <v>54.16</v>
      </c>
      <c r="N615" s="6">
        <v>26357.3</v>
      </c>
      <c r="O615" s="6">
        <f t="shared" si="46"/>
        <v>15038.9</v>
      </c>
      <c r="P615" s="6">
        <f t="shared" si="47"/>
        <v>1.3287125388747527</v>
      </c>
      <c r="Q615" s="3">
        <v>2.33</v>
      </c>
      <c r="R615" t="str">
        <f t="shared" si="48"/>
        <v>Medium</v>
      </c>
      <c r="S615" t="str">
        <f t="shared" si="49"/>
        <v>Valid</v>
      </c>
    </row>
    <row r="616" spans="1:19" x14ac:dyDescent="0.25">
      <c r="A616" s="1">
        <v>45547</v>
      </c>
      <c r="B616" s="1" t="str">
        <f t="shared" si="45"/>
        <v>2024-09</v>
      </c>
      <c r="C616" t="s">
        <v>14</v>
      </c>
      <c r="D616" t="s">
        <v>15</v>
      </c>
      <c r="E616" t="s">
        <v>16</v>
      </c>
      <c r="F616" t="s">
        <v>20</v>
      </c>
      <c r="G616" s="4">
        <v>25927</v>
      </c>
      <c r="H616" s="4">
        <v>1501</v>
      </c>
      <c r="I616" s="5">
        <v>5.79E-2</v>
      </c>
      <c r="J616" s="2">
        <v>1.01</v>
      </c>
      <c r="K616" s="6">
        <v>1516.01</v>
      </c>
      <c r="L616" s="4">
        <v>44</v>
      </c>
      <c r="M616" s="2">
        <v>34.450000000000003</v>
      </c>
      <c r="N616" s="6">
        <v>4091.03</v>
      </c>
      <c r="O616" s="6">
        <f t="shared" si="46"/>
        <v>2575.0200000000004</v>
      </c>
      <c r="P616" s="6">
        <f t="shared" si="47"/>
        <v>1.6985508011160879</v>
      </c>
      <c r="Q616" s="3">
        <v>2.7</v>
      </c>
      <c r="R616" t="str">
        <f t="shared" si="48"/>
        <v>Medium</v>
      </c>
      <c r="S616" t="str">
        <f t="shared" si="49"/>
        <v>Valid</v>
      </c>
    </row>
    <row r="617" spans="1:19" x14ac:dyDescent="0.25">
      <c r="A617" s="1">
        <v>45616</v>
      </c>
      <c r="B617" s="1" t="str">
        <f t="shared" si="45"/>
        <v>2024-11</v>
      </c>
      <c r="C617" t="s">
        <v>28</v>
      </c>
      <c r="D617" t="s">
        <v>24</v>
      </c>
      <c r="E617" t="s">
        <v>30</v>
      </c>
      <c r="F617" t="s">
        <v>26</v>
      </c>
      <c r="G617" s="4">
        <v>165322</v>
      </c>
      <c r="H617" s="4">
        <v>4529</v>
      </c>
      <c r="I617" s="5">
        <v>2.7400000000000001E-2</v>
      </c>
      <c r="J617" s="2">
        <v>1.73</v>
      </c>
      <c r="K617" s="6">
        <v>7835.17</v>
      </c>
      <c r="L617" s="4">
        <v>167</v>
      </c>
      <c r="M617" s="2">
        <v>46.92</v>
      </c>
      <c r="N617" s="6">
        <v>38358.92</v>
      </c>
      <c r="O617" s="6">
        <f t="shared" si="46"/>
        <v>30523.75</v>
      </c>
      <c r="P617" s="6">
        <f t="shared" si="47"/>
        <v>3.8957355105249789</v>
      </c>
      <c r="Q617" s="3">
        <v>4.9000000000000004</v>
      </c>
      <c r="R617" t="str">
        <f t="shared" si="48"/>
        <v>High</v>
      </c>
      <c r="S617" t="str">
        <f t="shared" si="49"/>
        <v>Valid</v>
      </c>
    </row>
    <row r="618" spans="1:19" x14ac:dyDescent="0.25">
      <c r="A618" s="1">
        <v>45639</v>
      </c>
      <c r="B618" s="1" t="str">
        <f t="shared" si="45"/>
        <v>2024-12</v>
      </c>
      <c r="C618" t="s">
        <v>28</v>
      </c>
      <c r="D618" t="s">
        <v>21</v>
      </c>
      <c r="E618" t="s">
        <v>22</v>
      </c>
      <c r="F618" t="s">
        <v>31</v>
      </c>
      <c r="G618" s="4">
        <v>149542</v>
      </c>
      <c r="H618" s="4">
        <v>2497</v>
      </c>
      <c r="I618" s="5">
        <v>1.67E-2</v>
      </c>
      <c r="J618" s="2">
        <v>1.04</v>
      </c>
      <c r="K618" s="6">
        <v>2596.88</v>
      </c>
      <c r="L618" s="4">
        <v>70</v>
      </c>
      <c r="M618" s="2">
        <v>37.1</v>
      </c>
      <c r="N618" s="6">
        <v>12612.87</v>
      </c>
      <c r="O618" s="6">
        <f t="shared" si="46"/>
        <v>10015.990000000002</v>
      </c>
      <c r="P618" s="6">
        <f t="shared" si="47"/>
        <v>3.8569321647515484</v>
      </c>
      <c r="Q618" s="3">
        <v>4.8600000000000003</v>
      </c>
      <c r="R618" t="str">
        <f t="shared" si="48"/>
        <v>High</v>
      </c>
      <c r="S618" t="str">
        <f t="shared" si="49"/>
        <v>Valid</v>
      </c>
    </row>
    <row r="619" spans="1:19" x14ac:dyDescent="0.25">
      <c r="A619" s="1">
        <v>45552</v>
      </c>
      <c r="B619" s="1" t="str">
        <f t="shared" si="45"/>
        <v>2024-09</v>
      </c>
      <c r="C619" t="s">
        <v>28</v>
      </c>
      <c r="D619" t="s">
        <v>21</v>
      </c>
      <c r="E619" t="s">
        <v>22</v>
      </c>
      <c r="F619" t="s">
        <v>20</v>
      </c>
      <c r="G619" s="4">
        <v>20021</v>
      </c>
      <c r="H619" s="4">
        <v>462</v>
      </c>
      <c r="I619" s="5">
        <v>2.3099999999999999E-2</v>
      </c>
      <c r="J619" s="2">
        <v>1.57</v>
      </c>
      <c r="K619" s="6">
        <v>725.34</v>
      </c>
      <c r="L619" s="4">
        <v>20</v>
      </c>
      <c r="M619" s="2">
        <v>36.270000000000003</v>
      </c>
      <c r="N619" s="6">
        <v>4554.08</v>
      </c>
      <c r="O619" s="6">
        <f t="shared" si="46"/>
        <v>3828.74</v>
      </c>
      <c r="P619" s="6">
        <f t="shared" si="47"/>
        <v>5.278545233959246</v>
      </c>
      <c r="Q619" s="3">
        <v>6.28</v>
      </c>
      <c r="R619" t="str">
        <f t="shared" si="48"/>
        <v>High</v>
      </c>
      <c r="S619" t="str">
        <f t="shared" si="49"/>
        <v>Valid</v>
      </c>
    </row>
    <row r="620" spans="1:19" x14ac:dyDescent="0.25">
      <c r="A620" s="1">
        <v>45307</v>
      </c>
      <c r="B620" s="1" t="str">
        <f t="shared" si="45"/>
        <v>2024-01</v>
      </c>
      <c r="C620" t="s">
        <v>14</v>
      </c>
      <c r="D620" t="s">
        <v>24</v>
      </c>
      <c r="E620" t="s">
        <v>25</v>
      </c>
      <c r="F620" t="s">
        <v>17</v>
      </c>
      <c r="G620" s="4">
        <v>31783</v>
      </c>
      <c r="H620" s="4">
        <v>781</v>
      </c>
      <c r="I620" s="5">
        <v>2.46E-2</v>
      </c>
      <c r="J620" s="2">
        <v>1.1599999999999999</v>
      </c>
      <c r="K620" s="6">
        <v>905.96</v>
      </c>
      <c r="L620" s="4">
        <v>49</v>
      </c>
      <c r="M620" s="2">
        <v>18.489999999999998</v>
      </c>
      <c r="N620" s="6">
        <v>4886.84</v>
      </c>
      <c r="O620" s="6">
        <f t="shared" si="46"/>
        <v>3980.88</v>
      </c>
      <c r="P620" s="6">
        <f t="shared" si="47"/>
        <v>4.394101284824937</v>
      </c>
      <c r="Q620" s="3">
        <v>5.39</v>
      </c>
      <c r="R620" t="str">
        <f t="shared" si="48"/>
        <v>High</v>
      </c>
      <c r="S620" t="str">
        <f t="shared" si="49"/>
        <v>Valid</v>
      </c>
    </row>
    <row r="621" spans="1:19" x14ac:dyDescent="0.25">
      <c r="A621" s="1">
        <v>45305</v>
      </c>
      <c r="B621" s="1" t="str">
        <f t="shared" si="45"/>
        <v>2024-01</v>
      </c>
      <c r="C621" t="s">
        <v>28</v>
      </c>
      <c r="D621" t="s">
        <v>29</v>
      </c>
      <c r="E621" t="s">
        <v>19</v>
      </c>
      <c r="F621" t="s">
        <v>31</v>
      </c>
      <c r="G621" s="4">
        <v>171020</v>
      </c>
      <c r="H621" s="4">
        <v>2616</v>
      </c>
      <c r="I621" s="5">
        <v>1.5299999999999999E-2</v>
      </c>
      <c r="J621" s="2">
        <v>0.44</v>
      </c>
      <c r="K621" s="6">
        <v>1151.04</v>
      </c>
      <c r="L621" s="4">
        <v>41</v>
      </c>
      <c r="M621" s="2">
        <v>28.07</v>
      </c>
      <c r="N621" s="6">
        <v>9636.8799999999992</v>
      </c>
      <c r="O621" s="6">
        <f t="shared" si="46"/>
        <v>8485.84</v>
      </c>
      <c r="P621" s="6">
        <f t="shared" si="47"/>
        <v>7.3723241590214075</v>
      </c>
      <c r="Q621" s="3">
        <v>8.3699999999999992</v>
      </c>
      <c r="R621" t="str">
        <f t="shared" si="48"/>
        <v>High</v>
      </c>
      <c r="S621" t="str">
        <f t="shared" si="49"/>
        <v>Valid</v>
      </c>
    </row>
    <row r="622" spans="1:19" x14ac:dyDescent="0.25">
      <c r="A622" s="1">
        <v>45315</v>
      </c>
      <c r="B622" s="1" t="str">
        <f t="shared" si="45"/>
        <v>2024-01</v>
      </c>
      <c r="C622" t="s">
        <v>14</v>
      </c>
      <c r="D622" t="s">
        <v>24</v>
      </c>
      <c r="E622" t="s">
        <v>16</v>
      </c>
      <c r="F622" t="s">
        <v>32</v>
      </c>
      <c r="G622" s="4">
        <v>31325</v>
      </c>
      <c r="H622" s="4">
        <v>858</v>
      </c>
      <c r="I622" s="5">
        <v>2.7400000000000001E-2</v>
      </c>
      <c r="J622" s="2">
        <v>2.12</v>
      </c>
      <c r="K622" s="6">
        <v>1818.96</v>
      </c>
      <c r="L622" s="4">
        <v>43</v>
      </c>
      <c r="M622" s="2">
        <v>42.3</v>
      </c>
      <c r="N622" s="6">
        <v>2004.67</v>
      </c>
      <c r="O622" s="6">
        <f t="shared" si="46"/>
        <v>185.71000000000004</v>
      </c>
      <c r="P622" s="6">
        <f t="shared" si="47"/>
        <v>0.10209680256850071</v>
      </c>
      <c r="Q622" s="3">
        <v>1.1000000000000001</v>
      </c>
      <c r="R622" t="str">
        <f t="shared" si="48"/>
        <v>Medium</v>
      </c>
      <c r="S622" t="str">
        <f t="shared" si="49"/>
        <v>Valid</v>
      </c>
    </row>
    <row r="623" spans="1:19" x14ac:dyDescent="0.25">
      <c r="A623" s="1">
        <v>45656</v>
      </c>
      <c r="B623" s="1" t="str">
        <f t="shared" si="45"/>
        <v>2024-12</v>
      </c>
      <c r="C623" t="s">
        <v>28</v>
      </c>
      <c r="D623" t="s">
        <v>29</v>
      </c>
      <c r="E623" t="s">
        <v>25</v>
      </c>
      <c r="F623" t="s">
        <v>32</v>
      </c>
      <c r="G623" s="4">
        <v>49134</v>
      </c>
      <c r="H623" s="4">
        <v>1026</v>
      </c>
      <c r="I623" s="5">
        <v>2.0899999999999998E-2</v>
      </c>
      <c r="J623" s="2">
        <v>0.8</v>
      </c>
      <c r="K623" s="6">
        <v>820.8</v>
      </c>
      <c r="L623" s="4">
        <v>16</v>
      </c>
      <c r="M623" s="2">
        <v>51.3</v>
      </c>
      <c r="N623" s="6">
        <v>1025.05</v>
      </c>
      <c r="O623" s="6">
        <f t="shared" si="46"/>
        <v>204.25</v>
      </c>
      <c r="P623" s="6">
        <f t="shared" si="47"/>
        <v>0.24884259259259262</v>
      </c>
      <c r="Q623" s="3">
        <v>1.25</v>
      </c>
      <c r="R623" t="str">
        <f t="shared" si="48"/>
        <v>Medium</v>
      </c>
      <c r="S623" t="str">
        <f t="shared" si="49"/>
        <v>Valid</v>
      </c>
    </row>
    <row r="624" spans="1:19" x14ac:dyDescent="0.25">
      <c r="A624" s="1">
        <v>45412</v>
      </c>
      <c r="B624" s="1" t="str">
        <f t="shared" si="45"/>
        <v>2024-04</v>
      </c>
      <c r="C624" t="s">
        <v>14</v>
      </c>
      <c r="D624" t="s">
        <v>29</v>
      </c>
      <c r="E624" t="s">
        <v>25</v>
      </c>
      <c r="F624" t="s">
        <v>31</v>
      </c>
      <c r="G624" s="4">
        <v>114599</v>
      </c>
      <c r="H624" s="4">
        <v>2028</v>
      </c>
      <c r="I624" s="5">
        <v>1.77E-2</v>
      </c>
      <c r="J624" s="2">
        <v>2.4300000000000002</v>
      </c>
      <c r="K624" s="6">
        <v>4928.04</v>
      </c>
      <c r="L624" s="4">
        <v>29</v>
      </c>
      <c r="M624" s="2">
        <v>169.93</v>
      </c>
      <c r="N624" s="6">
        <v>5366.72</v>
      </c>
      <c r="O624" s="6">
        <f t="shared" si="46"/>
        <v>438.68000000000029</v>
      </c>
      <c r="P624" s="6">
        <f t="shared" si="47"/>
        <v>8.9017134601180242E-2</v>
      </c>
      <c r="Q624" s="3">
        <v>1.0900000000000001</v>
      </c>
      <c r="R624" t="str">
        <f t="shared" si="48"/>
        <v>Medium</v>
      </c>
      <c r="S624" t="str">
        <f t="shared" si="49"/>
        <v>Valid</v>
      </c>
    </row>
    <row r="625" spans="1:19" x14ac:dyDescent="0.25">
      <c r="A625" s="1">
        <v>45573</v>
      </c>
      <c r="B625" s="1" t="str">
        <f t="shared" si="45"/>
        <v>2024-10</v>
      </c>
      <c r="C625" t="s">
        <v>28</v>
      </c>
      <c r="D625" t="s">
        <v>21</v>
      </c>
      <c r="E625" t="s">
        <v>16</v>
      </c>
      <c r="F625" t="s">
        <v>20</v>
      </c>
      <c r="G625" s="4">
        <v>198581</v>
      </c>
      <c r="H625" s="4">
        <v>1985</v>
      </c>
      <c r="I625" s="5">
        <v>0.01</v>
      </c>
      <c r="J625" s="2">
        <v>1.76</v>
      </c>
      <c r="K625" s="6">
        <v>3493.6</v>
      </c>
      <c r="L625" s="4">
        <v>38</v>
      </c>
      <c r="M625" s="2">
        <v>91.94</v>
      </c>
      <c r="N625" s="6">
        <v>8029.71</v>
      </c>
      <c r="O625" s="6">
        <f t="shared" si="46"/>
        <v>4536.1100000000006</v>
      </c>
      <c r="P625" s="6">
        <f t="shared" si="47"/>
        <v>1.2984056560567898</v>
      </c>
      <c r="Q625" s="3">
        <v>2.2999999999999998</v>
      </c>
      <c r="R625" t="str">
        <f t="shared" si="48"/>
        <v>Medium</v>
      </c>
      <c r="S625" t="str">
        <f t="shared" si="49"/>
        <v>Valid</v>
      </c>
    </row>
    <row r="626" spans="1:19" x14ac:dyDescent="0.25">
      <c r="A626" s="1">
        <v>45494</v>
      </c>
      <c r="B626" s="1" t="str">
        <f t="shared" si="45"/>
        <v>2024-07</v>
      </c>
      <c r="C626" t="s">
        <v>14</v>
      </c>
      <c r="D626" t="s">
        <v>21</v>
      </c>
      <c r="E626" t="s">
        <v>25</v>
      </c>
      <c r="F626" t="s">
        <v>27</v>
      </c>
      <c r="G626" s="4">
        <v>157890</v>
      </c>
      <c r="H626" s="4">
        <v>9204</v>
      </c>
      <c r="I626" s="5">
        <v>5.8299999999999998E-2</v>
      </c>
      <c r="J626" s="2">
        <v>3.37</v>
      </c>
      <c r="K626" s="6">
        <v>31017.48</v>
      </c>
      <c r="L626" s="4">
        <v>321</v>
      </c>
      <c r="M626" s="2">
        <v>96.63</v>
      </c>
      <c r="N626" s="6">
        <v>10260.33</v>
      </c>
      <c r="O626" s="6">
        <f t="shared" si="46"/>
        <v>-20757.150000000001</v>
      </c>
      <c r="P626" s="6">
        <f t="shared" si="47"/>
        <v>-0.66920813683123204</v>
      </c>
      <c r="Q626" s="3">
        <v>0.33</v>
      </c>
      <c r="R626" t="str">
        <f t="shared" si="48"/>
        <v>Low</v>
      </c>
      <c r="S626" t="str">
        <f t="shared" si="49"/>
        <v>Valid</v>
      </c>
    </row>
    <row r="627" spans="1:19" x14ac:dyDescent="0.25">
      <c r="A627" s="1">
        <v>45386</v>
      </c>
      <c r="B627" s="1" t="str">
        <f t="shared" si="45"/>
        <v>2024-04</v>
      </c>
      <c r="C627" t="s">
        <v>14</v>
      </c>
      <c r="D627" t="s">
        <v>15</v>
      </c>
      <c r="E627" t="s">
        <v>19</v>
      </c>
      <c r="F627" t="s">
        <v>26</v>
      </c>
      <c r="G627" s="4">
        <v>161215</v>
      </c>
      <c r="H627" s="4">
        <v>5948</v>
      </c>
      <c r="I627" s="5">
        <v>3.6900000000000002E-2</v>
      </c>
      <c r="J627" s="2">
        <v>2.27</v>
      </c>
      <c r="K627" s="6">
        <v>13501.96</v>
      </c>
      <c r="L627" s="4">
        <v>439</v>
      </c>
      <c r="M627" s="2">
        <v>30.76</v>
      </c>
      <c r="N627" s="6">
        <v>105685.25</v>
      </c>
      <c r="O627" s="6">
        <f t="shared" si="46"/>
        <v>92183.290000000008</v>
      </c>
      <c r="P627" s="6">
        <f t="shared" si="47"/>
        <v>6.8274006144293136</v>
      </c>
      <c r="Q627" s="3">
        <v>7.83</v>
      </c>
      <c r="R627" t="str">
        <f t="shared" si="48"/>
        <v>High</v>
      </c>
      <c r="S627" t="str">
        <f t="shared" si="49"/>
        <v>Valid</v>
      </c>
    </row>
    <row r="628" spans="1:19" x14ac:dyDescent="0.25">
      <c r="A628" s="1">
        <v>45321</v>
      </c>
      <c r="B628" s="1" t="str">
        <f t="shared" si="45"/>
        <v>2024-01</v>
      </c>
      <c r="C628" t="s">
        <v>18</v>
      </c>
      <c r="D628" t="s">
        <v>21</v>
      </c>
      <c r="E628" t="s">
        <v>16</v>
      </c>
      <c r="F628" t="s">
        <v>31</v>
      </c>
      <c r="G628" s="4">
        <v>48147</v>
      </c>
      <c r="H628" s="4">
        <v>3562</v>
      </c>
      <c r="I628" s="5">
        <v>7.3999999999999996E-2</v>
      </c>
      <c r="J628" s="2">
        <v>0.42</v>
      </c>
      <c r="K628" s="6">
        <v>1496.04</v>
      </c>
      <c r="L628" s="4">
        <v>163</v>
      </c>
      <c r="M628" s="2">
        <v>9.18</v>
      </c>
      <c r="N628" s="6">
        <v>41382.29</v>
      </c>
      <c r="O628" s="6">
        <f t="shared" si="46"/>
        <v>39886.25</v>
      </c>
      <c r="P628" s="6">
        <f t="shared" si="47"/>
        <v>26.661218951364937</v>
      </c>
      <c r="Q628" s="3">
        <v>27.66</v>
      </c>
      <c r="R628" t="str">
        <f t="shared" si="48"/>
        <v>High</v>
      </c>
      <c r="S628" t="str">
        <f t="shared" si="49"/>
        <v>Valid</v>
      </c>
    </row>
    <row r="629" spans="1:19" x14ac:dyDescent="0.25">
      <c r="A629" s="1">
        <v>45386</v>
      </c>
      <c r="B629" s="1" t="str">
        <f t="shared" si="45"/>
        <v>2024-04</v>
      </c>
      <c r="C629" t="s">
        <v>28</v>
      </c>
      <c r="D629" t="s">
        <v>21</v>
      </c>
      <c r="E629" t="s">
        <v>19</v>
      </c>
      <c r="F629" t="s">
        <v>23</v>
      </c>
      <c r="G629" s="4">
        <v>90818</v>
      </c>
      <c r="H629" s="4">
        <v>3287</v>
      </c>
      <c r="I629" s="5">
        <v>3.6200000000000003E-2</v>
      </c>
      <c r="J629" s="2">
        <v>0.8</v>
      </c>
      <c r="K629" s="6">
        <v>2629.6</v>
      </c>
      <c r="L629" s="4">
        <v>123</v>
      </c>
      <c r="M629" s="2">
        <v>21.38</v>
      </c>
      <c r="N629" s="6">
        <v>11242.68</v>
      </c>
      <c r="O629" s="6">
        <f t="shared" si="46"/>
        <v>8613.08</v>
      </c>
      <c r="P629" s="6">
        <f t="shared" si="47"/>
        <v>3.2754335260115606</v>
      </c>
      <c r="Q629" s="3">
        <v>4.28</v>
      </c>
      <c r="R629" t="str">
        <f t="shared" si="48"/>
        <v>High</v>
      </c>
      <c r="S629" t="str">
        <f t="shared" si="49"/>
        <v>Valid</v>
      </c>
    </row>
    <row r="630" spans="1:19" x14ac:dyDescent="0.25">
      <c r="A630" s="1">
        <v>45471</v>
      </c>
      <c r="B630" s="1" t="str">
        <f t="shared" si="45"/>
        <v>2024-06</v>
      </c>
      <c r="C630" t="s">
        <v>14</v>
      </c>
      <c r="D630" t="s">
        <v>21</v>
      </c>
      <c r="E630" t="s">
        <v>25</v>
      </c>
      <c r="F630" t="s">
        <v>31</v>
      </c>
      <c r="G630" s="4">
        <v>118415</v>
      </c>
      <c r="H630" s="4">
        <v>6500</v>
      </c>
      <c r="I630" s="5">
        <v>5.4899999999999997E-2</v>
      </c>
      <c r="J630" s="2">
        <v>1.74</v>
      </c>
      <c r="K630" s="6">
        <v>11310</v>
      </c>
      <c r="L630" s="4">
        <v>458</v>
      </c>
      <c r="M630" s="2">
        <v>24.69</v>
      </c>
      <c r="N630" s="6">
        <v>110383.15</v>
      </c>
      <c r="O630" s="6">
        <f t="shared" si="46"/>
        <v>99073.15</v>
      </c>
      <c r="P630" s="6">
        <f t="shared" si="47"/>
        <v>8.7597833775419982</v>
      </c>
      <c r="Q630" s="3">
        <v>9.76</v>
      </c>
      <c r="R630" t="str">
        <f t="shared" si="48"/>
        <v>High</v>
      </c>
      <c r="S630" t="str">
        <f t="shared" si="49"/>
        <v>Valid</v>
      </c>
    </row>
    <row r="631" spans="1:19" x14ac:dyDescent="0.25">
      <c r="A631" s="1">
        <v>45609</v>
      </c>
      <c r="B631" s="1" t="str">
        <f t="shared" si="45"/>
        <v>2024-11</v>
      </c>
      <c r="C631" t="s">
        <v>18</v>
      </c>
      <c r="D631" t="s">
        <v>24</v>
      </c>
      <c r="E631" t="s">
        <v>25</v>
      </c>
      <c r="F631" t="s">
        <v>26</v>
      </c>
      <c r="G631" s="4">
        <v>113886</v>
      </c>
      <c r="H631" s="4">
        <v>4965</v>
      </c>
      <c r="I631" s="5">
        <v>4.36E-2</v>
      </c>
      <c r="J631" s="2">
        <v>1.34</v>
      </c>
      <c r="K631" s="6">
        <v>6653.1</v>
      </c>
      <c r="L631" s="4">
        <v>141</v>
      </c>
      <c r="M631" s="2">
        <v>47.19</v>
      </c>
      <c r="N631" s="6">
        <v>24007.439999999999</v>
      </c>
      <c r="O631" s="6">
        <f t="shared" si="46"/>
        <v>17354.339999999997</v>
      </c>
      <c r="P631" s="6">
        <f t="shared" si="47"/>
        <v>2.6084592145015097</v>
      </c>
      <c r="Q631" s="3">
        <v>3.61</v>
      </c>
      <c r="R631" t="str">
        <f t="shared" si="48"/>
        <v>High</v>
      </c>
      <c r="S631" t="str">
        <f t="shared" si="49"/>
        <v>Valid</v>
      </c>
    </row>
    <row r="632" spans="1:19" x14ac:dyDescent="0.25">
      <c r="A632" s="1">
        <v>45380</v>
      </c>
      <c r="B632" s="1" t="str">
        <f t="shared" si="45"/>
        <v>2024-03</v>
      </c>
      <c r="C632" t="s">
        <v>28</v>
      </c>
      <c r="D632" t="s">
        <v>29</v>
      </c>
      <c r="E632" t="s">
        <v>22</v>
      </c>
      <c r="F632" t="s">
        <v>23</v>
      </c>
      <c r="G632" s="4">
        <v>113668</v>
      </c>
      <c r="H632" s="4">
        <v>2864</v>
      </c>
      <c r="I632" s="5">
        <v>2.52E-2</v>
      </c>
      <c r="J632" s="2">
        <v>1.57</v>
      </c>
      <c r="K632" s="6">
        <v>4496.4799999999996</v>
      </c>
      <c r="L632" s="4">
        <v>81</v>
      </c>
      <c r="M632" s="2">
        <v>55.51</v>
      </c>
      <c r="N632" s="6">
        <v>6109.21</v>
      </c>
      <c r="O632" s="6">
        <f t="shared" si="46"/>
        <v>1612.7300000000005</v>
      </c>
      <c r="P632" s="6">
        <f t="shared" si="47"/>
        <v>0.35866500017791708</v>
      </c>
      <c r="Q632" s="3">
        <v>1.36</v>
      </c>
      <c r="R632" t="str">
        <f t="shared" si="48"/>
        <v>Medium</v>
      </c>
      <c r="S632" t="str">
        <f t="shared" si="49"/>
        <v>Valid</v>
      </c>
    </row>
    <row r="633" spans="1:19" x14ac:dyDescent="0.25">
      <c r="A633" s="1">
        <v>45464</v>
      </c>
      <c r="B633" s="1" t="str">
        <f t="shared" si="45"/>
        <v>2024-06</v>
      </c>
      <c r="C633" t="s">
        <v>28</v>
      </c>
      <c r="D633" t="s">
        <v>24</v>
      </c>
      <c r="E633" t="s">
        <v>22</v>
      </c>
      <c r="F633" t="s">
        <v>32</v>
      </c>
      <c r="G633" s="4">
        <v>76880</v>
      </c>
      <c r="H633" s="4">
        <v>1798</v>
      </c>
      <c r="I633" s="5">
        <v>2.3400000000000001E-2</v>
      </c>
      <c r="J633" s="2">
        <v>1.18</v>
      </c>
      <c r="K633" s="6">
        <v>2121.64</v>
      </c>
      <c r="L633" s="4">
        <v>91</v>
      </c>
      <c r="M633" s="2">
        <v>23.31</v>
      </c>
      <c r="N633" s="6">
        <v>8926.11</v>
      </c>
      <c r="O633" s="6">
        <f t="shared" si="46"/>
        <v>6804.4700000000012</v>
      </c>
      <c r="P633" s="6">
        <f t="shared" si="47"/>
        <v>3.2071746384872086</v>
      </c>
      <c r="Q633" s="3">
        <v>4.21</v>
      </c>
      <c r="R633" t="str">
        <f t="shared" si="48"/>
        <v>High</v>
      </c>
      <c r="S633" t="str">
        <f t="shared" si="49"/>
        <v>Valid</v>
      </c>
    </row>
    <row r="634" spans="1:19" x14ac:dyDescent="0.25">
      <c r="A634" s="1">
        <v>45563</v>
      </c>
      <c r="B634" s="1" t="str">
        <f t="shared" si="45"/>
        <v>2024-09</v>
      </c>
      <c r="C634" t="s">
        <v>14</v>
      </c>
      <c r="D634" t="s">
        <v>15</v>
      </c>
      <c r="E634" t="s">
        <v>19</v>
      </c>
      <c r="F634" t="s">
        <v>32</v>
      </c>
      <c r="G634" s="4">
        <v>138438</v>
      </c>
      <c r="H634" s="4">
        <v>4734</v>
      </c>
      <c r="I634" s="5">
        <v>3.4200000000000001E-2</v>
      </c>
      <c r="J634" s="2">
        <v>3.54</v>
      </c>
      <c r="K634" s="6">
        <v>16758.36</v>
      </c>
      <c r="L634" s="4">
        <v>191</v>
      </c>
      <c r="M634" s="2">
        <v>87.74</v>
      </c>
      <c r="N634" s="6">
        <v>38220.879999999997</v>
      </c>
      <c r="O634" s="6">
        <f t="shared" si="46"/>
        <v>21462.519999999997</v>
      </c>
      <c r="P634" s="6">
        <f t="shared" si="47"/>
        <v>1.2807052718762455</v>
      </c>
      <c r="Q634" s="3">
        <v>2.2799999999999998</v>
      </c>
      <c r="R634" t="str">
        <f t="shared" si="48"/>
        <v>Medium</v>
      </c>
      <c r="S634" t="str">
        <f t="shared" si="49"/>
        <v>Valid</v>
      </c>
    </row>
    <row r="635" spans="1:19" x14ac:dyDescent="0.25">
      <c r="A635" s="1">
        <v>45606</v>
      </c>
      <c r="B635" s="1" t="str">
        <f t="shared" si="45"/>
        <v>2024-11</v>
      </c>
      <c r="C635" t="s">
        <v>14</v>
      </c>
      <c r="D635" t="s">
        <v>15</v>
      </c>
      <c r="E635" t="s">
        <v>30</v>
      </c>
      <c r="F635" t="s">
        <v>26</v>
      </c>
      <c r="G635" s="4">
        <v>34764</v>
      </c>
      <c r="H635" s="4">
        <v>1251</v>
      </c>
      <c r="I635" s="5">
        <v>3.5999999999999997E-2</v>
      </c>
      <c r="J635" s="2">
        <v>0.83</v>
      </c>
      <c r="K635" s="6">
        <v>1038.33</v>
      </c>
      <c r="L635" s="4">
        <v>83</v>
      </c>
      <c r="M635" s="2">
        <v>12.51</v>
      </c>
      <c r="N635" s="6">
        <v>3361.16</v>
      </c>
      <c r="O635" s="6">
        <f t="shared" si="46"/>
        <v>2322.83</v>
      </c>
      <c r="P635" s="6">
        <f t="shared" si="47"/>
        <v>2.2370826230581802</v>
      </c>
      <c r="Q635" s="3">
        <v>3.24</v>
      </c>
      <c r="R635" t="str">
        <f t="shared" si="48"/>
        <v>High</v>
      </c>
      <c r="S635" t="str">
        <f t="shared" si="49"/>
        <v>Valid</v>
      </c>
    </row>
    <row r="636" spans="1:19" x14ac:dyDescent="0.25">
      <c r="A636" s="1">
        <v>45378</v>
      </c>
      <c r="B636" s="1" t="str">
        <f t="shared" si="45"/>
        <v>2024-03</v>
      </c>
      <c r="C636" t="s">
        <v>28</v>
      </c>
      <c r="D636" t="s">
        <v>21</v>
      </c>
      <c r="E636" t="s">
        <v>16</v>
      </c>
      <c r="F636" t="s">
        <v>27</v>
      </c>
      <c r="G636" s="4">
        <v>61387</v>
      </c>
      <c r="H636" s="4">
        <v>1608</v>
      </c>
      <c r="I636" s="5">
        <v>2.6200000000000001E-2</v>
      </c>
      <c r="J636" s="2">
        <v>2.09</v>
      </c>
      <c r="K636" s="6">
        <v>3360.72</v>
      </c>
      <c r="L636" s="4">
        <v>96</v>
      </c>
      <c r="M636" s="2">
        <v>35.01</v>
      </c>
      <c r="N636" s="6">
        <v>12312.27</v>
      </c>
      <c r="O636" s="6">
        <f t="shared" si="46"/>
        <v>8951.5500000000011</v>
      </c>
      <c r="P636" s="6">
        <f t="shared" si="47"/>
        <v>2.6635810183532107</v>
      </c>
      <c r="Q636" s="3">
        <v>3.66</v>
      </c>
      <c r="R636" t="str">
        <f t="shared" si="48"/>
        <v>High</v>
      </c>
      <c r="S636" t="str">
        <f t="shared" si="49"/>
        <v>Valid</v>
      </c>
    </row>
    <row r="637" spans="1:19" x14ac:dyDescent="0.25">
      <c r="A637" s="1">
        <v>45597</v>
      </c>
      <c r="B637" s="1" t="str">
        <f t="shared" si="45"/>
        <v>2024-11</v>
      </c>
      <c r="C637" t="s">
        <v>18</v>
      </c>
      <c r="D637" t="s">
        <v>24</v>
      </c>
      <c r="E637" t="s">
        <v>25</v>
      </c>
      <c r="F637" t="s">
        <v>17</v>
      </c>
      <c r="G637" s="4">
        <v>139607</v>
      </c>
      <c r="H637" s="4">
        <v>10289</v>
      </c>
      <c r="I637" s="5">
        <v>7.3700000000000002E-2</v>
      </c>
      <c r="J637" s="2">
        <v>0.91</v>
      </c>
      <c r="K637" s="6">
        <v>9362.99</v>
      </c>
      <c r="L637" s="4">
        <v>580</v>
      </c>
      <c r="M637" s="2">
        <v>16.14</v>
      </c>
      <c r="N637" s="6">
        <v>94107.07</v>
      </c>
      <c r="O637" s="6">
        <f t="shared" si="46"/>
        <v>84744.08</v>
      </c>
      <c r="P637" s="6">
        <f t="shared" si="47"/>
        <v>9.0509634208730336</v>
      </c>
      <c r="Q637" s="3">
        <v>10.050000000000001</v>
      </c>
      <c r="R637" t="str">
        <f t="shared" si="48"/>
        <v>High</v>
      </c>
      <c r="S637" t="str">
        <f t="shared" si="49"/>
        <v>Valid</v>
      </c>
    </row>
    <row r="638" spans="1:19" x14ac:dyDescent="0.25">
      <c r="A638" s="1">
        <v>45325</v>
      </c>
      <c r="B638" s="1" t="str">
        <f t="shared" si="45"/>
        <v>2024-02</v>
      </c>
      <c r="C638" t="s">
        <v>28</v>
      </c>
      <c r="D638" t="s">
        <v>24</v>
      </c>
      <c r="E638" t="s">
        <v>19</v>
      </c>
      <c r="F638" t="s">
        <v>20</v>
      </c>
      <c r="G638" s="4">
        <v>48271</v>
      </c>
      <c r="H638" s="4">
        <v>1182</v>
      </c>
      <c r="I638" s="5">
        <v>2.4500000000000001E-2</v>
      </c>
      <c r="J638" s="2">
        <v>1.94</v>
      </c>
      <c r="K638" s="6">
        <v>2293.08</v>
      </c>
      <c r="L638" s="4">
        <v>30</v>
      </c>
      <c r="M638" s="2">
        <v>76.44</v>
      </c>
      <c r="N638" s="6">
        <v>2529.5</v>
      </c>
      <c r="O638" s="6">
        <f t="shared" si="46"/>
        <v>236.42000000000007</v>
      </c>
      <c r="P638" s="6">
        <f t="shared" si="47"/>
        <v>0.10310150539885224</v>
      </c>
      <c r="Q638" s="3">
        <v>1.1000000000000001</v>
      </c>
      <c r="R638" t="str">
        <f t="shared" si="48"/>
        <v>Medium</v>
      </c>
      <c r="S638" t="str">
        <f t="shared" si="49"/>
        <v>Valid</v>
      </c>
    </row>
    <row r="639" spans="1:19" x14ac:dyDescent="0.25">
      <c r="A639" s="1">
        <v>45617</v>
      </c>
      <c r="B639" s="1" t="str">
        <f t="shared" si="45"/>
        <v>2024-11</v>
      </c>
      <c r="C639" t="s">
        <v>18</v>
      </c>
      <c r="D639" t="s">
        <v>15</v>
      </c>
      <c r="E639" t="s">
        <v>19</v>
      </c>
      <c r="F639" t="s">
        <v>32</v>
      </c>
      <c r="G639" s="4">
        <v>181833</v>
      </c>
      <c r="H639" s="4">
        <v>10018</v>
      </c>
      <c r="I639" s="5">
        <v>5.5100000000000003E-2</v>
      </c>
      <c r="J639" s="2">
        <v>0.48</v>
      </c>
      <c r="K639" s="6">
        <v>4808.6400000000003</v>
      </c>
      <c r="L639" s="4">
        <v>686</v>
      </c>
      <c r="M639" s="2">
        <v>7.01</v>
      </c>
      <c r="N639" s="6">
        <v>153650.81</v>
      </c>
      <c r="O639" s="6">
        <f t="shared" si="46"/>
        <v>148842.16999999998</v>
      </c>
      <c r="P639" s="6">
        <f t="shared" si="47"/>
        <v>30.953069890863109</v>
      </c>
      <c r="Q639" s="3">
        <v>31.95</v>
      </c>
      <c r="R639" t="str">
        <f t="shared" si="48"/>
        <v>High</v>
      </c>
      <c r="S639" t="str">
        <f t="shared" si="49"/>
        <v>Valid</v>
      </c>
    </row>
    <row r="640" spans="1:19" x14ac:dyDescent="0.25">
      <c r="A640" s="1">
        <v>45432</v>
      </c>
      <c r="B640" s="1" t="str">
        <f t="shared" si="45"/>
        <v>2024-05</v>
      </c>
      <c r="C640" t="s">
        <v>28</v>
      </c>
      <c r="D640" t="s">
        <v>21</v>
      </c>
      <c r="E640" t="s">
        <v>30</v>
      </c>
      <c r="F640" t="s">
        <v>23</v>
      </c>
      <c r="G640" s="4">
        <v>83678</v>
      </c>
      <c r="H640" s="4">
        <v>2761</v>
      </c>
      <c r="I640" s="5">
        <v>3.3000000000000002E-2</v>
      </c>
      <c r="J640" s="2">
        <v>1.66</v>
      </c>
      <c r="K640" s="6">
        <v>4583.26</v>
      </c>
      <c r="L640" s="4">
        <v>35</v>
      </c>
      <c r="M640" s="2">
        <v>130.94999999999999</v>
      </c>
      <c r="N640" s="6">
        <v>4630.4799999999996</v>
      </c>
      <c r="O640" s="6">
        <f t="shared" si="46"/>
        <v>47.219999999999345</v>
      </c>
      <c r="P640" s="6">
        <f t="shared" si="47"/>
        <v>1.0302710297910078E-2</v>
      </c>
      <c r="Q640" s="3">
        <v>1.01</v>
      </c>
      <c r="R640" t="str">
        <f t="shared" si="48"/>
        <v>Medium</v>
      </c>
      <c r="S640" t="str">
        <f t="shared" si="49"/>
        <v>Valid</v>
      </c>
    </row>
    <row r="641" spans="1:19" x14ac:dyDescent="0.25">
      <c r="A641" s="1">
        <v>45407</v>
      </c>
      <c r="B641" s="1" t="str">
        <f t="shared" si="45"/>
        <v>2024-04</v>
      </c>
      <c r="C641" t="s">
        <v>14</v>
      </c>
      <c r="D641" t="s">
        <v>15</v>
      </c>
      <c r="E641" t="s">
        <v>25</v>
      </c>
      <c r="F641" t="s">
        <v>32</v>
      </c>
      <c r="G641" s="4">
        <v>32898</v>
      </c>
      <c r="H641" s="4">
        <v>1743</v>
      </c>
      <c r="I641" s="5">
        <v>5.2999999999999999E-2</v>
      </c>
      <c r="J641" s="2">
        <v>1.17</v>
      </c>
      <c r="K641" s="6">
        <v>2039.31</v>
      </c>
      <c r="L641" s="4">
        <v>130</v>
      </c>
      <c r="M641" s="2">
        <v>15.69</v>
      </c>
      <c r="N641" s="6">
        <v>31968.71</v>
      </c>
      <c r="O641" s="6">
        <f t="shared" si="46"/>
        <v>29929.399999999998</v>
      </c>
      <c r="P641" s="6">
        <f t="shared" si="47"/>
        <v>14.676238531660218</v>
      </c>
      <c r="Q641" s="3">
        <v>15.68</v>
      </c>
      <c r="R641" t="str">
        <f t="shared" si="48"/>
        <v>High</v>
      </c>
      <c r="S641" t="str">
        <f t="shared" si="49"/>
        <v>Valid</v>
      </c>
    </row>
    <row r="642" spans="1:19" x14ac:dyDescent="0.25">
      <c r="A642" s="1">
        <v>45538</v>
      </c>
      <c r="B642" s="1" t="str">
        <f t="shared" si="45"/>
        <v>2024-09</v>
      </c>
      <c r="C642" t="s">
        <v>28</v>
      </c>
      <c r="D642" t="s">
        <v>15</v>
      </c>
      <c r="E642" t="s">
        <v>22</v>
      </c>
      <c r="F642" t="s">
        <v>26</v>
      </c>
      <c r="G642" s="4">
        <v>36153</v>
      </c>
      <c r="H642" s="4">
        <v>882</v>
      </c>
      <c r="I642" s="5">
        <v>2.4400000000000002E-2</v>
      </c>
      <c r="J642" s="2">
        <v>1.68</v>
      </c>
      <c r="K642" s="6">
        <v>1481.76</v>
      </c>
      <c r="L642" s="4">
        <v>62</v>
      </c>
      <c r="M642" s="2">
        <v>23.9</v>
      </c>
      <c r="N642" s="6">
        <v>16744.05</v>
      </c>
      <c r="O642" s="6">
        <f t="shared" si="46"/>
        <v>15262.289999999999</v>
      </c>
      <c r="P642" s="6">
        <f t="shared" si="47"/>
        <v>10.300109329446064</v>
      </c>
      <c r="Q642" s="3">
        <v>11.3</v>
      </c>
      <c r="R642" t="str">
        <f t="shared" si="48"/>
        <v>High</v>
      </c>
      <c r="S642" t="str">
        <f t="shared" si="49"/>
        <v>Valid</v>
      </c>
    </row>
    <row r="643" spans="1:19" x14ac:dyDescent="0.25">
      <c r="A643" s="1">
        <v>45457</v>
      </c>
      <c r="B643" s="1" t="str">
        <f t="shared" ref="B643:B706" si="50">TEXT(A643, "yyyy-mm")</f>
        <v>2024-06</v>
      </c>
      <c r="C643" t="s">
        <v>28</v>
      </c>
      <c r="D643" t="s">
        <v>15</v>
      </c>
      <c r="E643" t="s">
        <v>22</v>
      </c>
      <c r="F643" t="s">
        <v>23</v>
      </c>
      <c r="G643" s="4">
        <v>140372</v>
      </c>
      <c r="H643" s="4">
        <v>4548</v>
      </c>
      <c r="I643" s="5">
        <v>3.2399999999999998E-2</v>
      </c>
      <c r="J643" s="2">
        <v>1.44</v>
      </c>
      <c r="K643" s="6">
        <v>6549.12</v>
      </c>
      <c r="L643" s="4">
        <v>125</v>
      </c>
      <c r="M643" s="2">
        <v>52.39</v>
      </c>
      <c r="N643" s="6">
        <v>23552.19</v>
      </c>
      <c r="O643" s="6">
        <f t="shared" ref="O643:O706" si="51">N643-K643</f>
        <v>17003.07</v>
      </c>
      <c r="P643" s="6">
        <f t="shared" ref="P643:P706" si="52">IFERROR(O643/K643, "")</f>
        <v>2.5962373570800352</v>
      </c>
      <c r="Q643" s="3">
        <v>3.6</v>
      </c>
      <c r="R643" t="str">
        <f t="shared" ref="R643:R706" si="53">IF(Q643 &gt;= 3, "High", IF(Q643&gt;=1, "Medium", "Low"))</f>
        <v>High</v>
      </c>
      <c r="S643" t="str">
        <f t="shared" ref="S643:S706" si="54">IF(OR(G643=0, H643&gt;G643, L643&gt;H643), "Invalid", "Valid")</f>
        <v>Valid</v>
      </c>
    </row>
    <row r="644" spans="1:19" x14ac:dyDescent="0.25">
      <c r="A644" s="1">
        <v>45318</v>
      </c>
      <c r="B644" s="1" t="str">
        <f t="shared" si="50"/>
        <v>2024-01</v>
      </c>
      <c r="C644" t="s">
        <v>18</v>
      </c>
      <c r="D644" t="s">
        <v>21</v>
      </c>
      <c r="E644" t="s">
        <v>25</v>
      </c>
      <c r="F644" t="s">
        <v>17</v>
      </c>
      <c r="G644" s="4">
        <v>196889</v>
      </c>
      <c r="H644" s="4">
        <v>9568</v>
      </c>
      <c r="I644" s="5">
        <v>4.8599999999999997E-2</v>
      </c>
      <c r="J644" s="2">
        <v>0.93</v>
      </c>
      <c r="K644" s="6">
        <v>8898.24</v>
      </c>
      <c r="L644" s="4">
        <v>137</v>
      </c>
      <c r="M644" s="2">
        <v>64.95</v>
      </c>
      <c r="N644" s="6">
        <v>34964.660000000003</v>
      </c>
      <c r="O644" s="6">
        <f t="shared" si="51"/>
        <v>26066.420000000006</v>
      </c>
      <c r="P644" s="6">
        <f t="shared" si="52"/>
        <v>2.9293905311612192</v>
      </c>
      <c r="Q644" s="3">
        <v>3.93</v>
      </c>
      <c r="R644" t="str">
        <f t="shared" si="53"/>
        <v>High</v>
      </c>
      <c r="S644" t="str">
        <f t="shared" si="54"/>
        <v>Valid</v>
      </c>
    </row>
    <row r="645" spans="1:19" x14ac:dyDescent="0.25">
      <c r="A645" s="1">
        <v>45333</v>
      </c>
      <c r="B645" s="1" t="str">
        <f t="shared" si="50"/>
        <v>2024-02</v>
      </c>
      <c r="C645" t="s">
        <v>18</v>
      </c>
      <c r="D645" t="s">
        <v>29</v>
      </c>
      <c r="E645" t="s">
        <v>19</v>
      </c>
      <c r="F645" t="s">
        <v>20</v>
      </c>
      <c r="G645" s="4">
        <v>77467</v>
      </c>
      <c r="H645" s="4">
        <v>3300</v>
      </c>
      <c r="I645" s="5">
        <v>4.2599999999999999E-2</v>
      </c>
      <c r="J645" s="2">
        <v>1.01</v>
      </c>
      <c r="K645" s="6">
        <v>3333</v>
      </c>
      <c r="L645" s="4">
        <v>180</v>
      </c>
      <c r="M645" s="2">
        <v>18.52</v>
      </c>
      <c r="N645" s="6">
        <v>42781.66</v>
      </c>
      <c r="O645" s="6">
        <f t="shared" si="51"/>
        <v>39448.660000000003</v>
      </c>
      <c r="P645" s="6">
        <f t="shared" si="52"/>
        <v>11.835781578157818</v>
      </c>
      <c r="Q645" s="3">
        <v>12.84</v>
      </c>
      <c r="R645" t="str">
        <f t="shared" si="53"/>
        <v>High</v>
      </c>
      <c r="S645" t="str">
        <f t="shared" si="54"/>
        <v>Valid</v>
      </c>
    </row>
    <row r="646" spans="1:19" x14ac:dyDescent="0.25">
      <c r="A646" s="1">
        <v>45333</v>
      </c>
      <c r="B646" s="1" t="str">
        <f t="shared" si="50"/>
        <v>2024-02</v>
      </c>
      <c r="C646" t="s">
        <v>14</v>
      </c>
      <c r="D646" t="s">
        <v>24</v>
      </c>
      <c r="E646" t="s">
        <v>16</v>
      </c>
      <c r="F646" t="s">
        <v>17</v>
      </c>
      <c r="G646" s="4">
        <v>29016</v>
      </c>
      <c r="H646" s="4">
        <v>1088</v>
      </c>
      <c r="I646" s="5">
        <v>3.7499999999999999E-2</v>
      </c>
      <c r="J646" s="2">
        <v>2.06</v>
      </c>
      <c r="K646" s="6">
        <v>2241.2800000000002</v>
      </c>
      <c r="L646" s="4">
        <v>56</v>
      </c>
      <c r="M646" s="2">
        <v>40.020000000000003</v>
      </c>
      <c r="N646" s="6">
        <v>9936.27</v>
      </c>
      <c r="O646" s="6">
        <f t="shared" si="51"/>
        <v>7694.99</v>
      </c>
      <c r="P646" s="6">
        <f t="shared" si="52"/>
        <v>3.4333015062821239</v>
      </c>
      <c r="Q646" s="3">
        <v>4.43</v>
      </c>
      <c r="R646" t="str">
        <f t="shared" si="53"/>
        <v>High</v>
      </c>
      <c r="S646" t="str">
        <f t="shared" si="54"/>
        <v>Valid</v>
      </c>
    </row>
    <row r="647" spans="1:19" x14ac:dyDescent="0.25">
      <c r="A647" s="1">
        <v>45484</v>
      </c>
      <c r="B647" s="1" t="str">
        <f t="shared" si="50"/>
        <v>2024-07</v>
      </c>
      <c r="C647" t="s">
        <v>28</v>
      </c>
      <c r="D647" t="s">
        <v>24</v>
      </c>
      <c r="E647" t="s">
        <v>22</v>
      </c>
      <c r="F647" t="s">
        <v>27</v>
      </c>
      <c r="G647" s="4">
        <v>117200</v>
      </c>
      <c r="H647" s="4">
        <v>1699</v>
      </c>
      <c r="I647" s="5">
        <v>1.4500000000000001E-2</v>
      </c>
      <c r="J647" s="2">
        <v>1.94</v>
      </c>
      <c r="K647" s="6">
        <v>3296.06</v>
      </c>
      <c r="L647" s="4">
        <v>113</v>
      </c>
      <c r="M647" s="2">
        <v>29.17</v>
      </c>
      <c r="N647" s="6">
        <v>30970.48</v>
      </c>
      <c r="O647" s="6">
        <f t="shared" si="51"/>
        <v>27674.42</v>
      </c>
      <c r="P647" s="6">
        <f t="shared" si="52"/>
        <v>8.3962124475889386</v>
      </c>
      <c r="Q647" s="3">
        <v>9.4</v>
      </c>
      <c r="R647" t="str">
        <f t="shared" si="53"/>
        <v>High</v>
      </c>
      <c r="S647" t="str">
        <f t="shared" si="54"/>
        <v>Valid</v>
      </c>
    </row>
    <row r="648" spans="1:19" x14ac:dyDescent="0.25">
      <c r="A648" s="1">
        <v>45417</v>
      </c>
      <c r="B648" s="1" t="str">
        <f t="shared" si="50"/>
        <v>2024-05</v>
      </c>
      <c r="C648" t="s">
        <v>14</v>
      </c>
      <c r="D648" t="s">
        <v>24</v>
      </c>
      <c r="E648" t="s">
        <v>25</v>
      </c>
      <c r="F648" t="s">
        <v>26</v>
      </c>
      <c r="G648" s="4">
        <v>134157</v>
      </c>
      <c r="H648" s="4">
        <v>3407</v>
      </c>
      <c r="I648" s="5">
        <v>2.5399999999999999E-2</v>
      </c>
      <c r="J648" s="2">
        <v>2.41</v>
      </c>
      <c r="K648" s="6">
        <v>8210.8700000000008</v>
      </c>
      <c r="L648" s="4">
        <v>147</v>
      </c>
      <c r="M648" s="2">
        <v>55.86</v>
      </c>
      <c r="N648" s="6">
        <v>41434.67</v>
      </c>
      <c r="O648" s="6">
        <f t="shared" si="51"/>
        <v>33223.799999999996</v>
      </c>
      <c r="P648" s="6">
        <f t="shared" si="52"/>
        <v>4.0463190867715593</v>
      </c>
      <c r="Q648" s="3">
        <v>5.05</v>
      </c>
      <c r="R648" t="str">
        <f t="shared" si="53"/>
        <v>High</v>
      </c>
      <c r="S648" t="str">
        <f t="shared" si="54"/>
        <v>Valid</v>
      </c>
    </row>
    <row r="649" spans="1:19" x14ac:dyDescent="0.25">
      <c r="A649" s="1">
        <v>45377</v>
      </c>
      <c r="B649" s="1" t="str">
        <f t="shared" si="50"/>
        <v>2024-03</v>
      </c>
      <c r="C649" t="s">
        <v>14</v>
      </c>
      <c r="D649" t="s">
        <v>29</v>
      </c>
      <c r="E649" t="s">
        <v>16</v>
      </c>
      <c r="F649" t="s">
        <v>31</v>
      </c>
      <c r="G649" s="4">
        <v>161434</v>
      </c>
      <c r="H649" s="4">
        <v>6328</v>
      </c>
      <c r="I649" s="5">
        <v>3.9199999999999999E-2</v>
      </c>
      <c r="J649" s="2">
        <v>0.77</v>
      </c>
      <c r="K649" s="6">
        <v>4872.5600000000004</v>
      </c>
      <c r="L649" s="4">
        <v>263</v>
      </c>
      <c r="M649" s="2">
        <v>18.53</v>
      </c>
      <c r="N649" s="6">
        <v>25426.86</v>
      </c>
      <c r="O649" s="6">
        <f t="shared" si="51"/>
        <v>20554.3</v>
      </c>
      <c r="P649" s="6">
        <f t="shared" si="52"/>
        <v>4.2183780189469182</v>
      </c>
      <c r="Q649" s="3">
        <v>5.22</v>
      </c>
      <c r="R649" t="str">
        <f t="shared" si="53"/>
        <v>High</v>
      </c>
      <c r="S649" t="str">
        <f t="shared" si="54"/>
        <v>Valid</v>
      </c>
    </row>
    <row r="650" spans="1:19" x14ac:dyDescent="0.25">
      <c r="A650" s="1">
        <v>45487</v>
      </c>
      <c r="B650" s="1" t="str">
        <f t="shared" si="50"/>
        <v>2024-07</v>
      </c>
      <c r="C650" t="s">
        <v>18</v>
      </c>
      <c r="D650" t="s">
        <v>24</v>
      </c>
      <c r="E650" t="s">
        <v>25</v>
      </c>
      <c r="F650" t="s">
        <v>27</v>
      </c>
      <c r="G650" s="4">
        <v>62888</v>
      </c>
      <c r="H650" s="4">
        <v>3307</v>
      </c>
      <c r="I650" s="5">
        <v>5.2600000000000001E-2</v>
      </c>
      <c r="J650" s="2">
        <v>0.61</v>
      </c>
      <c r="K650" s="6">
        <v>2017.27</v>
      </c>
      <c r="L650" s="4">
        <v>55</v>
      </c>
      <c r="M650" s="2">
        <v>36.68</v>
      </c>
      <c r="N650" s="6">
        <v>12898.32</v>
      </c>
      <c r="O650" s="6">
        <f t="shared" si="51"/>
        <v>10881.05</v>
      </c>
      <c r="P650" s="6">
        <f t="shared" si="52"/>
        <v>5.3939482568025099</v>
      </c>
      <c r="Q650" s="3">
        <v>6.39</v>
      </c>
      <c r="R650" t="str">
        <f t="shared" si="53"/>
        <v>High</v>
      </c>
      <c r="S650" t="str">
        <f t="shared" si="54"/>
        <v>Valid</v>
      </c>
    </row>
    <row r="651" spans="1:19" x14ac:dyDescent="0.25">
      <c r="A651" s="1">
        <v>45425</v>
      </c>
      <c r="B651" s="1" t="str">
        <f t="shared" si="50"/>
        <v>2024-05</v>
      </c>
      <c r="C651" t="s">
        <v>14</v>
      </c>
      <c r="D651" t="s">
        <v>21</v>
      </c>
      <c r="E651" t="s">
        <v>25</v>
      </c>
      <c r="F651" t="s">
        <v>27</v>
      </c>
      <c r="G651" s="4">
        <v>108187</v>
      </c>
      <c r="H651" s="4">
        <v>2423</v>
      </c>
      <c r="I651" s="5">
        <v>2.24E-2</v>
      </c>
      <c r="J651" s="2">
        <v>2.67</v>
      </c>
      <c r="K651" s="6">
        <v>6469.41</v>
      </c>
      <c r="L651" s="4">
        <v>179</v>
      </c>
      <c r="M651" s="2">
        <v>36.14</v>
      </c>
      <c r="N651" s="6">
        <v>29012.87</v>
      </c>
      <c r="O651" s="6">
        <f t="shared" si="51"/>
        <v>22543.46</v>
      </c>
      <c r="P651" s="6">
        <f t="shared" si="52"/>
        <v>3.4846237910412232</v>
      </c>
      <c r="Q651" s="3">
        <v>4.4800000000000004</v>
      </c>
      <c r="R651" t="str">
        <f t="shared" si="53"/>
        <v>High</v>
      </c>
      <c r="S651" t="str">
        <f t="shared" si="54"/>
        <v>Valid</v>
      </c>
    </row>
    <row r="652" spans="1:19" x14ac:dyDescent="0.25">
      <c r="A652" s="1">
        <v>45523</v>
      </c>
      <c r="B652" s="1" t="str">
        <f t="shared" si="50"/>
        <v>2024-08</v>
      </c>
      <c r="C652" t="s">
        <v>28</v>
      </c>
      <c r="D652" t="s">
        <v>15</v>
      </c>
      <c r="E652" t="s">
        <v>30</v>
      </c>
      <c r="F652" t="s">
        <v>27</v>
      </c>
      <c r="G652" s="4">
        <v>199363</v>
      </c>
      <c r="H652" s="4">
        <v>3847</v>
      </c>
      <c r="I652" s="5">
        <v>1.9300000000000001E-2</v>
      </c>
      <c r="J652" s="2">
        <v>0.9</v>
      </c>
      <c r="K652" s="6">
        <v>3462.3</v>
      </c>
      <c r="L652" s="4">
        <v>73</v>
      </c>
      <c r="M652" s="2">
        <v>47.43</v>
      </c>
      <c r="N652" s="6">
        <v>11133.49</v>
      </c>
      <c r="O652" s="6">
        <f t="shared" si="51"/>
        <v>7671.19</v>
      </c>
      <c r="P652" s="6">
        <f t="shared" si="52"/>
        <v>2.2156341160500244</v>
      </c>
      <c r="Q652" s="3">
        <v>3.22</v>
      </c>
      <c r="R652" t="str">
        <f t="shared" si="53"/>
        <v>High</v>
      </c>
      <c r="S652" t="str">
        <f t="shared" si="54"/>
        <v>Valid</v>
      </c>
    </row>
    <row r="653" spans="1:19" x14ac:dyDescent="0.25">
      <c r="A653" s="1">
        <v>45411</v>
      </c>
      <c r="B653" s="1" t="str">
        <f t="shared" si="50"/>
        <v>2024-04</v>
      </c>
      <c r="C653" t="s">
        <v>28</v>
      </c>
      <c r="D653" t="s">
        <v>21</v>
      </c>
      <c r="E653" t="s">
        <v>25</v>
      </c>
      <c r="F653" t="s">
        <v>32</v>
      </c>
      <c r="G653" s="4">
        <v>59160</v>
      </c>
      <c r="H653" s="4">
        <v>958</v>
      </c>
      <c r="I653" s="5">
        <v>1.6199999999999999E-2</v>
      </c>
      <c r="J653" s="2">
        <v>1</v>
      </c>
      <c r="K653" s="6">
        <v>958</v>
      </c>
      <c r="L653" s="4">
        <v>35</v>
      </c>
      <c r="M653" s="2">
        <v>27.37</v>
      </c>
      <c r="N653" s="6">
        <v>7848.99</v>
      </c>
      <c r="O653" s="6">
        <f t="shared" si="51"/>
        <v>6890.99</v>
      </c>
      <c r="P653" s="6">
        <f t="shared" si="52"/>
        <v>7.1931002087682669</v>
      </c>
      <c r="Q653" s="3">
        <v>8.19</v>
      </c>
      <c r="R653" t="str">
        <f t="shared" si="53"/>
        <v>High</v>
      </c>
      <c r="S653" t="str">
        <f t="shared" si="54"/>
        <v>Valid</v>
      </c>
    </row>
    <row r="654" spans="1:19" x14ac:dyDescent="0.25">
      <c r="A654" s="1">
        <v>45617</v>
      </c>
      <c r="B654" s="1" t="str">
        <f t="shared" si="50"/>
        <v>2024-11</v>
      </c>
      <c r="C654" t="s">
        <v>14</v>
      </c>
      <c r="D654" t="s">
        <v>24</v>
      </c>
      <c r="E654" t="s">
        <v>30</v>
      </c>
      <c r="F654" t="s">
        <v>32</v>
      </c>
      <c r="G654" s="4">
        <v>78551</v>
      </c>
      <c r="H654" s="4">
        <v>2411</v>
      </c>
      <c r="I654" s="5">
        <v>3.0700000000000002E-2</v>
      </c>
      <c r="J654" s="2">
        <v>3.38</v>
      </c>
      <c r="K654" s="6">
        <v>8149.18</v>
      </c>
      <c r="L654" s="4">
        <v>92</v>
      </c>
      <c r="M654" s="2">
        <v>88.58</v>
      </c>
      <c r="N654" s="6">
        <v>8262.09</v>
      </c>
      <c r="O654" s="6">
        <f t="shared" si="51"/>
        <v>112.90999999999985</v>
      </c>
      <c r="P654" s="6">
        <f t="shared" si="52"/>
        <v>1.3855381768472392E-2</v>
      </c>
      <c r="Q654" s="3">
        <v>1.01</v>
      </c>
      <c r="R654" t="str">
        <f t="shared" si="53"/>
        <v>Medium</v>
      </c>
      <c r="S654" t="str">
        <f t="shared" si="54"/>
        <v>Valid</v>
      </c>
    </row>
    <row r="655" spans="1:19" x14ac:dyDescent="0.25">
      <c r="A655" s="1">
        <v>45568</v>
      </c>
      <c r="B655" s="1" t="str">
        <f t="shared" si="50"/>
        <v>2024-10</v>
      </c>
      <c r="C655" t="s">
        <v>28</v>
      </c>
      <c r="D655" t="s">
        <v>29</v>
      </c>
      <c r="E655" t="s">
        <v>25</v>
      </c>
      <c r="F655" t="s">
        <v>23</v>
      </c>
      <c r="G655" s="4">
        <v>186711</v>
      </c>
      <c r="H655" s="4">
        <v>7748</v>
      </c>
      <c r="I655" s="5">
        <v>4.1500000000000002E-2</v>
      </c>
      <c r="J655" s="2">
        <v>0.57999999999999996</v>
      </c>
      <c r="K655" s="6">
        <v>4493.84</v>
      </c>
      <c r="L655" s="4">
        <v>536</v>
      </c>
      <c r="M655" s="2">
        <v>8.3800000000000008</v>
      </c>
      <c r="N655" s="6">
        <v>89187.58</v>
      </c>
      <c r="O655" s="6">
        <f t="shared" si="51"/>
        <v>84693.74</v>
      </c>
      <c r="P655" s="6">
        <f t="shared" si="52"/>
        <v>18.846630053584462</v>
      </c>
      <c r="Q655" s="3">
        <v>19.850000000000001</v>
      </c>
      <c r="R655" t="str">
        <f t="shared" si="53"/>
        <v>High</v>
      </c>
      <c r="S655" t="str">
        <f t="shared" si="54"/>
        <v>Valid</v>
      </c>
    </row>
    <row r="656" spans="1:19" x14ac:dyDescent="0.25">
      <c r="A656" s="1">
        <v>45569</v>
      </c>
      <c r="B656" s="1" t="str">
        <f t="shared" si="50"/>
        <v>2024-10</v>
      </c>
      <c r="C656" t="s">
        <v>28</v>
      </c>
      <c r="D656" t="s">
        <v>24</v>
      </c>
      <c r="E656" t="s">
        <v>25</v>
      </c>
      <c r="F656" t="s">
        <v>20</v>
      </c>
      <c r="G656" s="4">
        <v>5528</v>
      </c>
      <c r="H656" s="4">
        <v>108</v>
      </c>
      <c r="I656" s="5">
        <v>1.9599999999999999E-2</v>
      </c>
      <c r="J656" s="2">
        <v>2.02</v>
      </c>
      <c r="K656" s="6">
        <v>218.16</v>
      </c>
      <c r="L656" s="4">
        <v>7</v>
      </c>
      <c r="M656" s="2">
        <v>31.17</v>
      </c>
      <c r="N656" s="6">
        <v>2000.84</v>
      </c>
      <c r="O656" s="6">
        <f t="shared" si="51"/>
        <v>1782.6799999999998</v>
      </c>
      <c r="P656" s="6">
        <f t="shared" si="52"/>
        <v>8.1714338100476702</v>
      </c>
      <c r="Q656" s="3">
        <v>9.17</v>
      </c>
      <c r="R656" t="str">
        <f t="shared" si="53"/>
        <v>High</v>
      </c>
      <c r="S656" t="str">
        <f t="shared" si="54"/>
        <v>Valid</v>
      </c>
    </row>
    <row r="657" spans="1:19" x14ac:dyDescent="0.25">
      <c r="A657" s="1">
        <v>45633</v>
      </c>
      <c r="B657" s="1" t="str">
        <f t="shared" si="50"/>
        <v>2024-12</v>
      </c>
      <c r="C657" t="s">
        <v>14</v>
      </c>
      <c r="D657" t="s">
        <v>24</v>
      </c>
      <c r="E657" t="s">
        <v>25</v>
      </c>
      <c r="F657" t="s">
        <v>27</v>
      </c>
      <c r="G657" s="4">
        <v>144535</v>
      </c>
      <c r="H657" s="4">
        <v>7588</v>
      </c>
      <c r="I657" s="5">
        <v>5.2499999999999998E-2</v>
      </c>
      <c r="J657" s="2">
        <v>3.1</v>
      </c>
      <c r="K657" s="6">
        <v>23522.799999999999</v>
      </c>
      <c r="L657" s="4">
        <v>445</v>
      </c>
      <c r="M657" s="2">
        <v>52.86</v>
      </c>
      <c r="N657" s="6">
        <v>105358.98</v>
      </c>
      <c r="O657" s="6">
        <f t="shared" si="51"/>
        <v>81836.179999999993</v>
      </c>
      <c r="P657" s="6">
        <f t="shared" si="52"/>
        <v>3.4790152532861733</v>
      </c>
      <c r="Q657" s="3">
        <v>4.4800000000000004</v>
      </c>
      <c r="R657" t="str">
        <f t="shared" si="53"/>
        <v>High</v>
      </c>
      <c r="S657" t="str">
        <f t="shared" si="54"/>
        <v>Valid</v>
      </c>
    </row>
    <row r="658" spans="1:19" x14ac:dyDescent="0.25">
      <c r="A658" s="1">
        <v>45512</v>
      </c>
      <c r="B658" s="1" t="str">
        <f t="shared" si="50"/>
        <v>2024-08</v>
      </c>
      <c r="C658" t="s">
        <v>28</v>
      </c>
      <c r="D658" t="s">
        <v>15</v>
      </c>
      <c r="E658" t="s">
        <v>30</v>
      </c>
      <c r="F658" t="s">
        <v>17</v>
      </c>
      <c r="G658" s="4">
        <v>8188</v>
      </c>
      <c r="H658" s="4">
        <v>272</v>
      </c>
      <c r="I658" s="5">
        <v>3.3300000000000003E-2</v>
      </c>
      <c r="J658" s="2">
        <v>1.1599999999999999</v>
      </c>
      <c r="K658" s="6">
        <v>315.52</v>
      </c>
      <c r="L658" s="4">
        <v>14</v>
      </c>
      <c r="M658" s="2">
        <v>22.54</v>
      </c>
      <c r="N658" s="6">
        <v>3745.84</v>
      </c>
      <c r="O658" s="6">
        <f t="shared" si="51"/>
        <v>3430.32</v>
      </c>
      <c r="P658" s="6">
        <f t="shared" si="52"/>
        <v>10.871957403651116</v>
      </c>
      <c r="Q658" s="3">
        <v>11.87</v>
      </c>
      <c r="R658" t="str">
        <f t="shared" si="53"/>
        <v>High</v>
      </c>
      <c r="S658" t="str">
        <f t="shared" si="54"/>
        <v>Valid</v>
      </c>
    </row>
    <row r="659" spans="1:19" x14ac:dyDescent="0.25">
      <c r="A659" s="1">
        <v>45509</v>
      </c>
      <c r="B659" s="1" t="str">
        <f t="shared" si="50"/>
        <v>2024-08</v>
      </c>
      <c r="C659" t="s">
        <v>14</v>
      </c>
      <c r="D659" t="s">
        <v>29</v>
      </c>
      <c r="E659" t="s">
        <v>16</v>
      </c>
      <c r="F659" t="s">
        <v>27</v>
      </c>
      <c r="G659" s="4">
        <v>71151</v>
      </c>
      <c r="H659" s="4">
        <v>4368</v>
      </c>
      <c r="I659" s="5">
        <v>6.1400000000000003E-2</v>
      </c>
      <c r="J659" s="2">
        <v>3.23</v>
      </c>
      <c r="K659" s="6">
        <v>14108.64</v>
      </c>
      <c r="L659" s="4">
        <v>202</v>
      </c>
      <c r="M659" s="2">
        <v>69.84</v>
      </c>
      <c r="N659" s="6">
        <v>51341.85</v>
      </c>
      <c r="O659" s="6">
        <f t="shared" si="51"/>
        <v>37233.21</v>
      </c>
      <c r="P659" s="6">
        <f t="shared" si="52"/>
        <v>2.6390360800190522</v>
      </c>
      <c r="Q659" s="3">
        <v>3.64</v>
      </c>
      <c r="R659" t="str">
        <f t="shared" si="53"/>
        <v>High</v>
      </c>
      <c r="S659" t="str">
        <f t="shared" si="54"/>
        <v>Valid</v>
      </c>
    </row>
    <row r="660" spans="1:19" x14ac:dyDescent="0.25">
      <c r="A660" s="1">
        <v>45357</v>
      </c>
      <c r="B660" s="1" t="str">
        <f t="shared" si="50"/>
        <v>2024-03</v>
      </c>
      <c r="C660" t="s">
        <v>28</v>
      </c>
      <c r="D660" t="s">
        <v>24</v>
      </c>
      <c r="E660" t="s">
        <v>19</v>
      </c>
      <c r="F660" t="s">
        <v>26</v>
      </c>
      <c r="G660" s="4">
        <v>171797</v>
      </c>
      <c r="H660" s="4">
        <v>5153</v>
      </c>
      <c r="I660" s="5">
        <v>0.03</v>
      </c>
      <c r="J660" s="2">
        <v>0.54</v>
      </c>
      <c r="K660" s="6">
        <v>2782.62</v>
      </c>
      <c r="L660" s="4">
        <v>255</v>
      </c>
      <c r="M660" s="2">
        <v>10.91</v>
      </c>
      <c r="N660" s="6">
        <v>52673.17</v>
      </c>
      <c r="O660" s="6">
        <f t="shared" si="51"/>
        <v>49890.549999999996</v>
      </c>
      <c r="P660" s="6">
        <f t="shared" si="52"/>
        <v>17.929343568291753</v>
      </c>
      <c r="Q660" s="3">
        <v>18.93</v>
      </c>
      <c r="R660" t="str">
        <f t="shared" si="53"/>
        <v>High</v>
      </c>
      <c r="S660" t="str">
        <f t="shared" si="54"/>
        <v>Valid</v>
      </c>
    </row>
    <row r="661" spans="1:19" x14ac:dyDescent="0.25">
      <c r="A661" s="1">
        <v>45340</v>
      </c>
      <c r="B661" s="1" t="str">
        <f t="shared" si="50"/>
        <v>2024-02</v>
      </c>
      <c r="C661" t="s">
        <v>18</v>
      </c>
      <c r="D661" t="s">
        <v>15</v>
      </c>
      <c r="E661" t="s">
        <v>19</v>
      </c>
      <c r="F661" t="s">
        <v>32</v>
      </c>
      <c r="G661" s="4">
        <v>173050</v>
      </c>
      <c r="H661" s="4">
        <v>8565</v>
      </c>
      <c r="I661" s="5">
        <v>4.9500000000000002E-2</v>
      </c>
      <c r="J661" s="2">
        <v>0.69</v>
      </c>
      <c r="K661" s="6">
        <v>5909.85</v>
      </c>
      <c r="L661" s="4">
        <v>414</v>
      </c>
      <c r="M661" s="2">
        <v>14.28</v>
      </c>
      <c r="N661" s="6">
        <v>118511.79</v>
      </c>
      <c r="O661" s="6">
        <f t="shared" si="51"/>
        <v>112601.93999999999</v>
      </c>
      <c r="P661" s="6">
        <f t="shared" si="52"/>
        <v>19.053265311302315</v>
      </c>
      <c r="Q661" s="3">
        <v>20.05</v>
      </c>
      <c r="R661" t="str">
        <f t="shared" si="53"/>
        <v>High</v>
      </c>
      <c r="S661" t="str">
        <f t="shared" si="54"/>
        <v>Valid</v>
      </c>
    </row>
    <row r="662" spans="1:19" x14ac:dyDescent="0.25">
      <c r="A662" s="1">
        <v>45539</v>
      </c>
      <c r="B662" s="1" t="str">
        <f t="shared" si="50"/>
        <v>2024-09</v>
      </c>
      <c r="C662" t="s">
        <v>18</v>
      </c>
      <c r="D662" t="s">
        <v>21</v>
      </c>
      <c r="E662" t="s">
        <v>30</v>
      </c>
      <c r="F662" t="s">
        <v>27</v>
      </c>
      <c r="G662" s="4">
        <v>178269</v>
      </c>
      <c r="H662" s="4">
        <v>8646</v>
      </c>
      <c r="I662" s="5">
        <v>4.8500000000000001E-2</v>
      </c>
      <c r="J662" s="2">
        <v>0.63</v>
      </c>
      <c r="K662" s="6">
        <v>5446.98</v>
      </c>
      <c r="L662" s="4">
        <v>93</v>
      </c>
      <c r="M662" s="2">
        <v>58.57</v>
      </c>
      <c r="N662" s="6">
        <v>10627.54</v>
      </c>
      <c r="O662" s="6">
        <f t="shared" si="51"/>
        <v>5180.5600000000013</v>
      </c>
      <c r="P662" s="6">
        <f t="shared" si="52"/>
        <v>0.95108849307322618</v>
      </c>
      <c r="Q662" s="3">
        <v>1.95</v>
      </c>
      <c r="R662" t="str">
        <f t="shared" si="53"/>
        <v>Medium</v>
      </c>
      <c r="S662" t="str">
        <f t="shared" si="54"/>
        <v>Valid</v>
      </c>
    </row>
    <row r="663" spans="1:19" x14ac:dyDescent="0.25">
      <c r="A663" s="1">
        <v>45647</v>
      </c>
      <c r="B663" s="1" t="str">
        <f t="shared" si="50"/>
        <v>2024-12</v>
      </c>
      <c r="C663" t="s">
        <v>14</v>
      </c>
      <c r="D663" t="s">
        <v>29</v>
      </c>
      <c r="E663" t="s">
        <v>30</v>
      </c>
      <c r="F663" t="s">
        <v>17</v>
      </c>
      <c r="G663" s="4">
        <v>164028</v>
      </c>
      <c r="H663" s="4">
        <v>5905</v>
      </c>
      <c r="I663" s="5">
        <v>3.5999999999999997E-2</v>
      </c>
      <c r="J663" s="2">
        <v>1</v>
      </c>
      <c r="K663" s="6">
        <v>5905</v>
      </c>
      <c r="L663" s="4">
        <v>377</v>
      </c>
      <c r="M663" s="2">
        <v>15.66</v>
      </c>
      <c r="N663" s="6">
        <v>25718.59</v>
      </c>
      <c r="O663" s="6">
        <f t="shared" si="51"/>
        <v>19813.59</v>
      </c>
      <c r="P663" s="6">
        <f t="shared" si="52"/>
        <v>3.3553920406435225</v>
      </c>
      <c r="Q663" s="3">
        <v>4.3600000000000003</v>
      </c>
      <c r="R663" t="str">
        <f t="shared" si="53"/>
        <v>High</v>
      </c>
      <c r="S663" t="str">
        <f t="shared" si="54"/>
        <v>Valid</v>
      </c>
    </row>
    <row r="664" spans="1:19" x14ac:dyDescent="0.25">
      <c r="A664" s="1">
        <v>45323</v>
      </c>
      <c r="B664" s="1" t="str">
        <f t="shared" si="50"/>
        <v>2024-02</v>
      </c>
      <c r="C664" t="s">
        <v>18</v>
      </c>
      <c r="D664" t="s">
        <v>21</v>
      </c>
      <c r="E664" t="s">
        <v>22</v>
      </c>
      <c r="F664" t="s">
        <v>32</v>
      </c>
      <c r="G664" s="4">
        <v>184504</v>
      </c>
      <c r="H664" s="4">
        <v>15479</v>
      </c>
      <c r="I664" s="5">
        <v>8.3900000000000002E-2</v>
      </c>
      <c r="J664" s="2">
        <v>0.8</v>
      </c>
      <c r="K664" s="6">
        <v>12383.2</v>
      </c>
      <c r="L664" s="4">
        <v>538</v>
      </c>
      <c r="M664" s="2">
        <v>23.02</v>
      </c>
      <c r="N664" s="6">
        <v>112251.74</v>
      </c>
      <c r="O664" s="6">
        <f t="shared" si="51"/>
        <v>99868.540000000008</v>
      </c>
      <c r="P664" s="6">
        <f t="shared" si="52"/>
        <v>8.0648410750048463</v>
      </c>
      <c r="Q664" s="3">
        <v>9.06</v>
      </c>
      <c r="R664" t="str">
        <f t="shared" si="53"/>
        <v>High</v>
      </c>
      <c r="S664" t="str">
        <f t="shared" si="54"/>
        <v>Valid</v>
      </c>
    </row>
    <row r="665" spans="1:19" x14ac:dyDescent="0.25">
      <c r="A665" s="1">
        <v>45584</v>
      </c>
      <c r="B665" s="1" t="str">
        <f t="shared" si="50"/>
        <v>2024-10</v>
      </c>
      <c r="C665" t="s">
        <v>18</v>
      </c>
      <c r="D665" t="s">
        <v>24</v>
      </c>
      <c r="E665" t="s">
        <v>22</v>
      </c>
      <c r="F665" t="s">
        <v>31</v>
      </c>
      <c r="G665" s="4">
        <v>119515</v>
      </c>
      <c r="H665" s="4">
        <v>6824</v>
      </c>
      <c r="I665" s="5">
        <v>5.7099999999999998E-2</v>
      </c>
      <c r="J665" s="2">
        <v>0.86</v>
      </c>
      <c r="K665" s="6">
        <v>5868.64</v>
      </c>
      <c r="L665" s="4">
        <v>89</v>
      </c>
      <c r="M665" s="2">
        <v>65.94</v>
      </c>
      <c r="N665" s="6">
        <v>25992.880000000001</v>
      </c>
      <c r="O665" s="6">
        <f t="shared" si="51"/>
        <v>20124.240000000002</v>
      </c>
      <c r="P665" s="6">
        <f t="shared" si="52"/>
        <v>3.4291147523105865</v>
      </c>
      <c r="Q665" s="3">
        <v>4.43</v>
      </c>
      <c r="R665" t="str">
        <f t="shared" si="53"/>
        <v>High</v>
      </c>
      <c r="S665" t="str">
        <f t="shared" si="54"/>
        <v>Valid</v>
      </c>
    </row>
    <row r="666" spans="1:19" x14ac:dyDescent="0.25">
      <c r="A666" s="1">
        <v>45583</v>
      </c>
      <c r="B666" s="1" t="str">
        <f t="shared" si="50"/>
        <v>2024-10</v>
      </c>
      <c r="C666" t="s">
        <v>28</v>
      </c>
      <c r="D666" t="s">
        <v>15</v>
      </c>
      <c r="E666" t="s">
        <v>19</v>
      </c>
      <c r="F666" t="s">
        <v>23</v>
      </c>
      <c r="G666" s="4">
        <v>108591</v>
      </c>
      <c r="H666" s="4">
        <v>2084</v>
      </c>
      <c r="I666" s="5">
        <v>1.9199999999999998E-2</v>
      </c>
      <c r="J666" s="2">
        <v>2.16</v>
      </c>
      <c r="K666" s="6">
        <v>4501.4399999999996</v>
      </c>
      <c r="L666" s="4">
        <v>31</v>
      </c>
      <c r="M666" s="2">
        <v>145.21</v>
      </c>
      <c r="N666" s="6">
        <v>6469.19</v>
      </c>
      <c r="O666" s="6">
        <f t="shared" si="51"/>
        <v>1967.75</v>
      </c>
      <c r="P666" s="6">
        <f t="shared" si="52"/>
        <v>0.43713789365180922</v>
      </c>
      <c r="Q666" s="3">
        <v>1.44</v>
      </c>
      <c r="R666" t="str">
        <f t="shared" si="53"/>
        <v>Medium</v>
      </c>
      <c r="S666" t="str">
        <f t="shared" si="54"/>
        <v>Valid</v>
      </c>
    </row>
    <row r="667" spans="1:19" x14ac:dyDescent="0.25">
      <c r="A667" s="1">
        <v>45423</v>
      </c>
      <c r="B667" s="1" t="str">
        <f t="shared" si="50"/>
        <v>2024-05</v>
      </c>
      <c r="C667" t="s">
        <v>28</v>
      </c>
      <c r="D667" t="s">
        <v>24</v>
      </c>
      <c r="E667" t="s">
        <v>19</v>
      </c>
      <c r="F667" t="s">
        <v>20</v>
      </c>
      <c r="G667" s="4">
        <v>68472</v>
      </c>
      <c r="H667" s="4">
        <v>2601</v>
      </c>
      <c r="I667" s="5">
        <v>3.7999999999999999E-2</v>
      </c>
      <c r="J667" s="2">
        <v>1.38</v>
      </c>
      <c r="K667" s="6">
        <v>3589.38</v>
      </c>
      <c r="L667" s="4">
        <v>63</v>
      </c>
      <c r="M667" s="2">
        <v>56.97</v>
      </c>
      <c r="N667" s="6">
        <v>17508.47</v>
      </c>
      <c r="O667" s="6">
        <f t="shared" si="51"/>
        <v>13919.09</v>
      </c>
      <c r="P667" s="6">
        <f t="shared" si="52"/>
        <v>3.8778535568816896</v>
      </c>
      <c r="Q667" s="3">
        <v>4.88</v>
      </c>
      <c r="R667" t="str">
        <f t="shared" si="53"/>
        <v>High</v>
      </c>
      <c r="S667" t="str">
        <f t="shared" si="54"/>
        <v>Valid</v>
      </c>
    </row>
    <row r="668" spans="1:19" x14ac:dyDescent="0.25">
      <c r="A668" s="1">
        <v>45556</v>
      </c>
      <c r="B668" s="1" t="str">
        <f t="shared" si="50"/>
        <v>2024-09</v>
      </c>
      <c r="C668" t="s">
        <v>18</v>
      </c>
      <c r="D668" t="s">
        <v>24</v>
      </c>
      <c r="E668" t="s">
        <v>16</v>
      </c>
      <c r="F668" t="s">
        <v>23</v>
      </c>
      <c r="G668" s="4">
        <v>170201</v>
      </c>
      <c r="H668" s="4">
        <v>7931</v>
      </c>
      <c r="I668" s="5">
        <v>4.6600000000000003E-2</v>
      </c>
      <c r="J668" s="2">
        <v>1.05</v>
      </c>
      <c r="K668" s="6">
        <v>8327.5499999999993</v>
      </c>
      <c r="L668" s="4">
        <v>182</v>
      </c>
      <c r="M668" s="2">
        <v>45.76</v>
      </c>
      <c r="N668" s="6">
        <v>10360.549999999999</v>
      </c>
      <c r="O668" s="6">
        <f t="shared" si="51"/>
        <v>2033</v>
      </c>
      <c r="P668" s="6">
        <f t="shared" si="52"/>
        <v>0.24412942582152017</v>
      </c>
      <c r="Q668" s="3">
        <v>1.24</v>
      </c>
      <c r="R668" t="str">
        <f t="shared" si="53"/>
        <v>Medium</v>
      </c>
      <c r="S668" t="str">
        <f t="shared" si="54"/>
        <v>Valid</v>
      </c>
    </row>
    <row r="669" spans="1:19" x14ac:dyDescent="0.25">
      <c r="A669" s="1">
        <v>45360</v>
      </c>
      <c r="B669" s="1" t="str">
        <f t="shared" si="50"/>
        <v>2024-03</v>
      </c>
      <c r="C669" t="s">
        <v>14</v>
      </c>
      <c r="D669" t="s">
        <v>21</v>
      </c>
      <c r="E669" t="s">
        <v>19</v>
      </c>
      <c r="F669" t="s">
        <v>32</v>
      </c>
      <c r="G669" s="4">
        <v>92340</v>
      </c>
      <c r="H669" s="4">
        <v>2502</v>
      </c>
      <c r="I669" s="5">
        <v>2.7099999999999999E-2</v>
      </c>
      <c r="J669" s="2">
        <v>1.96</v>
      </c>
      <c r="K669" s="6">
        <v>4903.92</v>
      </c>
      <c r="L669" s="4">
        <v>153</v>
      </c>
      <c r="M669" s="2">
        <v>32.049999999999997</v>
      </c>
      <c r="N669" s="6">
        <v>27593.24</v>
      </c>
      <c r="O669" s="6">
        <f t="shared" si="51"/>
        <v>22689.32</v>
      </c>
      <c r="P669" s="6">
        <f t="shared" si="52"/>
        <v>4.6267720517463582</v>
      </c>
      <c r="Q669" s="3">
        <v>5.63</v>
      </c>
      <c r="R669" t="str">
        <f t="shared" si="53"/>
        <v>High</v>
      </c>
      <c r="S669" t="str">
        <f t="shared" si="54"/>
        <v>Valid</v>
      </c>
    </row>
    <row r="670" spans="1:19" x14ac:dyDescent="0.25">
      <c r="A670" s="1">
        <v>45393</v>
      </c>
      <c r="B670" s="1" t="str">
        <f t="shared" si="50"/>
        <v>2024-04</v>
      </c>
      <c r="C670" t="s">
        <v>18</v>
      </c>
      <c r="D670" t="s">
        <v>15</v>
      </c>
      <c r="E670" t="s">
        <v>25</v>
      </c>
      <c r="F670" t="s">
        <v>23</v>
      </c>
      <c r="G670" s="4">
        <v>136940</v>
      </c>
      <c r="H670" s="4">
        <v>4683</v>
      </c>
      <c r="I670" s="5">
        <v>3.4200000000000001E-2</v>
      </c>
      <c r="J670" s="2">
        <v>0.69</v>
      </c>
      <c r="K670" s="6">
        <v>3231.27</v>
      </c>
      <c r="L670" s="4">
        <v>137</v>
      </c>
      <c r="M670" s="2">
        <v>23.59</v>
      </c>
      <c r="N670" s="6">
        <v>12153.39</v>
      </c>
      <c r="O670" s="6">
        <f t="shared" si="51"/>
        <v>8922.119999999999</v>
      </c>
      <c r="P670" s="6">
        <f t="shared" si="52"/>
        <v>2.7611805884373632</v>
      </c>
      <c r="Q670" s="3">
        <v>3.76</v>
      </c>
      <c r="R670" t="str">
        <f t="shared" si="53"/>
        <v>High</v>
      </c>
      <c r="S670" t="str">
        <f t="shared" si="54"/>
        <v>Valid</v>
      </c>
    </row>
    <row r="671" spans="1:19" x14ac:dyDescent="0.25">
      <c r="A671" s="1">
        <v>45650</v>
      </c>
      <c r="B671" s="1" t="str">
        <f t="shared" si="50"/>
        <v>2024-12</v>
      </c>
      <c r="C671" t="s">
        <v>14</v>
      </c>
      <c r="D671" t="s">
        <v>15</v>
      </c>
      <c r="E671" t="s">
        <v>19</v>
      </c>
      <c r="F671" t="s">
        <v>32</v>
      </c>
      <c r="G671" s="4">
        <v>106311</v>
      </c>
      <c r="H671" s="4">
        <v>5762</v>
      </c>
      <c r="I671" s="5">
        <v>5.4199999999999998E-2</v>
      </c>
      <c r="J671" s="2">
        <v>0.92</v>
      </c>
      <c r="K671" s="6">
        <v>5301.04</v>
      </c>
      <c r="L671" s="4">
        <v>434</v>
      </c>
      <c r="M671" s="2">
        <v>12.21</v>
      </c>
      <c r="N671" s="6">
        <v>55571.88</v>
      </c>
      <c r="O671" s="6">
        <f t="shared" si="51"/>
        <v>50270.84</v>
      </c>
      <c r="P671" s="6">
        <f t="shared" si="52"/>
        <v>9.4832032959570185</v>
      </c>
      <c r="Q671" s="3">
        <v>10.48</v>
      </c>
      <c r="R671" t="str">
        <f t="shared" si="53"/>
        <v>High</v>
      </c>
      <c r="S671" t="str">
        <f t="shared" si="54"/>
        <v>Valid</v>
      </c>
    </row>
    <row r="672" spans="1:19" x14ac:dyDescent="0.25">
      <c r="A672" s="1">
        <v>45366</v>
      </c>
      <c r="B672" s="1" t="str">
        <f t="shared" si="50"/>
        <v>2024-03</v>
      </c>
      <c r="C672" t="s">
        <v>18</v>
      </c>
      <c r="D672" t="s">
        <v>24</v>
      </c>
      <c r="E672" t="s">
        <v>30</v>
      </c>
      <c r="F672" t="s">
        <v>27</v>
      </c>
      <c r="G672" s="4">
        <v>120016</v>
      </c>
      <c r="H672" s="4">
        <v>3336</v>
      </c>
      <c r="I672" s="5">
        <v>2.7799999999999998E-2</v>
      </c>
      <c r="J672" s="2">
        <v>1.33</v>
      </c>
      <c r="K672" s="6">
        <v>4436.88</v>
      </c>
      <c r="L672" s="4">
        <v>43</v>
      </c>
      <c r="M672" s="2">
        <v>103.18</v>
      </c>
      <c r="N672" s="6">
        <v>5864.19</v>
      </c>
      <c r="O672" s="6">
        <f t="shared" si="51"/>
        <v>1427.3099999999995</v>
      </c>
      <c r="P672" s="6">
        <f t="shared" si="52"/>
        <v>0.32169227024395508</v>
      </c>
      <c r="Q672" s="3">
        <v>1.32</v>
      </c>
      <c r="R672" t="str">
        <f t="shared" si="53"/>
        <v>Medium</v>
      </c>
      <c r="S672" t="str">
        <f t="shared" si="54"/>
        <v>Valid</v>
      </c>
    </row>
    <row r="673" spans="1:19" x14ac:dyDescent="0.25">
      <c r="A673" s="1">
        <v>45587</v>
      </c>
      <c r="B673" s="1" t="str">
        <f t="shared" si="50"/>
        <v>2024-10</v>
      </c>
      <c r="C673" t="s">
        <v>28</v>
      </c>
      <c r="D673" t="s">
        <v>29</v>
      </c>
      <c r="E673" t="s">
        <v>25</v>
      </c>
      <c r="F673" t="s">
        <v>26</v>
      </c>
      <c r="G673" s="4">
        <v>193946</v>
      </c>
      <c r="H673" s="4">
        <v>7854</v>
      </c>
      <c r="I673" s="5">
        <v>4.0500000000000001E-2</v>
      </c>
      <c r="J673" s="2">
        <v>1.89</v>
      </c>
      <c r="K673" s="6">
        <v>14844.06</v>
      </c>
      <c r="L673" s="4">
        <v>461</v>
      </c>
      <c r="M673" s="2">
        <v>32.200000000000003</v>
      </c>
      <c r="N673" s="6">
        <v>86871.54</v>
      </c>
      <c r="O673" s="6">
        <f t="shared" si="51"/>
        <v>72027.48</v>
      </c>
      <c r="P673" s="6">
        <f t="shared" si="52"/>
        <v>4.8522762640409702</v>
      </c>
      <c r="Q673" s="3">
        <v>5.85</v>
      </c>
      <c r="R673" t="str">
        <f t="shared" si="53"/>
        <v>High</v>
      </c>
      <c r="S673" t="str">
        <f t="shared" si="54"/>
        <v>Valid</v>
      </c>
    </row>
    <row r="674" spans="1:19" x14ac:dyDescent="0.25">
      <c r="A674" s="1">
        <v>45559</v>
      </c>
      <c r="B674" s="1" t="str">
        <f t="shared" si="50"/>
        <v>2024-09</v>
      </c>
      <c r="C674" t="s">
        <v>18</v>
      </c>
      <c r="D674" t="s">
        <v>24</v>
      </c>
      <c r="E674" t="s">
        <v>30</v>
      </c>
      <c r="F674" t="s">
        <v>32</v>
      </c>
      <c r="G674" s="4">
        <v>138780</v>
      </c>
      <c r="H674" s="4">
        <v>4135</v>
      </c>
      <c r="I674" s="5">
        <v>2.98E-2</v>
      </c>
      <c r="J674" s="2">
        <v>0.85</v>
      </c>
      <c r="K674" s="6">
        <v>3514.75</v>
      </c>
      <c r="L674" s="4">
        <v>86</v>
      </c>
      <c r="M674" s="2">
        <v>40.869999999999997</v>
      </c>
      <c r="N674" s="6">
        <v>7373.66</v>
      </c>
      <c r="O674" s="6">
        <f t="shared" si="51"/>
        <v>3858.91</v>
      </c>
      <c r="P674" s="6">
        <f t="shared" si="52"/>
        <v>1.0979187708940892</v>
      </c>
      <c r="Q674" s="3">
        <v>2.1</v>
      </c>
      <c r="R674" t="str">
        <f t="shared" si="53"/>
        <v>Medium</v>
      </c>
      <c r="S674" t="str">
        <f t="shared" si="54"/>
        <v>Valid</v>
      </c>
    </row>
    <row r="675" spans="1:19" x14ac:dyDescent="0.25">
      <c r="A675" s="1">
        <v>45500</v>
      </c>
      <c r="B675" s="1" t="str">
        <f t="shared" si="50"/>
        <v>2024-07</v>
      </c>
      <c r="C675" t="s">
        <v>28</v>
      </c>
      <c r="D675" t="s">
        <v>29</v>
      </c>
      <c r="E675" t="s">
        <v>25</v>
      </c>
      <c r="F675" t="s">
        <v>20</v>
      </c>
      <c r="G675" s="4">
        <v>51365</v>
      </c>
      <c r="H675" s="4">
        <v>873</v>
      </c>
      <c r="I675" s="5">
        <v>1.7000000000000001E-2</v>
      </c>
      <c r="J675" s="2">
        <v>0.7</v>
      </c>
      <c r="K675" s="6">
        <v>611.1</v>
      </c>
      <c r="L675" s="4">
        <v>19</v>
      </c>
      <c r="M675" s="2">
        <v>32.159999999999997</v>
      </c>
      <c r="N675" s="6">
        <v>2655.69</v>
      </c>
      <c r="O675" s="6">
        <f t="shared" si="51"/>
        <v>2044.5900000000001</v>
      </c>
      <c r="P675" s="6">
        <f t="shared" si="52"/>
        <v>3.3457535591556211</v>
      </c>
      <c r="Q675" s="3">
        <v>4.3499999999999996</v>
      </c>
      <c r="R675" t="str">
        <f t="shared" si="53"/>
        <v>High</v>
      </c>
      <c r="S675" t="str">
        <f t="shared" si="54"/>
        <v>Valid</v>
      </c>
    </row>
    <row r="676" spans="1:19" x14ac:dyDescent="0.25">
      <c r="A676" s="1">
        <v>45357</v>
      </c>
      <c r="B676" s="1" t="str">
        <f t="shared" si="50"/>
        <v>2024-03</v>
      </c>
      <c r="C676" t="s">
        <v>14</v>
      </c>
      <c r="D676" t="s">
        <v>24</v>
      </c>
      <c r="E676" t="s">
        <v>22</v>
      </c>
      <c r="F676" t="s">
        <v>20</v>
      </c>
      <c r="G676" s="4">
        <v>185903</v>
      </c>
      <c r="H676" s="4">
        <v>4647</v>
      </c>
      <c r="I676" s="5">
        <v>2.5000000000000001E-2</v>
      </c>
      <c r="J676" s="2">
        <v>2.96</v>
      </c>
      <c r="K676" s="6">
        <v>13755.12</v>
      </c>
      <c r="L676" s="4">
        <v>342</v>
      </c>
      <c r="M676" s="2">
        <v>40.22</v>
      </c>
      <c r="N676" s="6">
        <v>58276.63</v>
      </c>
      <c r="O676" s="6">
        <f t="shared" si="51"/>
        <v>44521.509999999995</v>
      </c>
      <c r="P676" s="6">
        <f t="shared" si="52"/>
        <v>3.2367227621423873</v>
      </c>
      <c r="Q676" s="3">
        <v>4.24</v>
      </c>
      <c r="R676" t="str">
        <f t="shared" si="53"/>
        <v>High</v>
      </c>
      <c r="S676" t="str">
        <f t="shared" si="54"/>
        <v>Valid</v>
      </c>
    </row>
    <row r="677" spans="1:19" x14ac:dyDescent="0.25">
      <c r="A677" s="1">
        <v>45352</v>
      </c>
      <c r="B677" s="1" t="str">
        <f t="shared" si="50"/>
        <v>2024-03</v>
      </c>
      <c r="C677" t="s">
        <v>18</v>
      </c>
      <c r="D677" t="s">
        <v>29</v>
      </c>
      <c r="E677" t="s">
        <v>25</v>
      </c>
      <c r="F677" t="s">
        <v>32</v>
      </c>
      <c r="G677" s="4">
        <v>61232</v>
      </c>
      <c r="H677" s="4">
        <v>2951</v>
      </c>
      <c r="I677" s="5">
        <v>4.82E-2</v>
      </c>
      <c r="J677" s="2">
        <v>0.75</v>
      </c>
      <c r="K677" s="6">
        <v>2213.25</v>
      </c>
      <c r="L677" s="4">
        <v>51</v>
      </c>
      <c r="M677" s="2">
        <v>43.4</v>
      </c>
      <c r="N677" s="6">
        <v>15061.62</v>
      </c>
      <c r="O677" s="6">
        <f t="shared" si="51"/>
        <v>12848.37</v>
      </c>
      <c r="P677" s="6">
        <f t="shared" si="52"/>
        <v>5.8052050152490686</v>
      </c>
      <c r="Q677" s="3">
        <v>6.81</v>
      </c>
      <c r="R677" t="str">
        <f t="shared" si="53"/>
        <v>High</v>
      </c>
      <c r="S677" t="str">
        <f t="shared" si="54"/>
        <v>Valid</v>
      </c>
    </row>
    <row r="678" spans="1:19" x14ac:dyDescent="0.25">
      <c r="A678" s="1">
        <v>45571</v>
      </c>
      <c r="B678" s="1" t="str">
        <f t="shared" si="50"/>
        <v>2024-10</v>
      </c>
      <c r="C678" t="s">
        <v>18</v>
      </c>
      <c r="D678" t="s">
        <v>29</v>
      </c>
      <c r="E678" t="s">
        <v>25</v>
      </c>
      <c r="F678" t="s">
        <v>23</v>
      </c>
      <c r="G678" s="4">
        <v>122286</v>
      </c>
      <c r="H678" s="4">
        <v>7642</v>
      </c>
      <c r="I678" s="5">
        <v>6.25E-2</v>
      </c>
      <c r="J678" s="2">
        <v>1.47</v>
      </c>
      <c r="K678" s="6">
        <v>11233.74</v>
      </c>
      <c r="L678" s="4">
        <v>201</v>
      </c>
      <c r="M678" s="2">
        <v>55.89</v>
      </c>
      <c r="N678" s="6">
        <v>60002.91</v>
      </c>
      <c r="O678" s="6">
        <f t="shared" si="51"/>
        <v>48769.170000000006</v>
      </c>
      <c r="P678" s="6">
        <f t="shared" si="52"/>
        <v>4.3413119762429968</v>
      </c>
      <c r="Q678" s="3">
        <v>5.34</v>
      </c>
      <c r="R678" t="str">
        <f t="shared" si="53"/>
        <v>High</v>
      </c>
      <c r="S678" t="str">
        <f t="shared" si="54"/>
        <v>Valid</v>
      </c>
    </row>
    <row r="679" spans="1:19" x14ac:dyDescent="0.25">
      <c r="A679" s="1">
        <v>45357</v>
      </c>
      <c r="B679" s="1" t="str">
        <f t="shared" si="50"/>
        <v>2024-03</v>
      </c>
      <c r="C679" t="s">
        <v>18</v>
      </c>
      <c r="D679" t="s">
        <v>24</v>
      </c>
      <c r="E679" t="s">
        <v>22</v>
      </c>
      <c r="F679" t="s">
        <v>20</v>
      </c>
      <c r="G679" s="4">
        <v>60114</v>
      </c>
      <c r="H679" s="4">
        <v>4917</v>
      </c>
      <c r="I679" s="5">
        <v>8.1799999999999998E-2</v>
      </c>
      <c r="J679" s="2">
        <v>1.35</v>
      </c>
      <c r="K679" s="6">
        <v>6637.95</v>
      </c>
      <c r="L679" s="4">
        <v>279</v>
      </c>
      <c r="M679" s="2">
        <v>23.79</v>
      </c>
      <c r="N679" s="6">
        <v>15410.94</v>
      </c>
      <c r="O679" s="6">
        <f t="shared" si="51"/>
        <v>8772.9900000000016</v>
      </c>
      <c r="P679" s="6">
        <f t="shared" si="52"/>
        <v>1.3216414706347595</v>
      </c>
      <c r="Q679" s="3">
        <v>2.3199999999999998</v>
      </c>
      <c r="R679" t="str">
        <f t="shared" si="53"/>
        <v>Medium</v>
      </c>
      <c r="S679" t="str">
        <f t="shared" si="54"/>
        <v>Valid</v>
      </c>
    </row>
    <row r="680" spans="1:19" x14ac:dyDescent="0.25">
      <c r="A680" s="1">
        <v>45326</v>
      </c>
      <c r="B680" s="1" t="str">
        <f t="shared" si="50"/>
        <v>2024-02</v>
      </c>
      <c r="C680" t="s">
        <v>28</v>
      </c>
      <c r="D680" t="s">
        <v>29</v>
      </c>
      <c r="E680" t="s">
        <v>22</v>
      </c>
      <c r="F680" t="s">
        <v>32</v>
      </c>
      <c r="G680" s="4">
        <v>124004</v>
      </c>
      <c r="H680" s="4">
        <v>2083</v>
      </c>
      <c r="I680" s="5">
        <v>1.6799999999999999E-2</v>
      </c>
      <c r="J680" s="2">
        <v>1.51</v>
      </c>
      <c r="K680" s="6">
        <v>3145.33</v>
      </c>
      <c r="L680" s="4">
        <v>49</v>
      </c>
      <c r="M680" s="2">
        <v>64.19</v>
      </c>
      <c r="N680" s="6">
        <v>9959.3700000000008</v>
      </c>
      <c r="O680" s="6">
        <f t="shared" si="51"/>
        <v>6814.0400000000009</v>
      </c>
      <c r="P680" s="6">
        <f t="shared" si="52"/>
        <v>2.1663990741829955</v>
      </c>
      <c r="Q680" s="3">
        <v>3.17</v>
      </c>
      <c r="R680" t="str">
        <f t="shared" si="53"/>
        <v>High</v>
      </c>
      <c r="S680" t="str">
        <f t="shared" si="54"/>
        <v>Valid</v>
      </c>
    </row>
    <row r="681" spans="1:19" x14ac:dyDescent="0.25">
      <c r="A681" s="1">
        <v>45327</v>
      </c>
      <c r="B681" s="1" t="str">
        <f t="shared" si="50"/>
        <v>2024-02</v>
      </c>
      <c r="C681" t="s">
        <v>18</v>
      </c>
      <c r="D681" t="s">
        <v>15</v>
      </c>
      <c r="E681" t="s">
        <v>30</v>
      </c>
      <c r="F681" t="s">
        <v>20</v>
      </c>
      <c r="G681" s="4">
        <v>168322</v>
      </c>
      <c r="H681" s="4">
        <v>4965</v>
      </c>
      <c r="I681" s="5">
        <v>2.9499999999999998E-2</v>
      </c>
      <c r="J681" s="2">
        <v>0.91</v>
      </c>
      <c r="K681" s="6">
        <v>4518.1499999999996</v>
      </c>
      <c r="L681" s="4">
        <v>228</v>
      </c>
      <c r="M681" s="2">
        <v>19.82</v>
      </c>
      <c r="N681" s="6">
        <v>49052.14</v>
      </c>
      <c r="O681" s="6">
        <f t="shared" si="51"/>
        <v>44533.99</v>
      </c>
      <c r="P681" s="6">
        <f t="shared" si="52"/>
        <v>9.8566869183183385</v>
      </c>
      <c r="Q681" s="3">
        <v>10.86</v>
      </c>
      <c r="R681" t="str">
        <f t="shared" si="53"/>
        <v>High</v>
      </c>
      <c r="S681" t="str">
        <f t="shared" si="54"/>
        <v>Valid</v>
      </c>
    </row>
    <row r="682" spans="1:19" x14ac:dyDescent="0.25">
      <c r="A682" s="1">
        <v>45421</v>
      </c>
      <c r="B682" s="1" t="str">
        <f t="shared" si="50"/>
        <v>2024-05</v>
      </c>
      <c r="C682" t="s">
        <v>28</v>
      </c>
      <c r="D682" t="s">
        <v>29</v>
      </c>
      <c r="E682" t="s">
        <v>22</v>
      </c>
      <c r="F682" t="s">
        <v>26</v>
      </c>
      <c r="G682" s="4">
        <v>113957</v>
      </c>
      <c r="H682" s="4">
        <v>3008</v>
      </c>
      <c r="I682" s="5">
        <v>2.64E-2</v>
      </c>
      <c r="J682" s="2">
        <v>2.33</v>
      </c>
      <c r="K682" s="6">
        <v>7008.64</v>
      </c>
      <c r="L682" s="4">
        <v>127</v>
      </c>
      <c r="M682" s="2">
        <v>55.19</v>
      </c>
      <c r="N682" s="6">
        <v>17960.45</v>
      </c>
      <c r="O682" s="6">
        <f t="shared" si="51"/>
        <v>10951.810000000001</v>
      </c>
      <c r="P682" s="6">
        <f t="shared" si="52"/>
        <v>1.5626155716372936</v>
      </c>
      <c r="Q682" s="3">
        <v>2.56</v>
      </c>
      <c r="R682" t="str">
        <f t="shared" si="53"/>
        <v>Medium</v>
      </c>
      <c r="S682" t="str">
        <f t="shared" si="54"/>
        <v>Valid</v>
      </c>
    </row>
    <row r="683" spans="1:19" x14ac:dyDescent="0.25">
      <c r="A683" s="1">
        <v>45326</v>
      </c>
      <c r="B683" s="1" t="str">
        <f t="shared" si="50"/>
        <v>2024-02</v>
      </c>
      <c r="C683" t="s">
        <v>14</v>
      </c>
      <c r="D683" t="s">
        <v>15</v>
      </c>
      <c r="E683" t="s">
        <v>25</v>
      </c>
      <c r="F683" t="s">
        <v>23</v>
      </c>
      <c r="G683" s="4">
        <v>137290</v>
      </c>
      <c r="H683" s="4">
        <v>5011</v>
      </c>
      <c r="I683" s="5">
        <v>3.6499999999999998E-2</v>
      </c>
      <c r="J683" s="2">
        <v>1.56</v>
      </c>
      <c r="K683" s="6">
        <v>7817.16</v>
      </c>
      <c r="L683" s="4">
        <v>323</v>
      </c>
      <c r="M683" s="2">
        <v>24.2</v>
      </c>
      <c r="N683" s="6">
        <v>28440.57</v>
      </c>
      <c r="O683" s="6">
        <f t="shared" si="51"/>
        <v>20623.41</v>
      </c>
      <c r="P683" s="6">
        <f t="shared" si="52"/>
        <v>2.6382228328446646</v>
      </c>
      <c r="Q683" s="3">
        <v>3.64</v>
      </c>
      <c r="R683" t="str">
        <f t="shared" si="53"/>
        <v>High</v>
      </c>
      <c r="S683" t="str">
        <f t="shared" si="54"/>
        <v>Valid</v>
      </c>
    </row>
    <row r="684" spans="1:19" x14ac:dyDescent="0.25">
      <c r="A684" s="1">
        <v>45433</v>
      </c>
      <c r="B684" s="1" t="str">
        <f t="shared" si="50"/>
        <v>2024-05</v>
      </c>
      <c r="C684" t="s">
        <v>28</v>
      </c>
      <c r="D684" t="s">
        <v>21</v>
      </c>
      <c r="E684" t="s">
        <v>16</v>
      </c>
      <c r="F684" t="s">
        <v>17</v>
      </c>
      <c r="G684" s="4">
        <v>12253</v>
      </c>
      <c r="H684" s="4">
        <v>468</v>
      </c>
      <c r="I684" s="5">
        <v>3.8199999999999998E-2</v>
      </c>
      <c r="J684" s="2">
        <v>0.77</v>
      </c>
      <c r="K684" s="6">
        <v>360.36</v>
      </c>
      <c r="L684" s="4">
        <v>9</v>
      </c>
      <c r="M684" s="2">
        <v>40.04</v>
      </c>
      <c r="N684" s="6">
        <v>1433.96</v>
      </c>
      <c r="O684" s="6">
        <f t="shared" si="51"/>
        <v>1073.5999999999999</v>
      </c>
      <c r="P684" s="6">
        <f t="shared" si="52"/>
        <v>2.9792429792429789</v>
      </c>
      <c r="Q684" s="3">
        <v>3.98</v>
      </c>
      <c r="R684" t="str">
        <f t="shared" si="53"/>
        <v>High</v>
      </c>
      <c r="S684" t="str">
        <f t="shared" si="54"/>
        <v>Valid</v>
      </c>
    </row>
    <row r="685" spans="1:19" x14ac:dyDescent="0.25">
      <c r="A685" s="1">
        <v>45647</v>
      </c>
      <c r="B685" s="1" t="str">
        <f t="shared" si="50"/>
        <v>2024-12</v>
      </c>
      <c r="C685" t="s">
        <v>14</v>
      </c>
      <c r="D685" t="s">
        <v>21</v>
      </c>
      <c r="E685" t="s">
        <v>19</v>
      </c>
      <c r="F685" t="s">
        <v>32</v>
      </c>
      <c r="G685" s="4">
        <v>109216</v>
      </c>
      <c r="H685" s="4">
        <v>5777</v>
      </c>
      <c r="I685" s="5">
        <v>5.2900000000000003E-2</v>
      </c>
      <c r="J685" s="2">
        <v>3.06</v>
      </c>
      <c r="K685" s="6">
        <v>17677.62</v>
      </c>
      <c r="L685" s="4">
        <v>140</v>
      </c>
      <c r="M685" s="2">
        <v>126.27</v>
      </c>
      <c r="N685" s="6">
        <v>11237.04</v>
      </c>
      <c r="O685" s="6">
        <f t="shared" si="51"/>
        <v>-6440.5799999999981</v>
      </c>
      <c r="P685" s="6">
        <f t="shared" si="52"/>
        <v>-0.36433524422405272</v>
      </c>
      <c r="Q685" s="3">
        <v>0.64</v>
      </c>
      <c r="R685" t="str">
        <f t="shared" si="53"/>
        <v>Low</v>
      </c>
      <c r="S685" t="str">
        <f t="shared" si="54"/>
        <v>Valid</v>
      </c>
    </row>
    <row r="686" spans="1:19" x14ac:dyDescent="0.25">
      <c r="A686" s="1">
        <v>45354</v>
      </c>
      <c r="B686" s="1" t="str">
        <f t="shared" si="50"/>
        <v>2024-03</v>
      </c>
      <c r="C686" t="s">
        <v>14</v>
      </c>
      <c r="D686" t="s">
        <v>24</v>
      </c>
      <c r="E686" t="s">
        <v>16</v>
      </c>
      <c r="F686" t="s">
        <v>27</v>
      </c>
      <c r="G686" s="4">
        <v>166215</v>
      </c>
      <c r="H686" s="4">
        <v>9158</v>
      </c>
      <c r="I686" s="5">
        <v>5.5100000000000003E-2</v>
      </c>
      <c r="J686" s="2">
        <v>0.72</v>
      </c>
      <c r="K686" s="6">
        <v>6593.76</v>
      </c>
      <c r="L686" s="4">
        <v>112</v>
      </c>
      <c r="M686" s="2">
        <v>58.87</v>
      </c>
      <c r="N686" s="6">
        <v>29121.09</v>
      </c>
      <c r="O686" s="6">
        <f t="shared" si="51"/>
        <v>22527.33</v>
      </c>
      <c r="P686" s="6">
        <f t="shared" si="52"/>
        <v>3.4164619276406785</v>
      </c>
      <c r="Q686" s="3">
        <v>4.42</v>
      </c>
      <c r="R686" t="str">
        <f t="shared" si="53"/>
        <v>High</v>
      </c>
      <c r="S686" t="str">
        <f t="shared" si="54"/>
        <v>Valid</v>
      </c>
    </row>
    <row r="687" spans="1:19" x14ac:dyDescent="0.25">
      <c r="A687" s="1">
        <v>45625</v>
      </c>
      <c r="B687" s="1" t="str">
        <f t="shared" si="50"/>
        <v>2024-11</v>
      </c>
      <c r="C687" t="s">
        <v>28</v>
      </c>
      <c r="D687" t="s">
        <v>24</v>
      </c>
      <c r="E687" t="s">
        <v>25</v>
      </c>
      <c r="F687" t="s">
        <v>31</v>
      </c>
      <c r="G687" s="4">
        <v>140678</v>
      </c>
      <c r="H687" s="4">
        <v>5655</v>
      </c>
      <c r="I687" s="5">
        <v>4.02E-2</v>
      </c>
      <c r="J687" s="2">
        <v>2.0699999999999998</v>
      </c>
      <c r="K687" s="6">
        <v>11705.85</v>
      </c>
      <c r="L687" s="4">
        <v>154</v>
      </c>
      <c r="M687" s="2">
        <v>76.010000000000005</v>
      </c>
      <c r="N687" s="6">
        <v>7932.09</v>
      </c>
      <c r="O687" s="6">
        <f t="shared" si="51"/>
        <v>-3773.76</v>
      </c>
      <c r="P687" s="6">
        <f t="shared" si="52"/>
        <v>-0.32238239854431761</v>
      </c>
      <c r="Q687" s="3">
        <v>0.68</v>
      </c>
      <c r="R687" t="str">
        <f t="shared" si="53"/>
        <v>Low</v>
      </c>
      <c r="S687" t="str">
        <f t="shared" si="54"/>
        <v>Valid</v>
      </c>
    </row>
    <row r="688" spans="1:19" x14ac:dyDescent="0.25">
      <c r="A688" s="1">
        <v>45492</v>
      </c>
      <c r="B688" s="1" t="str">
        <f t="shared" si="50"/>
        <v>2024-07</v>
      </c>
      <c r="C688" t="s">
        <v>14</v>
      </c>
      <c r="D688" t="s">
        <v>15</v>
      </c>
      <c r="E688" t="s">
        <v>30</v>
      </c>
      <c r="F688" t="s">
        <v>17</v>
      </c>
      <c r="G688" s="4">
        <v>176066</v>
      </c>
      <c r="H688" s="4">
        <v>5264</v>
      </c>
      <c r="I688" s="5">
        <v>2.9899999999999999E-2</v>
      </c>
      <c r="J688" s="2">
        <v>1.58</v>
      </c>
      <c r="K688" s="6">
        <v>8317.1200000000008</v>
      </c>
      <c r="L688" s="4">
        <v>119</v>
      </c>
      <c r="M688" s="2">
        <v>69.89</v>
      </c>
      <c r="N688" s="6">
        <v>28182.41</v>
      </c>
      <c r="O688" s="6">
        <f t="shared" si="51"/>
        <v>19865.29</v>
      </c>
      <c r="P688" s="6">
        <f t="shared" si="52"/>
        <v>2.3884818302489323</v>
      </c>
      <c r="Q688" s="3">
        <v>3.39</v>
      </c>
      <c r="R688" t="str">
        <f t="shared" si="53"/>
        <v>High</v>
      </c>
      <c r="S688" t="str">
        <f t="shared" si="54"/>
        <v>Valid</v>
      </c>
    </row>
    <row r="689" spans="1:19" x14ac:dyDescent="0.25">
      <c r="A689" s="1">
        <v>45411</v>
      </c>
      <c r="B689" s="1" t="str">
        <f t="shared" si="50"/>
        <v>2024-04</v>
      </c>
      <c r="C689" t="s">
        <v>14</v>
      </c>
      <c r="D689" t="s">
        <v>15</v>
      </c>
      <c r="E689" t="s">
        <v>22</v>
      </c>
      <c r="F689" t="s">
        <v>27</v>
      </c>
      <c r="G689" s="4">
        <v>59418</v>
      </c>
      <c r="H689" s="4">
        <v>1996</v>
      </c>
      <c r="I689" s="5">
        <v>3.3599999999999998E-2</v>
      </c>
      <c r="J689" s="2">
        <v>1.65</v>
      </c>
      <c r="K689" s="6">
        <v>3293.4</v>
      </c>
      <c r="L689" s="4">
        <v>80</v>
      </c>
      <c r="M689" s="2">
        <v>41.17</v>
      </c>
      <c r="N689" s="6">
        <v>3528.5</v>
      </c>
      <c r="O689" s="6">
        <f t="shared" si="51"/>
        <v>235.09999999999991</v>
      </c>
      <c r="P689" s="6">
        <f t="shared" si="52"/>
        <v>7.138519463168759E-2</v>
      </c>
      <c r="Q689" s="3">
        <v>1.07</v>
      </c>
      <c r="R689" t="str">
        <f t="shared" si="53"/>
        <v>Medium</v>
      </c>
      <c r="S689" t="str">
        <f t="shared" si="54"/>
        <v>Valid</v>
      </c>
    </row>
    <row r="690" spans="1:19" x14ac:dyDescent="0.25">
      <c r="A690" s="1">
        <v>45318</v>
      </c>
      <c r="B690" s="1" t="str">
        <f t="shared" si="50"/>
        <v>2024-01</v>
      </c>
      <c r="C690" t="s">
        <v>14</v>
      </c>
      <c r="D690" t="s">
        <v>15</v>
      </c>
      <c r="E690" t="s">
        <v>19</v>
      </c>
      <c r="F690" t="s">
        <v>17</v>
      </c>
      <c r="G690" s="4">
        <v>143183</v>
      </c>
      <c r="H690" s="4">
        <v>5784</v>
      </c>
      <c r="I690" s="5">
        <v>4.0399999999999998E-2</v>
      </c>
      <c r="J690" s="2">
        <v>0.86</v>
      </c>
      <c r="K690" s="6">
        <v>4974.24</v>
      </c>
      <c r="L690" s="4">
        <v>432</v>
      </c>
      <c r="M690" s="2">
        <v>11.51</v>
      </c>
      <c r="N690" s="6">
        <v>88233.11</v>
      </c>
      <c r="O690" s="6">
        <f t="shared" si="51"/>
        <v>83258.87</v>
      </c>
      <c r="P690" s="6">
        <f t="shared" si="52"/>
        <v>16.738008218340891</v>
      </c>
      <c r="Q690" s="3">
        <v>17.739999999999998</v>
      </c>
      <c r="R690" t="str">
        <f t="shared" si="53"/>
        <v>High</v>
      </c>
      <c r="S690" t="str">
        <f t="shared" si="54"/>
        <v>Valid</v>
      </c>
    </row>
    <row r="691" spans="1:19" x14ac:dyDescent="0.25">
      <c r="A691" s="1">
        <v>45492</v>
      </c>
      <c r="B691" s="1" t="str">
        <f t="shared" si="50"/>
        <v>2024-07</v>
      </c>
      <c r="C691" t="s">
        <v>28</v>
      </c>
      <c r="D691" t="s">
        <v>24</v>
      </c>
      <c r="E691" t="s">
        <v>30</v>
      </c>
      <c r="F691" t="s">
        <v>31</v>
      </c>
      <c r="G691" s="4">
        <v>194059</v>
      </c>
      <c r="H691" s="4">
        <v>3434</v>
      </c>
      <c r="I691" s="5">
        <v>1.77E-2</v>
      </c>
      <c r="J691" s="2">
        <v>1.36</v>
      </c>
      <c r="K691" s="6">
        <v>4670.24</v>
      </c>
      <c r="L691" s="4">
        <v>193</v>
      </c>
      <c r="M691" s="2">
        <v>24.2</v>
      </c>
      <c r="N691" s="6">
        <v>7460.79</v>
      </c>
      <c r="O691" s="6">
        <f t="shared" si="51"/>
        <v>2790.55</v>
      </c>
      <c r="P691" s="6">
        <f t="shared" si="52"/>
        <v>0.59751747233546892</v>
      </c>
      <c r="Q691" s="3">
        <v>1.6</v>
      </c>
      <c r="R691" t="str">
        <f t="shared" si="53"/>
        <v>Medium</v>
      </c>
      <c r="S691" t="str">
        <f t="shared" si="54"/>
        <v>Valid</v>
      </c>
    </row>
    <row r="692" spans="1:19" x14ac:dyDescent="0.25">
      <c r="A692" s="1">
        <v>45506</v>
      </c>
      <c r="B692" s="1" t="str">
        <f t="shared" si="50"/>
        <v>2024-08</v>
      </c>
      <c r="C692" t="s">
        <v>14</v>
      </c>
      <c r="D692" t="s">
        <v>24</v>
      </c>
      <c r="E692" t="s">
        <v>25</v>
      </c>
      <c r="F692" t="s">
        <v>17</v>
      </c>
      <c r="G692" s="4">
        <v>98899</v>
      </c>
      <c r="H692" s="4">
        <v>2185</v>
      </c>
      <c r="I692" s="5">
        <v>2.2100000000000002E-2</v>
      </c>
      <c r="J692" s="2">
        <v>3.16</v>
      </c>
      <c r="K692" s="6">
        <v>6904.6</v>
      </c>
      <c r="L692" s="4">
        <v>171</v>
      </c>
      <c r="M692" s="2">
        <v>40.380000000000003</v>
      </c>
      <c r="N692" s="6">
        <v>45859.64</v>
      </c>
      <c r="O692" s="6">
        <f t="shared" si="51"/>
        <v>38955.040000000001</v>
      </c>
      <c r="P692" s="6">
        <f t="shared" si="52"/>
        <v>5.6418967065434638</v>
      </c>
      <c r="Q692" s="3">
        <v>6.64</v>
      </c>
      <c r="R692" t="str">
        <f t="shared" si="53"/>
        <v>High</v>
      </c>
      <c r="S692" t="str">
        <f t="shared" si="54"/>
        <v>Valid</v>
      </c>
    </row>
    <row r="693" spans="1:19" x14ac:dyDescent="0.25">
      <c r="A693" s="1">
        <v>45347</v>
      </c>
      <c r="B693" s="1" t="str">
        <f t="shared" si="50"/>
        <v>2024-02</v>
      </c>
      <c r="C693" t="s">
        <v>28</v>
      </c>
      <c r="D693" t="s">
        <v>15</v>
      </c>
      <c r="E693" t="s">
        <v>30</v>
      </c>
      <c r="F693" t="s">
        <v>20</v>
      </c>
      <c r="G693" s="4">
        <v>129494</v>
      </c>
      <c r="H693" s="4">
        <v>1631</v>
      </c>
      <c r="I693" s="5">
        <v>1.26E-2</v>
      </c>
      <c r="J693" s="2">
        <v>2.14</v>
      </c>
      <c r="K693" s="6">
        <v>3490.34</v>
      </c>
      <c r="L693" s="4">
        <v>108</v>
      </c>
      <c r="M693" s="2">
        <v>32.32</v>
      </c>
      <c r="N693" s="6">
        <v>28288.04</v>
      </c>
      <c r="O693" s="6">
        <f t="shared" si="51"/>
        <v>24797.7</v>
      </c>
      <c r="P693" s="6">
        <f t="shared" si="52"/>
        <v>7.1046660210753103</v>
      </c>
      <c r="Q693" s="3">
        <v>8.1</v>
      </c>
      <c r="R693" t="str">
        <f t="shared" si="53"/>
        <v>High</v>
      </c>
      <c r="S693" t="str">
        <f t="shared" si="54"/>
        <v>Valid</v>
      </c>
    </row>
    <row r="694" spans="1:19" x14ac:dyDescent="0.25">
      <c r="A694" s="1">
        <v>45354</v>
      </c>
      <c r="B694" s="1" t="str">
        <f t="shared" si="50"/>
        <v>2024-03</v>
      </c>
      <c r="C694" t="s">
        <v>18</v>
      </c>
      <c r="D694" t="s">
        <v>24</v>
      </c>
      <c r="E694" t="s">
        <v>25</v>
      </c>
      <c r="F694" t="s">
        <v>17</v>
      </c>
      <c r="G694" s="4">
        <v>191443</v>
      </c>
      <c r="H694" s="4">
        <v>6872</v>
      </c>
      <c r="I694" s="5">
        <v>3.5900000000000001E-2</v>
      </c>
      <c r="J694" s="2">
        <v>1.67</v>
      </c>
      <c r="K694" s="6">
        <v>11476.24</v>
      </c>
      <c r="L694" s="4">
        <v>422</v>
      </c>
      <c r="M694" s="2">
        <v>27.19</v>
      </c>
      <c r="N694" s="6">
        <v>108198.8</v>
      </c>
      <c r="O694" s="6">
        <f t="shared" si="51"/>
        <v>96722.559999999998</v>
      </c>
      <c r="P694" s="6">
        <f t="shared" si="52"/>
        <v>8.4280705178699638</v>
      </c>
      <c r="Q694" s="3">
        <v>9.43</v>
      </c>
      <c r="R694" t="str">
        <f t="shared" si="53"/>
        <v>High</v>
      </c>
      <c r="S694" t="str">
        <f t="shared" si="54"/>
        <v>Valid</v>
      </c>
    </row>
    <row r="695" spans="1:19" x14ac:dyDescent="0.25">
      <c r="A695" s="1">
        <v>45656</v>
      </c>
      <c r="B695" s="1" t="str">
        <f t="shared" si="50"/>
        <v>2024-12</v>
      </c>
      <c r="C695" t="s">
        <v>18</v>
      </c>
      <c r="D695" t="s">
        <v>15</v>
      </c>
      <c r="E695" t="s">
        <v>25</v>
      </c>
      <c r="F695" t="s">
        <v>32</v>
      </c>
      <c r="G695" s="4">
        <v>61950</v>
      </c>
      <c r="H695" s="4">
        <v>4076</v>
      </c>
      <c r="I695" s="5">
        <v>6.5799999999999997E-2</v>
      </c>
      <c r="J695" s="2">
        <v>0.3</v>
      </c>
      <c r="K695" s="6">
        <v>1222.8</v>
      </c>
      <c r="L695" s="4">
        <v>97</v>
      </c>
      <c r="M695" s="2">
        <v>12.61</v>
      </c>
      <c r="N695" s="6">
        <v>26763.8</v>
      </c>
      <c r="O695" s="6">
        <f t="shared" si="51"/>
        <v>25541</v>
      </c>
      <c r="P695" s="6">
        <f t="shared" si="52"/>
        <v>20.887307818122341</v>
      </c>
      <c r="Q695" s="3">
        <v>21.89</v>
      </c>
      <c r="R695" t="str">
        <f t="shared" si="53"/>
        <v>High</v>
      </c>
      <c r="S695" t="str">
        <f t="shared" si="54"/>
        <v>Valid</v>
      </c>
    </row>
    <row r="696" spans="1:19" x14ac:dyDescent="0.25">
      <c r="A696" s="1">
        <v>45604</v>
      </c>
      <c r="B696" s="1" t="str">
        <f t="shared" si="50"/>
        <v>2024-11</v>
      </c>
      <c r="C696" t="s">
        <v>14</v>
      </c>
      <c r="D696" t="s">
        <v>24</v>
      </c>
      <c r="E696" t="s">
        <v>25</v>
      </c>
      <c r="F696" t="s">
        <v>20</v>
      </c>
      <c r="G696" s="4">
        <v>34605</v>
      </c>
      <c r="H696" s="4">
        <v>809</v>
      </c>
      <c r="I696" s="5">
        <v>2.3400000000000001E-2</v>
      </c>
      <c r="J696" s="2">
        <v>1.76</v>
      </c>
      <c r="K696" s="6">
        <v>1423.84</v>
      </c>
      <c r="L696" s="4">
        <v>40</v>
      </c>
      <c r="M696" s="2">
        <v>35.6</v>
      </c>
      <c r="N696" s="6">
        <v>5146.88</v>
      </c>
      <c r="O696" s="6">
        <f t="shared" si="51"/>
        <v>3723.04</v>
      </c>
      <c r="P696" s="6">
        <f t="shared" si="52"/>
        <v>2.6147881784470166</v>
      </c>
      <c r="Q696" s="3">
        <v>3.61</v>
      </c>
      <c r="R696" t="str">
        <f t="shared" si="53"/>
        <v>High</v>
      </c>
      <c r="S696" t="str">
        <f t="shared" si="54"/>
        <v>Valid</v>
      </c>
    </row>
    <row r="697" spans="1:19" x14ac:dyDescent="0.25">
      <c r="A697" s="1">
        <v>45322</v>
      </c>
      <c r="B697" s="1" t="str">
        <f t="shared" si="50"/>
        <v>2024-01</v>
      </c>
      <c r="C697" t="s">
        <v>18</v>
      </c>
      <c r="D697" t="s">
        <v>24</v>
      </c>
      <c r="E697" t="s">
        <v>16</v>
      </c>
      <c r="F697" t="s">
        <v>17</v>
      </c>
      <c r="G697" s="4">
        <v>127790</v>
      </c>
      <c r="H697" s="4">
        <v>7015</v>
      </c>
      <c r="I697" s="5">
        <v>5.4899999999999997E-2</v>
      </c>
      <c r="J697" s="2">
        <v>1.23</v>
      </c>
      <c r="K697" s="6">
        <v>8628.4500000000007</v>
      </c>
      <c r="L697" s="4">
        <v>422</v>
      </c>
      <c r="M697" s="2">
        <v>20.45</v>
      </c>
      <c r="N697" s="6">
        <v>90118.48</v>
      </c>
      <c r="O697" s="6">
        <f t="shared" si="51"/>
        <v>81490.03</v>
      </c>
      <c r="P697" s="6">
        <f t="shared" si="52"/>
        <v>9.4443416836164076</v>
      </c>
      <c r="Q697" s="3">
        <v>10.44</v>
      </c>
      <c r="R697" t="str">
        <f t="shared" si="53"/>
        <v>High</v>
      </c>
      <c r="S697" t="str">
        <f t="shared" si="54"/>
        <v>Valid</v>
      </c>
    </row>
    <row r="698" spans="1:19" x14ac:dyDescent="0.25">
      <c r="A698" s="1">
        <v>45300</v>
      </c>
      <c r="B698" s="1" t="str">
        <f t="shared" si="50"/>
        <v>2024-01</v>
      </c>
      <c r="C698" t="s">
        <v>18</v>
      </c>
      <c r="D698" t="s">
        <v>15</v>
      </c>
      <c r="E698" t="s">
        <v>22</v>
      </c>
      <c r="F698" t="s">
        <v>26</v>
      </c>
      <c r="G698" s="4">
        <v>96310</v>
      </c>
      <c r="H698" s="4">
        <v>6905</v>
      </c>
      <c r="I698" s="5">
        <v>7.17E-2</v>
      </c>
      <c r="J698" s="2">
        <v>1.28</v>
      </c>
      <c r="K698" s="6">
        <v>8838.4</v>
      </c>
      <c r="L698" s="4">
        <v>247</v>
      </c>
      <c r="M698" s="2">
        <v>35.78</v>
      </c>
      <c r="N698" s="6">
        <v>8632.99</v>
      </c>
      <c r="O698" s="6">
        <f t="shared" si="51"/>
        <v>-205.40999999999985</v>
      </c>
      <c r="P698" s="6">
        <f t="shared" si="52"/>
        <v>-2.3240631788559001E-2</v>
      </c>
      <c r="Q698" s="3">
        <v>0.98</v>
      </c>
      <c r="R698" t="str">
        <f t="shared" si="53"/>
        <v>Low</v>
      </c>
      <c r="S698" t="str">
        <f t="shared" si="54"/>
        <v>Valid</v>
      </c>
    </row>
    <row r="699" spans="1:19" x14ac:dyDescent="0.25">
      <c r="A699" s="1">
        <v>45540</v>
      </c>
      <c r="B699" s="1" t="str">
        <f t="shared" si="50"/>
        <v>2024-09</v>
      </c>
      <c r="C699" t="s">
        <v>14</v>
      </c>
      <c r="D699" t="s">
        <v>24</v>
      </c>
      <c r="E699" t="s">
        <v>16</v>
      </c>
      <c r="F699" t="s">
        <v>31</v>
      </c>
      <c r="G699" s="4">
        <v>197589</v>
      </c>
      <c r="H699" s="4">
        <v>4781</v>
      </c>
      <c r="I699" s="5">
        <v>2.4199999999999999E-2</v>
      </c>
      <c r="J699" s="2">
        <v>1.6</v>
      </c>
      <c r="K699" s="6">
        <v>7649.6</v>
      </c>
      <c r="L699" s="4">
        <v>225</v>
      </c>
      <c r="M699" s="2">
        <v>34</v>
      </c>
      <c r="N699" s="6">
        <v>12329.91</v>
      </c>
      <c r="O699" s="6">
        <f t="shared" si="51"/>
        <v>4680.3099999999995</v>
      </c>
      <c r="P699" s="6">
        <f t="shared" si="52"/>
        <v>0.6118372202468102</v>
      </c>
      <c r="Q699" s="3">
        <v>1.61</v>
      </c>
      <c r="R699" t="str">
        <f t="shared" si="53"/>
        <v>Medium</v>
      </c>
      <c r="S699" t="str">
        <f t="shared" si="54"/>
        <v>Valid</v>
      </c>
    </row>
    <row r="700" spans="1:19" x14ac:dyDescent="0.25">
      <c r="A700" s="1">
        <v>45339</v>
      </c>
      <c r="B700" s="1" t="str">
        <f t="shared" si="50"/>
        <v>2024-02</v>
      </c>
      <c r="C700" t="s">
        <v>28</v>
      </c>
      <c r="D700" t="s">
        <v>21</v>
      </c>
      <c r="E700" t="s">
        <v>30</v>
      </c>
      <c r="F700" t="s">
        <v>23</v>
      </c>
      <c r="G700" s="4">
        <v>118566</v>
      </c>
      <c r="H700" s="4">
        <v>3711</v>
      </c>
      <c r="I700" s="5">
        <v>3.1300000000000001E-2</v>
      </c>
      <c r="J700" s="2">
        <v>1.1299999999999999</v>
      </c>
      <c r="K700" s="6">
        <v>4193.43</v>
      </c>
      <c r="L700" s="4">
        <v>58</v>
      </c>
      <c r="M700" s="2">
        <v>72.3</v>
      </c>
      <c r="N700" s="6">
        <v>14643.53</v>
      </c>
      <c r="O700" s="6">
        <f t="shared" si="51"/>
        <v>10450.1</v>
      </c>
      <c r="P700" s="6">
        <f t="shared" si="52"/>
        <v>2.4920172746415226</v>
      </c>
      <c r="Q700" s="3">
        <v>3.49</v>
      </c>
      <c r="R700" t="str">
        <f t="shared" si="53"/>
        <v>High</v>
      </c>
      <c r="S700" t="str">
        <f t="shared" si="54"/>
        <v>Valid</v>
      </c>
    </row>
    <row r="701" spans="1:19" x14ac:dyDescent="0.25">
      <c r="A701" s="1">
        <v>45560</v>
      </c>
      <c r="B701" s="1" t="str">
        <f t="shared" si="50"/>
        <v>2024-09</v>
      </c>
      <c r="C701" t="s">
        <v>28</v>
      </c>
      <c r="D701" t="s">
        <v>24</v>
      </c>
      <c r="E701" t="s">
        <v>22</v>
      </c>
      <c r="F701" t="s">
        <v>26</v>
      </c>
      <c r="G701" s="4">
        <v>199451</v>
      </c>
      <c r="H701" s="4">
        <v>3989</v>
      </c>
      <c r="I701" s="5">
        <v>0.02</v>
      </c>
      <c r="J701" s="2">
        <v>1.28</v>
      </c>
      <c r="K701" s="6">
        <v>5105.92</v>
      </c>
      <c r="L701" s="4">
        <v>110</v>
      </c>
      <c r="M701" s="2">
        <v>46.42</v>
      </c>
      <c r="N701" s="6">
        <v>8236.16</v>
      </c>
      <c r="O701" s="6">
        <f t="shared" si="51"/>
        <v>3130.24</v>
      </c>
      <c r="P701" s="6">
        <f t="shared" si="52"/>
        <v>0.6130609175231887</v>
      </c>
      <c r="Q701" s="3">
        <v>1.61</v>
      </c>
      <c r="R701" t="str">
        <f t="shared" si="53"/>
        <v>Medium</v>
      </c>
      <c r="S701" t="str">
        <f t="shared" si="54"/>
        <v>Valid</v>
      </c>
    </row>
    <row r="702" spans="1:19" x14ac:dyDescent="0.25">
      <c r="A702" s="1">
        <v>45588</v>
      </c>
      <c r="B702" s="1" t="str">
        <f t="shared" si="50"/>
        <v>2024-10</v>
      </c>
      <c r="C702" t="s">
        <v>14</v>
      </c>
      <c r="D702" t="s">
        <v>29</v>
      </c>
      <c r="E702" t="s">
        <v>25</v>
      </c>
      <c r="F702" t="s">
        <v>17</v>
      </c>
      <c r="G702" s="4">
        <v>88251</v>
      </c>
      <c r="H702" s="4">
        <v>5965</v>
      </c>
      <c r="I702" s="5">
        <v>6.7599999999999993E-2</v>
      </c>
      <c r="J702" s="2">
        <v>0.82</v>
      </c>
      <c r="K702" s="6">
        <v>4891.3</v>
      </c>
      <c r="L702" s="4">
        <v>133</v>
      </c>
      <c r="M702" s="2">
        <v>36.78</v>
      </c>
      <c r="N702" s="6">
        <v>14897.06</v>
      </c>
      <c r="O702" s="6">
        <f t="shared" si="51"/>
        <v>10005.759999999998</v>
      </c>
      <c r="P702" s="6">
        <f t="shared" si="52"/>
        <v>2.0456238627767664</v>
      </c>
      <c r="Q702" s="3">
        <v>3.05</v>
      </c>
      <c r="R702" t="str">
        <f t="shared" si="53"/>
        <v>High</v>
      </c>
      <c r="S702" t="str">
        <f t="shared" si="54"/>
        <v>Valid</v>
      </c>
    </row>
    <row r="703" spans="1:19" x14ac:dyDescent="0.25">
      <c r="A703" s="1">
        <v>45306</v>
      </c>
      <c r="B703" s="1" t="str">
        <f t="shared" si="50"/>
        <v>2024-01</v>
      </c>
      <c r="C703" t="s">
        <v>14</v>
      </c>
      <c r="D703" t="s">
        <v>29</v>
      </c>
      <c r="E703" t="s">
        <v>16</v>
      </c>
      <c r="F703" t="s">
        <v>27</v>
      </c>
      <c r="G703" s="4">
        <v>55406</v>
      </c>
      <c r="H703" s="4">
        <v>2648</v>
      </c>
      <c r="I703" s="5">
        <v>4.7800000000000002E-2</v>
      </c>
      <c r="J703" s="2">
        <v>1.9</v>
      </c>
      <c r="K703" s="6">
        <v>5031.2</v>
      </c>
      <c r="L703" s="4">
        <v>149</v>
      </c>
      <c r="M703" s="2">
        <v>33.770000000000003</v>
      </c>
      <c r="N703" s="6">
        <v>22127.3</v>
      </c>
      <c r="O703" s="6">
        <f t="shared" si="51"/>
        <v>17096.099999999999</v>
      </c>
      <c r="P703" s="6">
        <f t="shared" si="52"/>
        <v>3.3980163778025121</v>
      </c>
      <c r="Q703" s="3">
        <v>4.4000000000000004</v>
      </c>
      <c r="R703" t="str">
        <f t="shared" si="53"/>
        <v>High</v>
      </c>
      <c r="S703" t="str">
        <f t="shared" si="54"/>
        <v>Valid</v>
      </c>
    </row>
    <row r="704" spans="1:19" x14ac:dyDescent="0.25">
      <c r="A704" s="1">
        <v>45338</v>
      </c>
      <c r="B704" s="1" t="str">
        <f t="shared" si="50"/>
        <v>2024-02</v>
      </c>
      <c r="C704" t="s">
        <v>18</v>
      </c>
      <c r="D704" t="s">
        <v>29</v>
      </c>
      <c r="E704" t="s">
        <v>16</v>
      </c>
      <c r="F704" t="s">
        <v>32</v>
      </c>
      <c r="G704" s="4">
        <v>141447</v>
      </c>
      <c r="H704" s="4">
        <v>9873</v>
      </c>
      <c r="I704" s="5">
        <v>6.9800000000000001E-2</v>
      </c>
      <c r="J704" s="2">
        <v>1.39</v>
      </c>
      <c r="K704" s="6">
        <v>13723.47</v>
      </c>
      <c r="L704" s="4">
        <v>588</v>
      </c>
      <c r="M704" s="2">
        <v>23.34</v>
      </c>
      <c r="N704" s="6">
        <v>86774.51</v>
      </c>
      <c r="O704" s="6">
        <f t="shared" si="51"/>
        <v>73051.039999999994</v>
      </c>
      <c r="P704" s="6">
        <f t="shared" si="52"/>
        <v>5.3230735375236726</v>
      </c>
      <c r="Q704" s="3">
        <v>6.32</v>
      </c>
      <c r="R704" t="str">
        <f t="shared" si="53"/>
        <v>High</v>
      </c>
      <c r="S704" t="str">
        <f t="shared" si="54"/>
        <v>Valid</v>
      </c>
    </row>
    <row r="705" spans="1:19" x14ac:dyDescent="0.25">
      <c r="A705" s="1">
        <v>45328</v>
      </c>
      <c r="B705" s="1" t="str">
        <f t="shared" si="50"/>
        <v>2024-02</v>
      </c>
      <c r="C705" t="s">
        <v>14</v>
      </c>
      <c r="D705" t="s">
        <v>21</v>
      </c>
      <c r="E705" t="s">
        <v>19</v>
      </c>
      <c r="F705" t="s">
        <v>20</v>
      </c>
      <c r="G705" s="4">
        <v>73591</v>
      </c>
      <c r="H705" s="4">
        <v>2649</v>
      </c>
      <c r="I705" s="5">
        <v>3.5999999999999997E-2</v>
      </c>
      <c r="J705" s="2">
        <v>2.83</v>
      </c>
      <c r="K705" s="6">
        <v>7496.67</v>
      </c>
      <c r="L705" s="4">
        <v>161</v>
      </c>
      <c r="M705" s="2">
        <v>46.56</v>
      </c>
      <c r="N705" s="6">
        <v>45161.9</v>
      </c>
      <c r="O705" s="6">
        <f t="shared" si="51"/>
        <v>37665.230000000003</v>
      </c>
      <c r="P705" s="6">
        <f t="shared" si="52"/>
        <v>5.0242614387454703</v>
      </c>
      <c r="Q705" s="3">
        <v>6.02</v>
      </c>
      <c r="R705" t="str">
        <f t="shared" si="53"/>
        <v>High</v>
      </c>
      <c r="S705" t="str">
        <f t="shared" si="54"/>
        <v>Valid</v>
      </c>
    </row>
    <row r="706" spans="1:19" x14ac:dyDescent="0.25">
      <c r="A706" s="1">
        <v>45347</v>
      </c>
      <c r="B706" s="1" t="str">
        <f t="shared" si="50"/>
        <v>2024-02</v>
      </c>
      <c r="C706" t="s">
        <v>14</v>
      </c>
      <c r="D706" t="s">
        <v>21</v>
      </c>
      <c r="E706" t="s">
        <v>16</v>
      </c>
      <c r="F706" t="s">
        <v>31</v>
      </c>
      <c r="G706" s="4">
        <v>66477</v>
      </c>
      <c r="H706" s="4">
        <v>2718</v>
      </c>
      <c r="I706" s="5">
        <v>4.0899999999999999E-2</v>
      </c>
      <c r="J706" s="2">
        <v>2.86</v>
      </c>
      <c r="K706" s="6">
        <v>7773.48</v>
      </c>
      <c r="L706" s="4">
        <v>160</v>
      </c>
      <c r="M706" s="2">
        <v>48.58</v>
      </c>
      <c r="N706" s="6">
        <v>16856.48</v>
      </c>
      <c r="O706" s="6">
        <f t="shared" si="51"/>
        <v>9083</v>
      </c>
      <c r="P706" s="6">
        <f t="shared" si="52"/>
        <v>1.1684599432943805</v>
      </c>
      <c r="Q706" s="3">
        <v>2.17</v>
      </c>
      <c r="R706" t="str">
        <f t="shared" si="53"/>
        <v>Medium</v>
      </c>
      <c r="S706" t="str">
        <f t="shared" si="54"/>
        <v>Valid</v>
      </c>
    </row>
    <row r="707" spans="1:19" x14ac:dyDescent="0.25">
      <c r="A707" s="1">
        <v>45532</v>
      </c>
      <c r="B707" s="1" t="str">
        <f t="shared" ref="B707:B770" si="55">TEXT(A707, "yyyy-mm")</f>
        <v>2024-08</v>
      </c>
      <c r="C707" t="s">
        <v>28</v>
      </c>
      <c r="D707" t="s">
        <v>21</v>
      </c>
      <c r="E707" t="s">
        <v>30</v>
      </c>
      <c r="F707" t="s">
        <v>17</v>
      </c>
      <c r="G707" s="4">
        <v>196386</v>
      </c>
      <c r="H707" s="4">
        <v>6794</v>
      </c>
      <c r="I707" s="5">
        <v>3.4599999999999999E-2</v>
      </c>
      <c r="J707" s="2">
        <v>0.81</v>
      </c>
      <c r="K707" s="6">
        <v>5503.14</v>
      </c>
      <c r="L707" s="4">
        <v>506</v>
      </c>
      <c r="M707" s="2">
        <v>10.88</v>
      </c>
      <c r="N707" s="6">
        <v>34412.06</v>
      </c>
      <c r="O707" s="6">
        <f t="shared" ref="O707:O770" si="56">N707-K707</f>
        <v>28908.92</v>
      </c>
      <c r="P707" s="6">
        <f t="shared" ref="P707:P770" si="57">IFERROR(O707/K707, "")</f>
        <v>5.2531681912508121</v>
      </c>
      <c r="Q707" s="3">
        <v>6.25</v>
      </c>
      <c r="R707" t="str">
        <f t="shared" ref="R707:R770" si="58">IF(Q707 &gt;= 3, "High", IF(Q707&gt;=1, "Medium", "Low"))</f>
        <v>High</v>
      </c>
      <c r="S707" t="str">
        <f t="shared" ref="S707:S770" si="59">IF(OR(G707=0, H707&gt;G707, L707&gt;H707), "Invalid", "Valid")</f>
        <v>Valid</v>
      </c>
    </row>
    <row r="708" spans="1:19" x14ac:dyDescent="0.25">
      <c r="A708" s="1">
        <v>45593</v>
      </c>
      <c r="B708" s="1" t="str">
        <f t="shared" si="55"/>
        <v>2024-10</v>
      </c>
      <c r="C708" t="s">
        <v>14</v>
      </c>
      <c r="D708" t="s">
        <v>29</v>
      </c>
      <c r="E708" t="s">
        <v>16</v>
      </c>
      <c r="F708" t="s">
        <v>27</v>
      </c>
      <c r="G708" s="4">
        <v>78927</v>
      </c>
      <c r="H708" s="4">
        <v>3172</v>
      </c>
      <c r="I708" s="5">
        <v>4.02E-2</v>
      </c>
      <c r="J708" s="2">
        <v>3.2</v>
      </c>
      <c r="K708" s="6">
        <v>10150.4</v>
      </c>
      <c r="L708" s="4">
        <v>62</v>
      </c>
      <c r="M708" s="2">
        <v>163.72</v>
      </c>
      <c r="N708" s="6">
        <v>7568.63</v>
      </c>
      <c r="O708" s="6">
        <f t="shared" si="56"/>
        <v>-2581.7699999999995</v>
      </c>
      <c r="P708" s="6">
        <f t="shared" si="57"/>
        <v>-0.25435155264817144</v>
      </c>
      <c r="Q708" s="3">
        <v>0.75</v>
      </c>
      <c r="R708" t="str">
        <f t="shared" si="58"/>
        <v>Low</v>
      </c>
      <c r="S708" t="str">
        <f t="shared" si="59"/>
        <v>Valid</v>
      </c>
    </row>
    <row r="709" spans="1:19" x14ac:dyDescent="0.25">
      <c r="A709" s="1">
        <v>45636</v>
      </c>
      <c r="B709" s="1" t="str">
        <f t="shared" si="55"/>
        <v>2024-12</v>
      </c>
      <c r="C709" t="s">
        <v>14</v>
      </c>
      <c r="D709" t="s">
        <v>29</v>
      </c>
      <c r="E709" t="s">
        <v>25</v>
      </c>
      <c r="F709" t="s">
        <v>27</v>
      </c>
      <c r="G709" s="4">
        <v>184857</v>
      </c>
      <c r="H709" s="4">
        <v>3419</v>
      </c>
      <c r="I709" s="5">
        <v>1.8499999999999999E-2</v>
      </c>
      <c r="J709" s="2">
        <v>2.57</v>
      </c>
      <c r="K709" s="6">
        <v>8786.83</v>
      </c>
      <c r="L709" s="4">
        <v>248</v>
      </c>
      <c r="M709" s="2">
        <v>35.43</v>
      </c>
      <c r="N709" s="6">
        <v>70137.509999999995</v>
      </c>
      <c r="O709" s="6">
        <f t="shared" si="56"/>
        <v>61350.679999999993</v>
      </c>
      <c r="P709" s="6">
        <f t="shared" si="57"/>
        <v>6.9821175554779131</v>
      </c>
      <c r="Q709" s="3">
        <v>7.98</v>
      </c>
      <c r="R709" t="str">
        <f t="shared" si="58"/>
        <v>High</v>
      </c>
      <c r="S709" t="str">
        <f t="shared" si="59"/>
        <v>Valid</v>
      </c>
    </row>
    <row r="710" spans="1:19" x14ac:dyDescent="0.25">
      <c r="A710" s="1">
        <v>45534</v>
      </c>
      <c r="B710" s="1" t="str">
        <f t="shared" si="55"/>
        <v>2024-08</v>
      </c>
      <c r="C710" t="s">
        <v>18</v>
      </c>
      <c r="D710" t="s">
        <v>29</v>
      </c>
      <c r="E710" t="s">
        <v>19</v>
      </c>
      <c r="F710" t="s">
        <v>31</v>
      </c>
      <c r="G710" s="4">
        <v>122174</v>
      </c>
      <c r="H710" s="4">
        <v>6499</v>
      </c>
      <c r="I710" s="5">
        <v>5.3199999999999997E-2</v>
      </c>
      <c r="J710" s="2">
        <v>0.88</v>
      </c>
      <c r="K710" s="6">
        <v>5719.12</v>
      </c>
      <c r="L710" s="4">
        <v>413</v>
      </c>
      <c r="M710" s="2">
        <v>13.85</v>
      </c>
      <c r="N710" s="6">
        <v>58791.38</v>
      </c>
      <c r="O710" s="6">
        <f t="shared" si="56"/>
        <v>53072.259999999995</v>
      </c>
      <c r="P710" s="6">
        <f t="shared" si="57"/>
        <v>9.2797947936046103</v>
      </c>
      <c r="Q710" s="3">
        <v>10.28</v>
      </c>
      <c r="R710" t="str">
        <f t="shared" si="58"/>
        <v>High</v>
      </c>
      <c r="S710" t="str">
        <f t="shared" si="59"/>
        <v>Valid</v>
      </c>
    </row>
    <row r="711" spans="1:19" x14ac:dyDescent="0.25">
      <c r="A711" s="1">
        <v>45499</v>
      </c>
      <c r="B711" s="1" t="str">
        <f t="shared" si="55"/>
        <v>2024-07</v>
      </c>
      <c r="C711" t="s">
        <v>14</v>
      </c>
      <c r="D711" t="s">
        <v>15</v>
      </c>
      <c r="E711" t="s">
        <v>25</v>
      </c>
      <c r="F711" t="s">
        <v>26</v>
      </c>
      <c r="G711" s="4">
        <v>108719</v>
      </c>
      <c r="H711" s="4">
        <v>4207</v>
      </c>
      <c r="I711" s="5">
        <v>3.8699999999999998E-2</v>
      </c>
      <c r="J711" s="2">
        <v>3.2</v>
      </c>
      <c r="K711" s="6">
        <v>13462.4</v>
      </c>
      <c r="L711" s="4">
        <v>121</v>
      </c>
      <c r="M711" s="2">
        <v>111.26</v>
      </c>
      <c r="N711" s="6">
        <v>21018.47</v>
      </c>
      <c r="O711" s="6">
        <f t="shared" si="56"/>
        <v>7556.0700000000015</v>
      </c>
      <c r="P711" s="6">
        <f t="shared" si="57"/>
        <v>0.56127213572617085</v>
      </c>
      <c r="Q711" s="3">
        <v>1.56</v>
      </c>
      <c r="R711" t="str">
        <f t="shared" si="58"/>
        <v>Medium</v>
      </c>
      <c r="S711" t="str">
        <f t="shared" si="59"/>
        <v>Valid</v>
      </c>
    </row>
    <row r="712" spans="1:19" x14ac:dyDescent="0.25">
      <c r="A712" s="1">
        <v>45604</v>
      </c>
      <c r="B712" s="1" t="str">
        <f t="shared" si="55"/>
        <v>2024-11</v>
      </c>
      <c r="C712" t="s">
        <v>28</v>
      </c>
      <c r="D712" t="s">
        <v>24</v>
      </c>
      <c r="E712" t="s">
        <v>22</v>
      </c>
      <c r="F712" t="s">
        <v>32</v>
      </c>
      <c r="G712" s="4">
        <v>186949</v>
      </c>
      <c r="H712" s="4">
        <v>3140</v>
      </c>
      <c r="I712" s="5">
        <v>1.6799999999999999E-2</v>
      </c>
      <c r="J712" s="2">
        <v>0.6</v>
      </c>
      <c r="K712" s="6">
        <v>1884</v>
      </c>
      <c r="L712" s="4">
        <v>186</v>
      </c>
      <c r="M712" s="2">
        <v>10.130000000000001</v>
      </c>
      <c r="N712" s="6">
        <v>30294.1</v>
      </c>
      <c r="O712" s="6">
        <f t="shared" si="56"/>
        <v>28410.1</v>
      </c>
      <c r="P712" s="6">
        <f t="shared" si="57"/>
        <v>15.079670912951167</v>
      </c>
      <c r="Q712" s="3">
        <v>16.079999999999998</v>
      </c>
      <c r="R712" t="str">
        <f t="shared" si="58"/>
        <v>High</v>
      </c>
      <c r="S712" t="str">
        <f t="shared" si="59"/>
        <v>Valid</v>
      </c>
    </row>
    <row r="713" spans="1:19" x14ac:dyDescent="0.25">
      <c r="A713" s="1">
        <v>45547</v>
      </c>
      <c r="B713" s="1" t="str">
        <f t="shared" si="55"/>
        <v>2024-09</v>
      </c>
      <c r="C713" t="s">
        <v>14</v>
      </c>
      <c r="D713" t="s">
        <v>21</v>
      </c>
      <c r="E713" t="s">
        <v>30</v>
      </c>
      <c r="F713" t="s">
        <v>20</v>
      </c>
      <c r="G713" s="4">
        <v>193869</v>
      </c>
      <c r="H713" s="4">
        <v>13124</v>
      </c>
      <c r="I713" s="5">
        <v>6.7699999999999996E-2</v>
      </c>
      <c r="J713" s="2">
        <v>2.93</v>
      </c>
      <c r="K713" s="6">
        <v>38453.32</v>
      </c>
      <c r="L713" s="4">
        <v>264</v>
      </c>
      <c r="M713" s="2">
        <v>145.66</v>
      </c>
      <c r="N713" s="6">
        <v>67604.89</v>
      </c>
      <c r="O713" s="6">
        <f t="shared" si="56"/>
        <v>29151.57</v>
      </c>
      <c r="P713" s="6">
        <f t="shared" si="57"/>
        <v>0.75810281140874181</v>
      </c>
      <c r="Q713" s="3">
        <v>1.76</v>
      </c>
      <c r="R713" t="str">
        <f t="shared" si="58"/>
        <v>Medium</v>
      </c>
      <c r="S713" t="str">
        <f t="shared" si="59"/>
        <v>Valid</v>
      </c>
    </row>
    <row r="714" spans="1:19" x14ac:dyDescent="0.25">
      <c r="A714" s="1">
        <v>45501</v>
      </c>
      <c r="B714" s="1" t="str">
        <f t="shared" si="55"/>
        <v>2024-07</v>
      </c>
      <c r="C714" t="s">
        <v>14</v>
      </c>
      <c r="D714" t="s">
        <v>15</v>
      </c>
      <c r="E714" t="s">
        <v>19</v>
      </c>
      <c r="F714" t="s">
        <v>32</v>
      </c>
      <c r="G714" s="4">
        <v>158535</v>
      </c>
      <c r="H714" s="4">
        <v>3836</v>
      </c>
      <c r="I714" s="5">
        <v>2.4199999999999999E-2</v>
      </c>
      <c r="J714" s="2">
        <v>2.16</v>
      </c>
      <c r="K714" s="6">
        <v>8285.76</v>
      </c>
      <c r="L714" s="4">
        <v>120</v>
      </c>
      <c r="M714" s="2">
        <v>69.05</v>
      </c>
      <c r="N714" s="6">
        <v>12930.51</v>
      </c>
      <c r="O714" s="6">
        <f t="shared" si="56"/>
        <v>4644.75</v>
      </c>
      <c r="P714" s="6">
        <f t="shared" si="57"/>
        <v>0.56057018306105899</v>
      </c>
      <c r="Q714" s="3">
        <v>1.56</v>
      </c>
      <c r="R714" t="str">
        <f t="shared" si="58"/>
        <v>Medium</v>
      </c>
      <c r="S714" t="str">
        <f t="shared" si="59"/>
        <v>Valid</v>
      </c>
    </row>
    <row r="715" spans="1:19" x14ac:dyDescent="0.25">
      <c r="A715" s="1">
        <v>45640</v>
      </c>
      <c r="B715" s="1" t="str">
        <f t="shared" si="55"/>
        <v>2024-12</v>
      </c>
      <c r="C715" t="s">
        <v>18</v>
      </c>
      <c r="D715" t="s">
        <v>15</v>
      </c>
      <c r="E715" t="s">
        <v>19</v>
      </c>
      <c r="F715" t="s">
        <v>17</v>
      </c>
      <c r="G715" s="4">
        <v>148949</v>
      </c>
      <c r="H715" s="4">
        <v>12332</v>
      </c>
      <c r="I715" s="5">
        <v>8.2799999999999999E-2</v>
      </c>
      <c r="J715" s="2">
        <v>1.01</v>
      </c>
      <c r="K715" s="6">
        <v>12455.32</v>
      </c>
      <c r="L715" s="4">
        <v>546</v>
      </c>
      <c r="M715" s="2">
        <v>22.81</v>
      </c>
      <c r="N715" s="6">
        <v>95805.85</v>
      </c>
      <c r="O715" s="6">
        <f t="shared" si="56"/>
        <v>83350.53</v>
      </c>
      <c r="P715" s="6">
        <f t="shared" si="57"/>
        <v>6.6919621495071988</v>
      </c>
      <c r="Q715" s="3">
        <v>7.69</v>
      </c>
      <c r="R715" t="str">
        <f t="shared" si="58"/>
        <v>High</v>
      </c>
      <c r="S715" t="str">
        <f t="shared" si="59"/>
        <v>Valid</v>
      </c>
    </row>
    <row r="716" spans="1:19" x14ac:dyDescent="0.25">
      <c r="A716" s="1">
        <v>45492</v>
      </c>
      <c r="B716" s="1" t="str">
        <f t="shared" si="55"/>
        <v>2024-07</v>
      </c>
      <c r="C716" t="s">
        <v>14</v>
      </c>
      <c r="D716" t="s">
        <v>29</v>
      </c>
      <c r="E716" t="s">
        <v>16</v>
      </c>
      <c r="F716" t="s">
        <v>23</v>
      </c>
      <c r="G716" s="4">
        <v>184810</v>
      </c>
      <c r="H716" s="4">
        <v>7447</v>
      </c>
      <c r="I716" s="5">
        <v>4.0300000000000002E-2</v>
      </c>
      <c r="J716" s="2">
        <v>3.12</v>
      </c>
      <c r="K716" s="6">
        <v>23234.639999999999</v>
      </c>
      <c r="L716" s="4">
        <v>334</v>
      </c>
      <c r="M716" s="2">
        <v>69.56</v>
      </c>
      <c r="N716" s="6">
        <v>51289.24</v>
      </c>
      <c r="O716" s="6">
        <f t="shared" si="56"/>
        <v>28054.6</v>
      </c>
      <c r="P716" s="6">
        <f t="shared" si="57"/>
        <v>1.2074471564870384</v>
      </c>
      <c r="Q716" s="3">
        <v>2.21</v>
      </c>
      <c r="R716" t="str">
        <f t="shared" si="58"/>
        <v>Medium</v>
      </c>
      <c r="S716" t="str">
        <f t="shared" si="59"/>
        <v>Valid</v>
      </c>
    </row>
    <row r="717" spans="1:19" x14ac:dyDescent="0.25">
      <c r="A717" s="1">
        <v>45489</v>
      </c>
      <c r="B717" s="1" t="str">
        <f t="shared" si="55"/>
        <v>2024-07</v>
      </c>
      <c r="C717" t="s">
        <v>28</v>
      </c>
      <c r="D717" t="s">
        <v>21</v>
      </c>
      <c r="E717" t="s">
        <v>30</v>
      </c>
      <c r="F717" t="s">
        <v>23</v>
      </c>
      <c r="G717" s="4">
        <v>85989</v>
      </c>
      <c r="H717" s="4">
        <v>997</v>
      </c>
      <c r="I717" s="5">
        <v>1.1599999999999999E-2</v>
      </c>
      <c r="J717" s="2">
        <v>1.69</v>
      </c>
      <c r="K717" s="6">
        <v>1684.93</v>
      </c>
      <c r="L717" s="4">
        <v>37</v>
      </c>
      <c r="M717" s="2">
        <v>45.54</v>
      </c>
      <c r="N717" s="6">
        <v>4865.84</v>
      </c>
      <c r="O717" s="6">
        <f t="shared" si="56"/>
        <v>3180.91</v>
      </c>
      <c r="P717" s="6">
        <f t="shared" si="57"/>
        <v>1.8878588428005909</v>
      </c>
      <c r="Q717" s="3">
        <v>2.89</v>
      </c>
      <c r="R717" t="str">
        <f t="shared" si="58"/>
        <v>Medium</v>
      </c>
      <c r="S717" t="str">
        <f t="shared" si="59"/>
        <v>Valid</v>
      </c>
    </row>
    <row r="718" spans="1:19" x14ac:dyDescent="0.25">
      <c r="A718" s="1">
        <v>45338</v>
      </c>
      <c r="B718" s="1" t="str">
        <f t="shared" si="55"/>
        <v>2024-02</v>
      </c>
      <c r="C718" t="s">
        <v>28</v>
      </c>
      <c r="D718" t="s">
        <v>24</v>
      </c>
      <c r="E718" t="s">
        <v>16</v>
      </c>
      <c r="F718" t="s">
        <v>27</v>
      </c>
      <c r="G718" s="4">
        <v>35755</v>
      </c>
      <c r="H718" s="4">
        <v>654</v>
      </c>
      <c r="I718" s="5">
        <v>1.83E-2</v>
      </c>
      <c r="J718" s="2">
        <v>1.6</v>
      </c>
      <c r="K718" s="6">
        <v>1046.4000000000001</v>
      </c>
      <c r="L718" s="4">
        <v>40</v>
      </c>
      <c r="M718" s="2">
        <v>26.16</v>
      </c>
      <c r="N718" s="6">
        <v>11846.71</v>
      </c>
      <c r="O718" s="6">
        <f t="shared" si="56"/>
        <v>10800.31</v>
      </c>
      <c r="P718" s="6">
        <f t="shared" si="57"/>
        <v>10.321397171253821</v>
      </c>
      <c r="Q718" s="3">
        <v>11.32</v>
      </c>
      <c r="R718" t="str">
        <f t="shared" si="58"/>
        <v>High</v>
      </c>
      <c r="S718" t="str">
        <f t="shared" si="59"/>
        <v>Valid</v>
      </c>
    </row>
    <row r="719" spans="1:19" x14ac:dyDescent="0.25">
      <c r="A719" s="1">
        <v>45590</v>
      </c>
      <c r="B719" s="1" t="str">
        <f t="shared" si="55"/>
        <v>2024-10</v>
      </c>
      <c r="C719" t="s">
        <v>28</v>
      </c>
      <c r="D719" t="s">
        <v>21</v>
      </c>
      <c r="E719" t="s">
        <v>16</v>
      </c>
      <c r="F719" t="s">
        <v>20</v>
      </c>
      <c r="G719" s="4">
        <v>184298</v>
      </c>
      <c r="H719" s="4">
        <v>7758</v>
      </c>
      <c r="I719" s="5">
        <v>4.2099999999999999E-2</v>
      </c>
      <c r="J719" s="2">
        <v>1.55</v>
      </c>
      <c r="K719" s="6">
        <v>12024.9</v>
      </c>
      <c r="L719" s="4">
        <v>351</v>
      </c>
      <c r="M719" s="2">
        <v>34.26</v>
      </c>
      <c r="N719" s="6">
        <v>91198.92</v>
      </c>
      <c r="O719" s="6">
        <f t="shared" si="56"/>
        <v>79174.02</v>
      </c>
      <c r="P719" s="6">
        <f t="shared" si="57"/>
        <v>6.5841728413541905</v>
      </c>
      <c r="Q719" s="3">
        <v>7.58</v>
      </c>
      <c r="R719" t="str">
        <f t="shared" si="58"/>
        <v>High</v>
      </c>
      <c r="S719" t="str">
        <f t="shared" si="59"/>
        <v>Valid</v>
      </c>
    </row>
    <row r="720" spans="1:19" x14ac:dyDescent="0.25">
      <c r="A720" s="1">
        <v>45368</v>
      </c>
      <c r="B720" s="1" t="str">
        <f t="shared" si="55"/>
        <v>2024-03</v>
      </c>
      <c r="C720" t="s">
        <v>28</v>
      </c>
      <c r="D720" t="s">
        <v>21</v>
      </c>
      <c r="E720" t="s">
        <v>25</v>
      </c>
      <c r="F720" t="s">
        <v>31</v>
      </c>
      <c r="G720" s="4">
        <v>22878</v>
      </c>
      <c r="H720" s="4">
        <v>619</v>
      </c>
      <c r="I720" s="5">
        <v>2.7099999999999999E-2</v>
      </c>
      <c r="J720" s="2">
        <v>1.01</v>
      </c>
      <c r="K720" s="6">
        <v>625.19000000000005</v>
      </c>
      <c r="L720" s="4">
        <v>43</v>
      </c>
      <c r="M720" s="2">
        <v>14.54</v>
      </c>
      <c r="N720" s="6">
        <v>8615.57</v>
      </c>
      <c r="O720" s="6">
        <f t="shared" si="56"/>
        <v>7990.3799999999992</v>
      </c>
      <c r="P720" s="6">
        <f t="shared" si="57"/>
        <v>12.780722660311262</v>
      </c>
      <c r="Q720" s="3">
        <v>13.78</v>
      </c>
      <c r="R720" t="str">
        <f t="shared" si="58"/>
        <v>High</v>
      </c>
      <c r="S720" t="str">
        <f t="shared" si="59"/>
        <v>Valid</v>
      </c>
    </row>
    <row r="721" spans="1:19" x14ac:dyDescent="0.25">
      <c r="A721" s="1">
        <v>45612</v>
      </c>
      <c r="B721" s="1" t="str">
        <f t="shared" si="55"/>
        <v>2024-11</v>
      </c>
      <c r="C721" t="s">
        <v>28</v>
      </c>
      <c r="D721" t="s">
        <v>15</v>
      </c>
      <c r="E721" t="s">
        <v>16</v>
      </c>
      <c r="F721" t="s">
        <v>20</v>
      </c>
      <c r="G721" s="4">
        <v>151539</v>
      </c>
      <c r="H721" s="4">
        <v>3455</v>
      </c>
      <c r="I721" s="5">
        <v>2.2800000000000001E-2</v>
      </c>
      <c r="J721" s="2">
        <v>2.0499999999999998</v>
      </c>
      <c r="K721" s="6">
        <v>7082.75</v>
      </c>
      <c r="L721" s="4">
        <v>135</v>
      </c>
      <c r="M721" s="2">
        <v>52.46</v>
      </c>
      <c r="N721" s="6">
        <v>4666.78</v>
      </c>
      <c r="O721" s="6">
        <f t="shared" si="56"/>
        <v>-2415.9700000000003</v>
      </c>
      <c r="P721" s="6">
        <f t="shared" si="57"/>
        <v>-0.34110620874660269</v>
      </c>
      <c r="Q721" s="3">
        <v>0.66</v>
      </c>
      <c r="R721" t="str">
        <f t="shared" si="58"/>
        <v>Low</v>
      </c>
      <c r="S721" t="str">
        <f t="shared" si="59"/>
        <v>Valid</v>
      </c>
    </row>
    <row r="722" spans="1:19" x14ac:dyDescent="0.25">
      <c r="A722" s="1">
        <v>45591</v>
      </c>
      <c r="B722" s="1" t="str">
        <f t="shared" si="55"/>
        <v>2024-10</v>
      </c>
      <c r="C722" t="s">
        <v>14</v>
      </c>
      <c r="D722" t="s">
        <v>29</v>
      </c>
      <c r="E722" t="s">
        <v>22</v>
      </c>
      <c r="F722" t="s">
        <v>32</v>
      </c>
      <c r="G722" s="4">
        <v>180365</v>
      </c>
      <c r="H722" s="4">
        <v>6114</v>
      </c>
      <c r="I722" s="5">
        <v>3.39E-2</v>
      </c>
      <c r="J722" s="2">
        <v>3.46</v>
      </c>
      <c r="K722" s="6">
        <v>21154.44</v>
      </c>
      <c r="L722" s="4">
        <v>400</v>
      </c>
      <c r="M722" s="2">
        <v>52.89</v>
      </c>
      <c r="N722" s="6">
        <v>111623.05</v>
      </c>
      <c r="O722" s="6">
        <f t="shared" si="56"/>
        <v>90468.61</v>
      </c>
      <c r="P722" s="6">
        <f t="shared" si="57"/>
        <v>4.2765778720684642</v>
      </c>
      <c r="Q722" s="3">
        <v>5.28</v>
      </c>
      <c r="R722" t="str">
        <f t="shared" si="58"/>
        <v>High</v>
      </c>
      <c r="S722" t="str">
        <f t="shared" si="59"/>
        <v>Valid</v>
      </c>
    </row>
    <row r="723" spans="1:19" x14ac:dyDescent="0.25">
      <c r="A723" s="1">
        <v>45526</v>
      </c>
      <c r="B723" s="1" t="str">
        <f t="shared" si="55"/>
        <v>2024-08</v>
      </c>
      <c r="C723" t="s">
        <v>28</v>
      </c>
      <c r="D723" t="s">
        <v>21</v>
      </c>
      <c r="E723" t="s">
        <v>16</v>
      </c>
      <c r="F723" t="s">
        <v>32</v>
      </c>
      <c r="G723" s="4">
        <v>30168</v>
      </c>
      <c r="H723" s="4">
        <v>1080</v>
      </c>
      <c r="I723" s="5">
        <v>3.5799999999999998E-2</v>
      </c>
      <c r="J723" s="2">
        <v>0.46</v>
      </c>
      <c r="K723" s="6">
        <v>496.8</v>
      </c>
      <c r="L723" s="4">
        <v>34</v>
      </c>
      <c r="M723" s="2">
        <v>14.61</v>
      </c>
      <c r="N723" s="6">
        <v>5163.2700000000004</v>
      </c>
      <c r="O723" s="6">
        <f t="shared" si="56"/>
        <v>4666.47</v>
      </c>
      <c r="P723" s="6">
        <f t="shared" si="57"/>
        <v>9.3930555555555557</v>
      </c>
      <c r="Q723" s="3">
        <v>10.39</v>
      </c>
      <c r="R723" t="str">
        <f t="shared" si="58"/>
        <v>High</v>
      </c>
      <c r="S723" t="str">
        <f t="shared" si="59"/>
        <v>Valid</v>
      </c>
    </row>
    <row r="724" spans="1:19" x14ac:dyDescent="0.25">
      <c r="A724" s="1">
        <v>45424</v>
      </c>
      <c r="B724" s="1" t="str">
        <f t="shared" si="55"/>
        <v>2024-05</v>
      </c>
      <c r="C724" t="s">
        <v>14</v>
      </c>
      <c r="D724" t="s">
        <v>29</v>
      </c>
      <c r="E724" t="s">
        <v>16</v>
      </c>
      <c r="F724" t="s">
        <v>17</v>
      </c>
      <c r="G724" s="4">
        <v>26352</v>
      </c>
      <c r="H724" s="4">
        <v>1697</v>
      </c>
      <c r="I724" s="5">
        <v>6.4399999999999999E-2</v>
      </c>
      <c r="J724" s="2">
        <v>1.71</v>
      </c>
      <c r="K724" s="6">
        <v>2901.87</v>
      </c>
      <c r="L724" s="4">
        <v>126</v>
      </c>
      <c r="M724" s="2">
        <v>23.03</v>
      </c>
      <c r="N724" s="6">
        <v>31980.19</v>
      </c>
      <c r="O724" s="6">
        <f t="shared" si="56"/>
        <v>29078.32</v>
      </c>
      <c r="P724" s="6">
        <f t="shared" si="57"/>
        <v>10.020545372466721</v>
      </c>
      <c r="Q724" s="3">
        <v>11.02</v>
      </c>
      <c r="R724" t="str">
        <f t="shared" si="58"/>
        <v>High</v>
      </c>
      <c r="S724" t="str">
        <f t="shared" si="59"/>
        <v>Valid</v>
      </c>
    </row>
    <row r="725" spans="1:19" x14ac:dyDescent="0.25">
      <c r="A725" s="1">
        <v>45314</v>
      </c>
      <c r="B725" s="1" t="str">
        <f t="shared" si="55"/>
        <v>2024-01</v>
      </c>
      <c r="C725" t="s">
        <v>14</v>
      </c>
      <c r="D725" t="s">
        <v>15</v>
      </c>
      <c r="E725" t="s">
        <v>22</v>
      </c>
      <c r="F725" t="s">
        <v>31</v>
      </c>
      <c r="G725" s="4">
        <v>57979</v>
      </c>
      <c r="H725" s="4">
        <v>2081</v>
      </c>
      <c r="I725" s="5">
        <v>3.5900000000000001E-2</v>
      </c>
      <c r="J725" s="2">
        <v>1.89</v>
      </c>
      <c r="K725" s="6">
        <v>3933.09</v>
      </c>
      <c r="L725" s="4">
        <v>148</v>
      </c>
      <c r="M725" s="2">
        <v>26.57</v>
      </c>
      <c r="N725" s="6">
        <v>18788.47</v>
      </c>
      <c r="O725" s="6">
        <f t="shared" si="56"/>
        <v>14855.380000000001</v>
      </c>
      <c r="P725" s="6">
        <f t="shared" si="57"/>
        <v>3.7770251888464288</v>
      </c>
      <c r="Q725" s="3">
        <v>4.78</v>
      </c>
      <c r="R725" t="str">
        <f t="shared" si="58"/>
        <v>High</v>
      </c>
      <c r="S725" t="str">
        <f t="shared" si="59"/>
        <v>Valid</v>
      </c>
    </row>
    <row r="726" spans="1:19" x14ac:dyDescent="0.25">
      <c r="A726" s="1">
        <v>45577</v>
      </c>
      <c r="B726" s="1" t="str">
        <f t="shared" si="55"/>
        <v>2024-10</v>
      </c>
      <c r="C726" t="s">
        <v>14</v>
      </c>
      <c r="D726" t="s">
        <v>21</v>
      </c>
      <c r="E726" t="s">
        <v>16</v>
      </c>
      <c r="F726" t="s">
        <v>32</v>
      </c>
      <c r="G726" s="4">
        <v>173769</v>
      </c>
      <c r="H726" s="4">
        <v>6759</v>
      </c>
      <c r="I726" s="5">
        <v>3.8899999999999997E-2</v>
      </c>
      <c r="J726" s="2">
        <v>2.86</v>
      </c>
      <c r="K726" s="6">
        <v>19330.740000000002</v>
      </c>
      <c r="L726" s="4">
        <v>158</v>
      </c>
      <c r="M726" s="2">
        <v>122.35</v>
      </c>
      <c r="N726" s="6">
        <v>21350.44</v>
      </c>
      <c r="O726" s="6">
        <f t="shared" si="56"/>
        <v>2019.6999999999971</v>
      </c>
      <c r="P726" s="6">
        <f t="shared" si="57"/>
        <v>0.10448125627885932</v>
      </c>
      <c r="Q726" s="3">
        <v>1.1000000000000001</v>
      </c>
      <c r="R726" t="str">
        <f t="shared" si="58"/>
        <v>Medium</v>
      </c>
      <c r="S726" t="str">
        <f t="shared" si="59"/>
        <v>Valid</v>
      </c>
    </row>
    <row r="727" spans="1:19" x14ac:dyDescent="0.25">
      <c r="A727" s="1">
        <v>45536</v>
      </c>
      <c r="B727" s="1" t="str">
        <f t="shared" si="55"/>
        <v>2024-09</v>
      </c>
      <c r="C727" t="s">
        <v>18</v>
      </c>
      <c r="D727" t="s">
        <v>24</v>
      </c>
      <c r="E727" t="s">
        <v>25</v>
      </c>
      <c r="F727" t="s">
        <v>26</v>
      </c>
      <c r="G727" s="4">
        <v>131206</v>
      </c>
      <c r="H727" s="4">
        <v>8279</v>
      </c>
      <c r="I727" s="5">
        <v>6.3100000000000003E-2</v>
      </c>
      <c r="J727" s="2">
        <v>1.53</v>
      </c>
      <c r="K727" s="6">
        <v>12666.87</v>
      </c>
      <c r="L727" s="4">
        <v>553</v>
      </c>
      <c r="M727" s="2">
        <v>22.91</v>
      </c>
      <c r="N727" s="6">
        <v>61485.88</v>
      </c>
      <c r="O727" s="6">
        <f t="shared" si="56"/>
        <v>48819.009999999995</v>
      </c>
      <c r="P727" s="6">
        <f t="shared" si="57"/>
        <v>3.8540705004472291</v>
      </c>
      <c r="Q727" s="3">
        <v>4.8499999999999996</v>
      </c>
      <c r="R727" t="str">
        <f t="shared" si="58"/>
        <v>High</v>
      </c>
      <c r="S727" t="str">
        <f t="shared" si="59"/>
        <v>Valid</v>
      </c>
    </row>
    <row r="728" spans="1:19" x14ac:dyDescent="0.25">
      <c r="A728" s="1">
        <v>45432</v>
      </c>
      <c r="B728" s="1" t="str">
        <f t="shared" si="55"/>
        <v>2024-05</v>
      </c>
      <c r="C728" t="s">
        <v>28</v>
      </c>
      <c r="D728" t="s">
        <v>29</v>
      </c>
      <c r="E728" t="s">
        <v>19</v>
      </c>
      <c r="F728" t="s">
        <v>20</v>
      </c>
      <c r="G728" s="4">
        <v>64799</v>
      </c>
      <c r="H728" s="4">
        <v>842</v>
      </c>
      <c r="I728" s="5">
        <v>1.2999999999999999E-2</v>
      </c>
      <c r="J728" s="2">
        <v>1.75</v>
      </c>
      <c r="K728" s="6">
        <v>1473.5</v>
      </c>
      <c r="L728" s="4">
        <v>52</v>
      </c>
      <c r="M728" s="2">
        <v>28.34</v>
      </c>
      <c r="N728" s="6">
        <v>15157.93</v>
      </c>
      <c r="O728" s="6">
        <f t="shared" si="56"/>
        <v>13684.43</v>
      </c>
      <c r="P728" s="6">
        <f t="shared" si="57"/>
        <v>9.2870240922972513</v>
      </c>
      <c r="Q728" s="3">
        <v>10.29</v>
      </c>
      <c r="R728" t="str">
        <f t="shared" si="58"/>
        <v>High</v>
      </c>
      <c r="S728" t="str">
        <f t="shared" si="59"/>
        <v>Valid</v>
      </c>
    </row>
    <row r="729" spans="1:19" x14ac:dyDescent="0.25">
      <c r="A729" s="1">
        <v>45307</v>
      </c>
      <c r="B729" s="1" t="str">
        <f t="shared" si="55"/>
        <v>2024-01</v>
      </c>
      <c r="C729" t="s">
        <v>28</v>
      </c>
      <c r="D729" t="s">
        <v>24</v>
      </c>
      <c r="E729" t="s">
        <v>30</v>
      </c>
      <c r="F729" t="s">
        <v>20</v>
      </c>
      <c r="G729" s="4">
        <v>167893</v>
      </c>
      <c r="H729" s="4">
        <v>4432</v>
      </c>
      <c r="I729" s="5">
        <v>2.64E-2</v>
      </c>
      <c r="J729" s="2">
        <v>0.57999999999999996</v>
      </c>
      <c r="K729" s="6">
        <v>2570.56</v>
      </c>
      <c r="L729" s="4">
        <v>66</v>
      </c>
      <c r="M729" s="2">
        <v>38.950000000000003</v>
      </c>
      <c r="N729" s="6">
        <v>15989.78</v>
      </c>
      <c r="O729" s="6">
        <f t="shared" si="56"/>
        <v>13419.220000000001</v>
      </c>
      <c r="P729" s="6">
        <f t="shared" si="57"/>
        <v>5.2203488733972367</v>
      </c>
      <c r="Q729" s="3">
        <v>6.22</v>
      </c>
      <c r="R729" t="str">
        <f t="shared" si="58"/>
        <v>High</v>
      </c>
      <c r="S729" t="str">
        <f t="shared" si="59"/>
        <v>Valid</v>
      </c>
    </row>
    <row r="730" spans="1:19" x14ac:dyDescent="0.25">
      <c r="A730" s="1">
        <v>45411</v>
      </c>
      <c r="B730" s="1" t="str">
        <f t="shared" si="55"/>
        <v>2024-04</v>
      </c>
      <c r="C730" t="s">
        <v>14</v>
      </c>
      <c r="D730" t="s">
        <v>29</v>
      </c>
      <c r="E730" t="s">
        <v>19</v>
      </c>
      <c r="F730" t="s">
        <v>32</v>
      </c>
      <c r="G730" s="4">
        <v>72474</v>
      </c>
      <c r="H730" s="4">
        <v>4022</v>
      </c>
      <c r="I730" s="5">
        <v>5.5500000000000001E-2</v>
      </c>
      <c r="J730" s="2">
        <v>3.11</v>
      </c>
      <c r="K730" s="6">
        <v>12508.42</v>
      </c>
      <c r="L730" s="4">
        <v>142</v>
      </c>
      <c r="M730" s="2">
        <v>88.09</v>
      </c>
      <c r="N730" s="6">
        <v>38937.53</v>
      </c>
      <c r="O730" s="6">
        <f t="shared" si="56"/>
        <v>26429.11</v>
      </c>
      <c r="P730" s="6">
        <f t="shared" si="57"/>
        <v>2.1129055468236597</v>
      </c>
      <c r="Q730" s="3">
        <v>3.11</v>
      </c>
      <c r="R730" t="str">
        <f t="shared" si="58"/>
        <v>High</v>
      </c>
      <c r="S730" t="str">
        <f t="shared" si="59"/>
        <v>Valid</v>
      </c>
    </row>
    <row r="731" spans="1:19" x14ac:dyDescent="0.25">
      <c r="A731" s="1">
        <v>45590</v>
      </c>
      <c r="B731" s="1" t="str">
        <f t="shared" si="55"/>
        <v>2024-10</v>
      </c>
      <c r="C731" t="s">
        <v>28</v>
      </c>
      <c r="D731" t="s">
        <v>21</v>
      </c>
      <c r="E731" t="s">
        <v>19</v>
      </c>
      <c r="F731" t="s">
        <v>27</v>
      </c>
      <c r="G731" s="4">
        <v>138678</v>
      </c>
      <c r="H731" s="4">
        <v>1802</v>
      </c>
      <c r="I731" s="5">
        <v>1.2999999999999999E-2</v>
      </c>
      <c r="J731" s="2">
        <v>1.9</v>
      </c>
      <c r="K731" s="6">
        <v>3423.8</v>
      </c>
      <c r="L731" s="4">
        <v>61</v>
      </c>
      <c r="M731" s="2">
        <v>56.13</v>
      </c>
      <c r="N731" s="6">
        <v>2147.0300000000002</v>
      </c>
      <c r="O731" s="6">
        <f t="shared" si="56"/>
        <v>-1276.77</v>
      </c>
      <c r="P731" s="6">
        <f t="shared" si="57"/>
        <v>-0.37291021671826624</v>
      </c>
      <c r="Q731" s="3">
        <v>0.63</v>
      </c>
      <c r="R731" t="str">
        <f t="shared" si="58"/>
        <v>Low</v>
      </c>
      <c r="S731" t="str">
        <f t="shared" si="59"/>
        <v>Valid</v>
      </c>
    </row>
    <row r="732" spans="1:19" x14ac:dyDescent="0.25">
      <c r="A732" s="1">
        <v>45479</v>
      </c>
      <c r="B732" s="1" t="str">
        <f t="shared" si="55"/>
        <v>2024-07</v>
      </c>
      <c r="C732" t="s">
        <v>18</v>
      </c>
      <c r="D732" t="s">
        <v>15</v>
      </c>
      <c r="E732" t="s">
        <v>22</v>
      </c>
      <c r="F732" t="s">
        <v>17</v>
      </c>
      <c r="G732" s="4">
        <v>70195</v>
      </c>
      <c r="H732" s="4">
        <v>4239</v>
      </c>
      <c r="I732" s="5">
        <v>6.0400000000000002E-2</v>
      </c>
      <c r="J732" s="2">
        <v>1.42</v>
      </c>
      <c r="K732" s="6">
        <v>6019.38</v>
      </c>
      <c r="L732" s="4">
        <v>234</v>
      </c>
      <c r="M732" s="2">
        <v>25.72</v>
      </c>
      <c r="N732" s="6">
        <v>38776.78</v>
      </c>
      <c r="O732" s="6">
        <f t="shared" si="56"/>
        <v>32757.399999999998</v>
      </c>
      <c r="P732" s="6">
        <f t="shared" si="57"/>
        <v>5.4419890420608095</v>
      </c>
      <c r="Q732" s="3">
        <v>6.44</v>
      </c>
      <c r="R732" t="str">
        <f t="shared" si="58"/>
        <v>High</v>
      </c>
      <c r="S732" t="str">
        <f t="shared" si="59"/>
        <v>Valid</v>
      </c>
    </row>
    <row r="733" spans="1:19" x14ac:dyDescent="0.25">
      <c r="A733" s="1">
        <v>45532</v>
      </c>
      <c r="B733" s="1" t="str">
        <f t="shared" si="55"/>
        <v>2024-08</v>
      </c>
      <c r="C733" t="s">
        <v>28</v>
      </c>
      <c r="D733" t="s">
        <v>15</v>
      </c>
      <c r="E733" t="s">
        <v>19</v>
      </c>
      <c r="F733" t="s">
        <v>23</v>
      </c>
      <c r="G733" s="4">
        <v>73513</v>
      </c>
      <c r="H733" s="4">
        <v>2073</v>
      </c>
      <c r="I733" s="5">
        <v>2.8199999999999999E-2</v>
      </c>
      <c r="J733" s="2">
        <v>2.2200000000000002</v>
      </c>
      <c r="K733" s="6">
        <v>4602.0600000000004</v>
      </c>
      <c r="L733" s="4">
        <v>31</v>
      </c>
      <c r="M733" s="2">
        <v>148.44999999999999</v>
      </c>
      <c r="N733" s="6">
        <v>3401.33</v>
      </c>
      <c r="O733" s="6">
        <f t="shared" si="56"/>
        <v>-1200.7300000000005</v>
      </c>
      <c r="P733" s="6">
        <f t="shared" si="57"/>
        <v>-0.26091141793023132</v>
      </c>
      <c r="Q733" s="3">
        <v>0.74</v>
      </c>
      <c r="R733" t="str">
        <f t="shared" si="58"/>
        <v>Low</v>
      </c>
      <c r="S733" t="str">
        <f t="shared" si="59"/>
        <v>Valid</v>
      </c>
    </row>
    <row r="734" spans="1:19" x14ac:dyDescent="0.25">
      <c r="A734" s="1">
        <v>45445</v>
      </c>
      <c r="B734" s="1" t="str">
        <f t="shared" si="55"/>
        <v>2024-06</v>
      </c>
      <c r="C734" t="s">
        <v>14</v>
      </c>
      <c r="D734" t="s">
        <v>15</v>
      </c>
      <c r="E734" t="s">
        <v>25</v>
      </c>
      <c r="F734" t="s">
        <v>26</v>
      </c>
      <c r="G734" s="4">
        <v>162786</v>
      </c>
      <c r="H734" s="4">
        <v>7406</v>
      </c>
      <c r="I734" s="5">
        <v>4.5499999999999999E-2</v>
      </c>
      <c r="J734" s="2">
        <v>1.45</v>
      </c>
      <c r="K734" s="6">
        <v>10738.7</v>
      </c>
      <c r="L734" s="4">
        <v>513</v>
      </c>
      <c r="M734" s="2">
        <v>20.93</v>
      </c>
      <c r="N734" s="6">
        <v>67523.570000000007</v>
      </c>
      <c r="O734" s="6">
        <f t="shared" si="56"/>
        <v>56784.87000000001</v>
      </c>
      <c r="P734" s="6">
        <f t="shared" si="57"/>
        <v>5.2878719025580381</v>
      </c>
      <c r="Q734" s="3">
        <v>6.29</v>
      </c>
      <c r="R734" t="str">
        <f t="shared" si="58"/>
        <v>High</v>
      </c>
      <c r="S734" t="str">
        <f t="shared" si="59"/>
        <v>Valid</v>
      </c>
    </row>
    <row r="735" spans="1:19" x14ac:dyDescent="0.25">
      <c r="A735" s="1">
        <v>45558</v>
      </c>
      <c r="B735" s="1" t="str">
        <f t="shared" si="55"/>
        <v>2024-09</v>
      </c>
      <c r="C735" t="s">
        <v>14</v>
      </c>
      <c r="D735" t="s">
        <v>21</v>
      </c>
      <c r="E735" t="s">
        <v>22</v>
      </c>
      <c r="F735" t="s">
        <v>23</v>
      </c>
      <c r="G735" s="4">
        <v>133909</v>
      </c>
      <c r="H735" s="4">
        <v>5664</v>
      </c>
      <c r="I735" s="5">
        <v>4.2299999999999997E-2</v>
      </c>
      <c r="J735" s="2">
        <v>2.88</v>
      </c>
      <c r="K735" s="6">
        <v>16312.32</v>
      </c>
      <c r="L735" s="4">
        <v>117</v>
      </c>
      <c r="M735" s="2">
        <v>139.41999999999999</v>
      </c>
      <c r="N735" s="6">
        <v>11886.29</v>
      </c>
      <c r="O735" s="6">
        <f t="shared" si="56"/>
        <v>-4426.0299999999988</v>
      </c>
      <c r="P735" s="6">
        <f t="shared" si="57"/>
        <v>-0.27133050357030752</v>
      </c>
      <c r="Q735" s="3">
        <v>0.73</v>
      </c>
      <c r="R735" t="str">
        <f t="shared" si="58"/>
        <v>Low</v>
      </c>
      <c r="S735" t="str">
        <f t="shared" si="59"/>
        <v>Valid</v>
      </c>
    </row>
    <row r="736" spans="1:19" x14ac:dyDescent="0.25">
      <c r="A736" s="1">
        <v>45316</v>
      </c>
      <c r="B736" s="1" t="str">
        <f t="shared" si="55"/>
        <v>2024-01</v>
      </c>
      <c r="C736" t="s">
        <v>14</v>
      </c>
      <c r="D736" t="s">
        <v>15</v>
      </c>
      <c r="E736" t="s">
        <v>30</v>
      </c>
      <c r="F736" t="s">
        <v>32</v>
      </c>
      <c r="G736" s="4">
        <v>92185</v>
      </c>
      <c r="H736" s="4">
        <v>3779</v>
      </c>
      <c r="I736" s="5">
        <v>4.1000000000000002E-2</v>
      </c>
      <c r="J736" s="2">
        <v>1.62</v>
      </c>
      <c r="K736" s="6">
        <v>6121.98</v>
      </c>
      <c r="L736" s="4">
        <v>82</v>
      </c>
      <c r="M736" s="2">
        <v>74.66</v>
      </c>
      <c r="N736" s="6">
        <v>11861.33</v>
      </c>
      <c r="O736" s="6">
        <f t="shared" si="56"/>
        <v>5739.35</v>
      </c>
      <c r="P736" s="6">
        <f t="shared" si="57"/>
        <v>0.93749897908846502</v>
      </c>
      <c r="Q736" s="3">
        <v>1.94</v>
      </c>
      <c r="R736" t="str">
        <f t="shared" si="58"/>
        <v>Medium</v>
      </c>
      <c r="S736" t="str">
        <f t="shared" si="59"/>
        <v>Valid</v>
      </c>
    </row>
    <row r="737" spans="1:19" x14ac:dyDescent="0.25">
      <c r="A737" s="1">
        <v>45459</v>
      </c>
      <c r="B737" s="1" t="str">
        <f t="shared" si="55"/>
        <v>2024-06</v>
      </c>
      <c r="C737" t="s">
        <v>28</v>
      </c>
      <c r="D737" t="s">
        <v>15</v>
      </c>
      <c r="E737" t="s">
        <v>30</v>
      </c>
      <c r="F737" t="s">
        <v>32</v>
      </c>
      <c r="G737" s="4">
        <v>136637</v>
      </c>
      <c r="H737" s="4">
        <v>4399</v>
      </c>
      <c r="I737" s="5">
        <v>3.2199999999999999E-2</v>
      </c>
      <c r="J737" s="2">
        <v>1.31</v>
      </c>
      <c r="K737" s="6">
        <v>5762.69</v>
      </c>
      <c r="L737" s="4">
        <v>254</v>
      </c>
      <c r="M737" s="2">
        <v>22.69</v>
      </c>
      <c r="N737" s="6">
        <v>21909.38</v>
      </c>
      <c r="O737" s="6">
        <f t="shared" si="56"/>
        <v>16146.690000000002</v>
      </c>
      <c r="P737" s="6">
        <f t="shared" si="57"/>
        <v>2.8019362485228259</v>
      </c>
      <c r="Q737" s="3">
        <v>3.8</v>
      </c>
      <c r="R737" t="str">
        <f t="shared" si="58"/>
        <v>High</v>
      </c>
      <c r="S737" t="str">
        <f t="shared" si="59"/>
        <v>Valid</v>
      </c>
    </row>
    <row r="738" spans="1:19" x14ac:dyDescent="0.25">
      <c r="A738" s="1">
        <v>45447</v>
      </c>
      <c r="B738" s="1" t="str">
        <f t="shared" si="55"/>
        <v>2024-06</v>
      </c>
      <c r="C738" t="s">
        <v>28</v>
      </c>
      <c r="D738" t="s">
        <v>29</v>
      </c>
      <c r="E738" t="s">
        <v>30</v>
      </c>
      <c r="F738" t="s">
        <v>31</v>
      </c>
      <c r="G738" s="4">
        <v>56986</v>
      </c>
      <c r="H738" s="4">
        <v>1270</v>
      </c>
      <c r="I738" s="5">
        <v>2.23E-2</v>
      </c>
      <c r="J738" s="2">
        <v>0.93</v>
      </c>
      <c r="K738" s="6">
        <v>1181.0999999999999</v>
      </c>
      <c r="L738" s="4">
        <v>13</v>
      </c>
      <c r="M738" s="2">
        <v>90.85</v>
      </c>
      <c r="N738" s="6">
        <v>3679.26</v>
      </c>
      <c r="O738" s="6">
        <f t="shared" si="56"/>
        <v>2498.1600000000003</v>
      </c>
      <c r="P738" s="6">
        <f t="shared" si="57"/>
        <v>2.1151130302260608</v>
      </c>
      <c r="Q738" s="3">
        <v>3.12</v>
      </c>
      <c r="R738" t="str">
        <f t="shared" si="58"/>
        <v>High</v>
      </c>
      <c r="S738" t="str">
        <f t="shared" si="59"/>
        <v>Valid</v>
      </c>
    </row>
    <row r="739" spans="1:19" x14ac:dyDescent="0.25">
      <c r="A739" s="1">
        <v>45342</v>
      </c>
      <c r="B739" s="1" t="str">
        <f t="shared" si="55"/>
        <v>2024-02</v>
      </c>
      <c r="C739" t="s">
        <v>28</v>
      </c>
      <c r="D739" t="s">
        <v>29</v>
      </c>
      <c r="E739" t="s">
        <v>25</v>
      </c>
      <c r="F739" t="s">
        <v>20</v>
      </c>
      <c r="G739" s="4">
        <v>148859</v>
      </c>
      <c r="H739" s="4">
        <v>3840</v>
      </c>
      <c r="I739" s="5">
        <v>2.58E-2</v>
      </c>
      <c r="J739" s="2">
        <v>1.8</v>
      </c>
      <c r="K739" s="6">
        <v>6912</v>
      </c>
      <c r="L739" s="4">
        <v>250</v>
      </c>
      <c r="M739" s="2">
        <v>27.65</v>
      </c>
      <c r="N739" s="6">
        <v>22027.39</v>
      </c>
      <c r="O739" s="6">
        <f t="shared" si="56"/>
        <v>15115.39</v>
      </c>
      <c r="P739" s="6">
        <f t="shared" si="57"/>
        <v>2.1868330439814816</v>
      </c>
      <c r="Q739" s="3">
        <v>3.19</v>
      </c>
      <c r="R739" t="str">
        <f t="shared" si="58"/>
        <v>High</v>
      </c>
      <c r="S739" t="str">
        <f t="shared" si="59"/>
        <v>Valid</v>
      </c>
    </row>
    <row r="740" spans="1:19" x14ac:dyDescent="0.25">
      <c r="A740" s="1">
        <v>45507</v>
      </c>
      <c r="B740" s="1" t="str">
        <f t="shared" si="55"/>
        <v>2024-08</v>
      </c>
      <c r="C740" t="s">
        <v>14</v>
      </c>
      <c r="D740" t="s">
        <v>15</v>
      </c>
      <c r="E740" t="s">
        <v>19</v>
      </c>
      <c r="F740" t="s">
        <v>23</v>
      </c>
      <c r="G740" s="4">
        <v>151900</v>
      </c>
      <c r="H740" s="4">
        <v>5270</v>
      </c>
      <c r="I740" s="5">
        <v>3.4700000000000002E-2</v>
      </c>
      <c r="J740" s="2">
        <v>1.1100000000000001</v>
      </c>
      <c r="K740" s="6">
        <v>5849.7</v>
      </c>
      <c r="L740" s="4">
        <v>291</v>
      </c>
      <c r="M740" s="2">
        <v>20.100000000000001</v>
      </c>
      <c r="N740" s="6">
        <v>47553.46</v>
      </c>
      <c r="O740" s="6">
        <f t="shared" si="56"/>
        <v>41703.760000000002</v>
      </c>
      <c r="P740" s="6">
        <f t="shared" si="57"/>
        <v>7.1292134639383224</v>
      </c>
      <c r="Q740" s="3">
        <v>8.1300000000000008</v>
      </c>
      <c r="R740" t="str">
        <f t="shared" si="58"/>
        <v>High</v>
      </c>
      <c r="S740" t="str">
        <f t="shared" si="59"/>
        <v>Valid</v>
      </c>
    </row>
    <row r="741" spans="1:19" x14ac:dyDescent="0.25">
      <c r="A741" s="1">
        <v>45573</v>
      </c>
      <c r="B741" s="1" t="str">
        <f t="shared" si="55"/>
        <v>2024-10</v>
      </c>
      <c r="C741" t="s">
        <v>28</v>
      </c>
      <c r="D741" t="s">
        <v>24</v>
      </c>
      <c r="E741" t="s">
        <v>19</v>
      </c>
      <c r="F741" t="s">
        <v>17</v>
      </c>
      <c r="G741" s="4">
        <v>155555</v>
      </c>
      <c r="H741" s="4">
        <v>4588</v>
      </c>
      <c r="I741" s="5">
        <v>2.9499999999999998E-2</v>
      </c>
      <c r="J741" s="2">
        <v>1.55</v>
      </c>
      <c r="K741" s="6">
        <v>7111.4</v>
      </c>
      <c r="L741" s="4">
        <v>332</v>
      </c>
      <c r="M741" s="2">
        <v>21.42</v>
      </c>
      <c r="N741" s="6">
        <v>12719.4</v>
      </c>
      <c r="O741" s="6">
        <f t="shared" si="56"/>
        <v>5608</v>
      </c>
      <c r="P741" s="6">
        <f t="shared" si="57"/>
        <v>0.78859296341086149</v>
      </c>
      <c r="Q741" s="3">
        <v>1.79</v>
      </c>
      <c r="R741" t="str">
        <f t="shared" si="58"/>
        <v>Medium</v>
      </c>
      <c r="S741" t="str">
        <f t="shared" si="59"/>
        <v>Valid</v>
      </c>
    </row>
    <row r="742" spans="1:19" x14ac:dyDescent="0.25">
      <c r="A742" s="1">
        <v>45576</v>
      </c>
      <c r="B742" s="1" t="str">
        <f t="shared" si="55"/>
        <v>2024-10</v>
      </c>
      <c r="C742" t="s">
        <v>28</v>
      </c>
      <c r="D742" t="s">
        <v>29</v>
      </c>
      <c r="E742" t="s">
        <v>25</v>
      </c>
      <c r="F742" t="s">
        <v>26</v>
      </c>
      <c r="G742" s="4">
        <v>198979</v>
      </c>
      <c r="H742" s="4">
        <v>2089</v>
      </c>
      <c r="I742" s="5">
        <v>1.0500000000000001E-2</v>
      </c>
      <c r="J742" s="2">
        <v>1.7</v>
      </c>
      <c r="K742" s="6">
        <v>3551.3</v>
      </c>
      <c r="L742" s="4">
        <v>66</v>
      </c>
      <c r="M742" s="2">
        <v>53.81</v>
      </c>
      <c r="N742" s="6">
        <v>7694.86</v>
      </c>
      <c r="O742" s="6">
        <f t="shared" si="56"/>
        <v>4143.5599999999995</v>
      </c>
      <c r="P742" s="6">
        <f t="shared" si="57"/>
        <v>1.1667727311125502</v>
      </c>
      <c r="Q742" s="3">
        <v>2.17</v>
      </c>
      <c r="R742" t="str">
        <f t="shared" si="58"/>
        <v>Medium</v>
      </c>
      <c r="S742" t="str">
        <f t="shared" si="59"/>
        <v>Valid</v>
      </c>
    </row>
    <row r="743" spans="1:19" x14ac:dyDescent="0.25">
      <c r="A743" s="1">
        <v>45630</v>
      </c>
      <c r="B743" s="1" t="str">
        <f t="shared" si="55"/>
        <v>2024-12</v>
      </c>
      <c r="C743" t="s">
        <v>28</v>
      </c>
      <c r="D743" t="s">
        <v>15</v>
      </c>
      <c r="E743" t="s">
        <v>30</v>
      </c>
      <c r="F743" t="s">
        <v>31</v>
      </c>
      <c r="G743" s="4">
        <v>186740</v>
      </c>
      <c r="H743" s="4">
        <v>4182</v>
      </c>
      <c r="I743" s="5">
        <v>2.24E-2</v>
      </c>
      <c r="J743" s="2">
        <v>0.56000000000000005</v>
      </c>
      <c r="K743" s="6">
        <v>2341.92</v>
      </c>
      <c r="L743" s="4">
        <v>47</v>
      </c>
      <c r="M743" s="2">
        <v>49.83</v>
      </c>
      <c r="N743" s="6">
        <v>8643.08</v>
      </c>
      <c r="O743" s="6">
        <f t="shared" si="56"/>
        <v>6301.16</v>
      </c>
      <c r="P743" s="6">
        <f t="shared" si="57"/>
        <v>2.6905957504953197</v>
      </c>
      <c r="Q743" s="3">
        <v>3.69</v>
      </c>
      <c r="R743" t="str">
        <f t="shared" si="58"/>
        <v>High</v>
      </c>
      <c r="S743" t="str">
        <f t="shared" si="59"/>
        <v>Valid</v>
      </c>
    </row>
    <row r="744" spans="1:19" x14ac:dyDescent="0.25">
      <c r="A744" s="1">
        <v>45477</v>
      </c>
      <c r="B744" s="1" t="str">
        <f t="shared" si="55"/>
        <v>2024-07</v>
      </c>
      <c r="C744" t="s">
        <v>14</v>
      </c>
      <c r="D744" t="s">
        <v>24</v>
      </c>
      <c r="E744" t="s">
        <v>16</v>
      </c>
      <c r="F744" t="s">
        <v>32</v>
      </c>
      <c r="G744" s="4">
        <v>126246</v>
      </c>
      <c r="H744" s="4">
        <v>4203</v>
      </c>
      <c r="I744" s="5">
        <v>3.3300000000000003E-2</v>
      </c>
      <c r="J744" s="2">
        <v>2.0499999999999998</v>
      </c>
      <c r="K744" s="6">
        <v>8616.15</v>
      </c>
      <c r="L744" s="4">
        <v>290</v>
      </c>
      <c r="M744" s="2">
        <v>29.71</v>
      </c>
      <c r="N744" s="6">
        <v>31939.46</v>
      </c>
      <c r="O744" s="6">
        <f t="shared" si="56"/>
        <v>23323.309999999998</v>
      </c>
      <c r="P744" s="6">
        <f t="shared" si="57"/>
        <v>2.7069294290373307</v>
      </c>
      <c r="Q744" s="3">
        <v>3.71</v>
      </c>
      <c r="R744" t="str">
        <f t="shared" si="58"/>
        <v>High</v>
      </c>
      <c r="S744" t="str">
        <f t="shared" si="59"/>
        <v>Valid</v>
      </c>
    </row>
    <row r="745" spans="1:19" x14ac:dyDescent="0.25">
      <c r="A745" s="1">
        <v>45337</v>
      </c>
      <c r="B745" s="1" t="str">
        <f t="shared" si="55"/>
        <v>2024-02</v>
      </c>
      <c r="C745" t="s">
        <v>14</v>
      </c>
      <c r="D745" t="s">
        <v>15</v>
      </c>
      <c r="E745" t="s">
        <v>16</v>
      </c>
      <c r="F745" t="s">
        <v>26</v>
      </c>
      <c r="G745" s="4">
        <v>30835</v>
      </c>
      <c r="H745" s="4">
        <v>925</v>
      </c>
      <c r="I745" s="5">
        <v>0.03</v>
      </c>
      <c r="J745" s="2">
        <v>1.96</v>
      </c>
      <c r="K745" s="6">
        <v>1813</v>
      </c>
      <c r="L745" s="4">
        <v>14</v>
      </c>
      <c r="M745" s="2">
        <v>129.5</v>
      </c>
      <c r="N745" s="6">
        <v>3805.56</v>
      </c>
      <c r="O745" s="6">
        <f t="shared" si="56"/>
        <v>1992.56</v>
      </c>
      <c r="P745" s="6">
        <f t="shared" si="57"/>
        <v>1.0990402647545505</v>
      </c>
      <c r="Q745" s="3">
        <v>2.1</v>
      </c>
      <c r="R745" t="str">
        <f t="shared" si="58"/>
        <v>Medium</v>
      </c>
      <c r="S745" t="str">
        <f t="shared" si="59"/>
        <v>Valid</v>
      </c>
    </row>
    <row r="746" spans="1:19" x14ac:dyDescent="0.25">
      <c r="A746" s="1">
        <v>45648</v>
      </c>
      <c r="B746" s="1" t="str">
        <f t="shared" si="55"/>
        <v>2024-12</v>
      </c>
      <c r="C746" t="s">
        <v>18</v>
      </c>
      <c r="D746" t="s">
        <v>21</v>
      </c>
      <c r="E746" t="s">
        <v>19</v>
      </c>
      <c r="F746" t="s">
        <v>27</v>
      </c>
      <c r="G746" s="4">
        <v>112938</v>
      </c>
      <c r="H746" s="4">
        <v>3263</v>
      </c>
      <c r="I746" s="5">
        <v>2.8899999999999999E-2</v>
      </c>
      <c r="J746" s="2">
        <v>0.39</v>
      </c>
      <c r="K746" s="6">
        <v>1272.57</v>
      </c>
      <c r="L746" s="4">
        <v>80</v>
      </c>
      <c r="M746" s="2">
        <v>15.91</v>
      </c>
      <c r="N746" s="6">
        <v>22895.07</v>
      </c>
      <c r="O746" s="6">
        <f t="shared" si="56"/>
        <v>21622.5</v>
      </c>
      <c r="P746" s="6">
        <f t="shared" si="57"/>
        <v>16.991206770550932</v>
      </c>
      <c r="Q746" s="3">
        <v>17.989999999999998</v>
      </c>
      <c r="R746" t="str">
        <f t="shared" si="58"/>
        <v>High</v>
      </c>
      <c r="S746" t="str">
        <f t="shared" si="59"/>
        <v>Valid</v>
      </c>
    </row>
    <row r="747" spans="1:19" x14ac:dyDescent="0.25">
      <c r="A747" s="1">
        <v>45642</v>
      </c>
      <c r="B747" s="1" t="str">
        <f t="shared" si="55"/>
        <v>2024-12</v>
      </c>
      <c r="C747" t="s">
        <v>14</v>
      </c>
      <c r="D747" t="s">
        <v>29</v>
      </c>
      <c r="E747" t="s">
        <v>25</v>
      </c>
      <c r="F747" t="s">
        <v>27</v>
      </c>
      <c r="G747" s="4">
        <v>143573</v>
      </c>
      <c r="H747" s="4">
        <v>3474</v>
      </c>
      <c r="I747" s="5">
        <v>2.4199999999999999E-2</v>
      </c>
      <c r="J747" s="2">
        <v>1.63</v>
      </c>
      <c r="K747" s="6">
        <v>5662.62</v>
      </c>
      <c r="L747" s="4">
        <v>131</v>
      </c>
      <c r="M747" s="2">
        <v>43.23</v>
      </c>
      <c r="N747" s="6">
        <v>11434.82</v>
      </c>
      <c r="O747" s="6">
        <f t="shared" si="56"/>
        <v>5772.2</v>
      </c>
      <c r="P747" s="6">
        <f t="shared" si="57"/>
        <v>1.0193514662823921</v>
      </c>
      <c r="Q747" s="3">
        <v>2.02</v>
      </c>
      <c r="R747" t="str">
        <f t="shared" si="58"/>
        <v>Medium</v>
      </c>
      <c r="S747" t="str">
        <f t="shared" si="59"/>
        <v>Valid</v>
      </c>
    </row>
    <row r="748" spans="1:19" x14ac:dyDescent="0.25">
      <c r="A748" s="1">
        <v>45487</v>
      </c>
      <c r="B748" s="1" t="str">
        <f t="shared" si="55"/>
        <v>2024-07</v>
      </c>
      <c r="C748" t="s">
        <v>18</v>
      </c>
      <c r="D748" t="s">
        <v>29</v>
      </c>
      <c r="E748" t="s">
        <v>30</v>
      </c>
      <c r="F748" t="s">
        <v>27</v>
      </c>
      <c r="G748" s="4">
        <v>113621</v>
      </c>
      <c r="H748" s="4">
        <v>10112</v>
      </c>
      <c r="I748" s="5">
        <v>8.8999999999999996E-2</v>
      </c>
      <c r="J748" s="2">
        <v>0.99</v>
      </c>
      <c r="K748" s="6">
        <v>10010.879999999999</v>
      </c>
      <c r="L748" s="4">
        <v>472</v>
      </c>
      <c r="M748" s="2">
        <v>21.21</v>
      </c>
      <c r="N748" s="6">
        <v>84899.73</v>
      </c>
      <c r="O748" s="6">
        <f t="shared" si="56"/>
        <v>74888.849999999991</v>
      </c>
      <c r="P748" s="6">
        <f t="shared" si="57"/>
        <v>7.4807459484081313</v>
      </c>
      <c r="Q748" s="3">
        <v>8.48</v>
      </c>
      <c r="R748" t="str">
        <f t="shared" si="58"/>
        <v>High</v>
      </c>
      <c r="S748" t="str">
        <f t="shared" si="59"/>
        <v>Valid</v>
      </c>
    </row>
    <row r="749" spans="1:19" x14ac:dyDescent="0.25">
      <c r="A749" s="1">
        <v>45535</v>
      </c>
      <c r="B749" s="1" t="str">
        <f t="shared" si="55"/>
        <v>2024-08</v>
      </c>
      <c r="C749" t="s">
        <v>28</v>
      </c>
      <c r="D749" t="s">
        <v>15</v>
      </c>
      <c r="E749" t="s">
        <v>22</v>
      </c>
      <c r="F749" t="s">
        <v>20</v>
      </c>
      <c r="G749" s="4">
        <v>125155</v>
      </c>
      <c r="H749" s="4">
        <v>5256</v>
      </c>
      <c r="I749" s="5">
        <v>4.2000000000000003E-2</v>
      </c>
      <c r="J749" s="2">
        <v>1.07</v>
      </c>
      <c r="K749" s="6">
        <v>5623.92</v>
      </c>
      <c r="L749" s="4">
        <v>247</v>
      </c>
      <c r="M749" s="2">
        <v>22.77</v>
      </c>
      <c r="N749" s="6">
        <v>26802.91</v>
      </c>
      <c r="O749" s="6">
        <f t="shared" si="56"/>
        <v>21178.989999999998</v>
      </c>
      <c r="P749" s="6">
        <f t="shared" si="57"/>
        <v>3.7658768261283941</v>
      </c>
      <c r="Q749" s="3">
        <v>4.7699999999999996</v>
      </c>
      <c r="R749" t="str">
        <f t="shared" si="58"/>
        <v>High</v>
      </c>
      <c r="S749" t="str">
        <f t="shared" si="59"/>
        <v>Valid</v>
      </c>
    </row>
    <row r="750" spans="1:19" x14ac:dyDescent="0.25">
      <c r="A750" s="1">
        <v>45469</v>
      </c>
      <c r="B750" s="1" t="str">
        <f t="shared" si="55"/>
        <v>2024-06</v>
      </c>
      <c r="C750" t="s">
        <v>28</v>
      </c>
      <c r="D750" t="s">
        <v>24</v>
      </c>
      <c r="E750" t="s">
        <v>16</v>
      </c>
      <c r="F750" t="s">
        <v>23</v>
      </c>
      <c r="G750" s="4">
        <v>52940</v>
      </c>
      <c r="H750" s="4">
        <v>1281</v>
      </c>
      <c r="I750" s="5">
        <v>2.4199999999999999E-2</v>
      </c>
      <c r="J750" s="2">
        <v>1.5</v>
      </c>
      <c r="K750" s="6">
        <v>1921.5</v>
      </c>
      <c r="L750" s="4">
        <v>37</v>
      </c>
      <c r="M750" s="2">
        <v>51.93</v>
      </c>
      <c r="N750" s="6">
        <v>8409.06</v>
      </c>
      <c r="O750" s="6">
        <f t="shared" si="56"/>
        <v>6487.5599999999995</v>
      </c>
      <c r="P750" s="6">
        <f t="shared" si="57"/>
        <v>3.3762997658079623</v>
      </c>
      <c r="Q750" s="3">
        <v>4.38</v>
      </c>
      <c r="R750" t="str">
        <f t="shared" si="58"/>
        <v>High</v>
      </c>
      <c r="S750" t="str">
        <f t="shared" si="59"/>
        <v>Valid</v>
      </c>
    </row>
    <row r="751" spans="1:19" x14ac:dyDescent="0.25">
      <c r="A751" s="1">
        <v>45536</v>
      </c>
      <c r="B751" s="1" t="str">
        <f t="shared" si="55"/>
        <v>2024-09</v>
      </c>
      <c r="C751" t="s">
        <v>18</v>
      </c>
      <c r="D751" t="s">
        <v>29</v>
      </c>
      <c r="E751" t="s">
        <v>25</v>
      </c>
      <c r="F751" t="s">
        <v>23</v>
      </c>
      <c r="G751" s="4">
        <v>106069</v>
      </c>
      <c r="H751" s="4">
        <v>3139</v>
      </c>
      <c r="I751" s="5">
        <v>2.9600000000000001E-2</v>
      </c>
      <c r="J751" s="2">
        <v>0.5</v>
      </c>
      <c r="K751" s="6">
        <v>1569.5</v>
      </c>
      <c r="L751" s="4">
        <v>78</v>
      </c>
      <c r="M751" s="2">
        <v>20.12</v>
      </c>
      <c r="N751" s="6">
        <v>6648.74</v>
      </c>
      <c r="O751" s="6">
        <f t="shared" si="56"/>
        <v>5079.24</v>
      </c>
      <c r="P751" s="6">
        <f t="shared" si="57"/>
        <v>3.2362153552086652</v>
      </c>
      <c r="Q751" s="3">
        <v>4.24</v>
      </c>
      <c r="R751" t="str">
        <f t="shared" si="58"/>
        <v>High</v>
      </c>
      <c r="S751" t="str">
        <f t="shared" si="59"/>
        <v>Valid</v>
      </c>
    </row>
    <row r="752" spans="1:19" x14ac:dyDescent="0.25">
      <c r="A752" s="1">
        <v>45375</v>
      </c>
      <c r="B752" s="1" t="str">
        <f t="shared" si="55"/>
        <v>2024-03</v>
      </c>
      <c r="C752" t="s">
        <v>14</v>
      </c>
      <c r="D752" t="s">
        <v>21</v>
      </c>
      <c r="E752" t="s">
        <v>19</v>
      </c>
      <c r="F752" t="s">
        <v>27</v>
      </c>
      <c r="G752" s="4">
        <v>185523</v>
      </c>
      <c r="H752" s="4">
        <v>6029</v>
      </c>
      <c r="I752" s="5">
        <v>3.2500000000000001E-2</v>
      </c>
      <c r="J752" s="2">
        <v>1.38</v>
      </c>
      <c r="K752" s="6">
        <v>8320.02</v>
      </c>
      <c r="L752" s="4">
        <v>252</v>
      </c>
      <c r="M752" s="2">
        <v>33.020000000000003</v>
      </c>
      <c r="N752" s="6">
        <v>12404.91</v>
      </c>
      <c r="O752" s="6">
        <f t="shared" si="56"/>
        <v>4084.8899999999994</v>
      </c>
      <c r="P752" s="6">
        <f t="shared" si="57"/>
        <v>0.4909711755500587</v>
      </c>
      <c r="Q752" s="3">
        <v>1.49</v>
      </c>
      <c r="R752" t="str">
        <f t="shared" si="58"/>
        <v>Medium</v>
      </c>
      <c r="S752" t="str">
        <f t="shared" si="59"/>
        <v>Valid</v>
      </c>
    </row>
    <row r="753" spans="1:19" x14ac:dyDescent="0.25">
      <c r="A753" s="1">
        <v>45607</v>
      </c>
      <c r="B753" s="1" t="str">
        <f t="shared" si="55"/>
        <v>2024-11</v>
      </c>
      <c r="C753" t="s">
        <v>18</v>
      </c>
      <c r="D753" t="s">
        <v>24</v>
      </c>
      <c r="E753" t="s">
        <v>19</v>
      </c>
      <c r="F753" t="s">
        <v>31</v>
      </c>
      <c r="G753" s="4">
        <v>184969</v>
      </c>
      <c r="H753" s="4">
        <v>15407</v>
      </c>
      <c r="I753" s="5">
        <v>8.3299999999999999E-2</v>
      </c>
      <c r="J753" s="2">
        <v>1.34</v>
      </c>
      <c r="K753" s="6">
        <v>20645.38</v>
      </c>
      <c r="L753" s="4">
        <v>352</v>
      </c>
      <c r="M753" s="2">
        <v>58.65</v>
      </c>
      <c r="N753" s="6">
        <v>52669.94</v>
      </c>
      <c r="O753" s="6">
        <f t="shared" si="56"/>
        <v>32024.560000000001</v>
      </c>
      <c r="P753" s="6">
        <f t="shared" si="57"/>
        <v>1.5511731922589944</v>
      </c>
      <c r="Q753" s="3">
        <v>2.5499999999999998</v>
      </c>
      <c r="R753" t="str">
        <f t="shared" si="58"/>
        <v>Medium</v>
      </c>
      <c r="S753" t="str">
        <f t="shared" si="59"/>
        <v>Valid</v>
      </c>
    </row>
    <row r="754" spans="1:19" x14ac:dyDescent="0.25">
      <c r="A754" s="1">
        <v>45650</v>
      </c>
      <c r="B754" s="1" t="str">
        <f t="shared" si="55"/>
        <v>2024-12</v>
      </c>
      <c r="C754" t="s">
        <v>14</v>
      </c>
      <c r="D754" t="s">
        <v>21</v>
      </c>
      <c r="E754" t="s">
        <v>22</v>
      </c>
      <c r="F754" t="s">
        <v>27</v>
      </c>
      <c r="G754" s="4">
        <v>118005</v>
      </c>
      <c r="H754" s="4">
        <v>5003</v>
      </c>
      <c r="I754" s="5">
        <v>4.24E-2</v>
      </c>
      <c r="J754" s="2">
        <v>1.8</v>
      </c>
      <c r="K754" s="6">
        <v>9005.4</v>
      </c>
      <c r="L754" s="4">
        <v>63</v>
      </c>
      <c r="M754" s="2">
        <v>142.94</v>
      </c>
      <c r="N754" s="6">
        <v>6740.12</v>
      </c>
      <c r="O754" s="6">
        <f t="shared" si="56"/>
        <v>-2265.2799999999997</v>
      </c>
      <c r="P754" s="6">
        <f t="shared" si="57"/>
        <v>-0.25154684966797697</v>
      </c>
      <c r="Q754" s="3">
        <v>0.75</v>
      </c>
      <c r="R754" t="str">
        <f t="shared" si="58"/>
        <v>Low</v>
      </c>
      <c r="S754" t="str">
        <f t="shared" si="59"/>
        <v>Valid</v>
      </c>
    </row>
    <row r="755" spans="1:19" x14ac:dyDescent="0.25">
      <c r="A755" s="1">
        <v>45541</v>
      </c>
      <c r="B755" s="1" t="str">
        <f t="shared" si="55"/>
        <v>2024-09</v>
      </c>
      <c r="C755" t="s">
        <v>14</v>
      </c>
      <c r="D755" t="s">
        <v>21</v>
      </c>
      <c r="E755" t="s">
        <v>25</v>
      </c>
      <c r="F755" t="s">
        <v>31</v>
      </c>
      <c r="G755" s="4">
        <v>47176</v>
      </c>
      <c r="H755" s="4">
        <v>1278</v>
      </c>
      <c r="I755" s="5">
        <v>2.7099999999999999E-2</v>
      </c>
      <c r="J755" s="2">
        <v>1.43</v>
      </c>
      <c r="K755" s="6">
        <v>1827.54</v>
      </c>
      <c r="L755" s="4">
        <v>62</v>
      </c>
      <c r="M755" s="2">
        <v>29.48</v>
      </c>
      <c r="N755" s="6">
        <v>2278.75</v>
      </c>
      <c r="O755" s="6">
        <f t="shared" si="56"/>
        <v>451.21000000000004</v>
      </c>
      <c r="P755" s="6">
        <f t="shared" si="57"/>
        <v>0.24689473281022578</v>
      </c>
      <c r="Q755" s="3">
        <v>1.25</v>
      </c>
      <c r="R755" t="str">
        <f t="shared" si="58"/>
        <v>Medium</v>
      </c>
      <c r="S755" t="str">
        <f t="shared" si="59"/>
        <v>Valid</v>
      </c>
    </row>
    <row r="756" spans="1:19" x14ac:dyDescent="0.25">
      <c r="A756" s="1">
        <v>45636</v>
      </c>
      <c r="B756" s="1" t="str">
        <f t="shared" si="55"/>
        <v>2024-12</v>
      </c>
      <c r="C756" t="s">
        <v>28</v>
      </c>
      <c r="D756" t="s">
        <v>21</v>
      </c>
      <c r="E756" t="s">
        <v>16</v>
      </c>
      <c r="F756" t="s">
        <v>20</v>
      </c>
      <c r="G756" s="4">
        <v>8512</v>
      </c>
      <c r="H756" s="4">
        <v>251</v>
      </c>
      <c r="I756" s="5">
        <v>2.9600000000000001E-2</v>
      </c>
      <c r="J756" s="2">
        <v>0.64</v>
      </c>
      <c r="K756" s="6">
        <v>160.63999999999999</v>
      </c>
      <c r="L756" s="4">
        <v>11</v>
      </c>
      <c r="M756" s="2">
        <v>14.6</v>
      </c>
      <c r="N756" s="6">
        <v>1671.09</v>
      </c>
      <c r="O756" s="6">
        <f t="shared" si="56"/>
        <v>1510.4499999999998</v>
      </c>
      <c r="P756" s="6">
        <f t="shared" si="57"/>
        <v>9.4027016932270922</v>
      </c>
      <c r="Q756" s="3">
        <v>10.4</v>
      </c>
      <c r="R756" t="str">
        <f t="shared" si="58"/>
        <v>High</v>
      </c>
      <c r="S756" t="str">
        <f t="shared" si="59"/>
        <v>Valid</v>
      </c>
    </row>
    <row r="757" spans="1:19" x14ac:dyDescent="0.25">
      <c r="A757" s="1">
        <v>45460</v>
      </c>
      <c r="B757" s="1" t="str">
        <f t="shared" si="55"/>
        <v>2024-06</v>
      </c>
      <c r="C757" t="s">
        <v>28</v>
      </c>
      <c r="D757" t="s">
        <v>24</v>
      </c>
      <c r="E757" t="s">
        <v>19</v>
      </c>
      <c r="F757" t="s">
        <v>32</v>
      </c>
      <c r="G757" s="4">
        <v>83591</v>
      </c>
      <c r="H757" s="4">
        <v>2499</v>
      </c>
      <c r="I757" s="5">
        <v>2.9899999999999999E-2</v>
      </c>
      <c r="J757" s="2">
        <v>1.68</v>
      </c>
      <c r="K757" s="6">
        <v>4198.32</v>
      </c>
      <c r="L757" s="4">
        <v>84</v>
      </c>
      <c r="M757" s="2">
        <v>49.98</v>
      </c>
      <c r="N757" s="6">
        <v>18620.43</v>
      </c>
      <c r="O757" s="6">
        <f t="shared" si="56"/>
        <v>14422.11</v>
      </c>
      <c r="P757" s="6">
        <f t="shared" si="57"/>
        <v>3.4352097982049967</v>
      </c>
      <c r="Q757" s="3">
        <v>4.4400000000000004</v>
      </c>
      <c r="R757" t="str">
        <f t="shared" si="58"/>
        <v>High</v>
      </c>
      <c r="S757" t="str">
        <f t="shared" si="59"/>
        <v>Valid</v>
      </c>
    </row>
    <row r="758" spans="1:19" x14ac:dyDescent="0.25">
      <c r="A758" s="1">
        <v>45468</v>
      </c>
      <c r="B758" s="1" t="str">
        <f t="shared" si="55"/>
        <v>2024-06</v>
      </c>
      <c r="C758" t="s">
        <v>14</v>
      </c>
      <c r="D758" t="s">
        <v>15</v>
      </c>
      <c r="E758" t="s">
        <v>30</v>
      </c>
      <c r="F758" t="s">
        <v>17</v>
      </c>
      <c r="G758" s="4">
        <v>88323</v>
      </c>
      <c r="H758" s="4">
        <v>3965</v>
      </c>
      <c r="I758" s="5">
        <v>4.4900000000000002E-2</v>
      </c>
      <c r="J758" s="2">
        <v>2.36</v>
      </c>
      <c r="K758" s="6">
        <v>9357.4</v>
      </c>
      <c r="L758" s="4">
        <v>95</v>
      </c>
      <c r="M758" s="2">
        <v>98.5</v>
      </c>
      <c r="N758" s="6">
        <v>8337.4</v>
      </c>
      <c r="O758" s="6">
        <f t="shared" si="56"/>
        <v>-1020</v>
      </c>
      <c r="P758" s="6">
        <f t="shared" si="57"/>
        <v>-0.10900463804048134</v>
      </c>
      <c r="Q758" s="3">
        <v>0.89</v>
      </c>
      <c r="R758" t="str">
        <f t="shared" si="58"/>
        <v>Low</v>
      </c>
      <c r="S758" t="str">
        <f t="shared" si="59"/>
        <v>Valid</v>
      </c>
    </row>
    <row r="759" spans="1:19" x14ac:dyDescent="0.25">
      <c r="A759" s="1">
        <v>45624</v>
      </c>
      <c r="B759" s="1" t="str">
        <f t="shared" si="55"/>
        <v>2024-11</v>
      </c>
      <c r="C759" t="s">
        <v>14</v>
      </c>
      <c r="D759" t="s">
        <v>21</v>
      </c>
      <c r="E759" t="s">
        <v>22</v>
      </c>
      <c r="F759" t="s">
        <v>26</v>
      </c>
      <c r="G759" s="4">
        <v>24755</v>
      </c>
      <c r="H759" s="4">
        <v>811</v>
      </c>
      <c r="I759" s="5">
        <v>3.2800000000000003E-2</v>
      </c>
      <c r="J759" s="2">
        <v>2.48</v>
      </c>
      <c r="K759" s="6">
        <v>2011.28</v>
      </c>
      <c r="L759" s="4">
        <v>8</v>
      </c>
      <c r="M759" s="2">
        <v>251.41</v>
      </c>
      <c r="N759" s="6">
        <v>1786.84</v>
      </c>
      <c r="O759" s="6">
        <f t="shared" si="56"/>
        <v>-224.44000000000005</v>
      </c>
      <c r="P759" s="6">
        <f t="shared" si="57"/>
        <v>-0.11159062885326759</v>
      </c>
      <c r="Q759" s="3">
        <v>0.89</v>
      </c>
      <c r="R759" t="str">
        <f t="shared" si="58"/>
        <v>Low</v>
      </c>
      <c r="S759" t="str">
        <f t="shared" si="59"/>
        <v>Valid</v>
      </c>
    </row>
    <row r="760" spans="1:19" x14ac:dyDescent="0.25">
      <c r="A760" s="1">
        <v>45355</v>
      </c>
      <c r="B760" s="1" t="str">
        <f t="shared" si="55"/>
        <v>2024-03</v>
      </c>
      <c r="C760" t="s">
        <v>14</v>
      </c>
      <c r="D760" t="s">
        <v>21</v>
      </c>
      <c r="E760" t="s">
        <v>30</v>
      </c>
      <c r="F760" t="s">
        <v>17</v>
      </c>
      <c r="G760" s="4">
        <v>99410</v>
      </c>
      <c r="H760" s="4">
        <v>4195</v>
      </c>
      <c r="I760" s="5">
        <v>4.2200000000000001E-2</v>
      </c>
      <c r="J760" s="2">
        <v>0.83</v>
      </c>
      <c r="K760" s="6">
        <v>3481.85</v>
      </c>
      <c r="L760" s="4">
        <v>196</v>
      </c>
      <c r="M760" s="2">
        <v>17.760000000000002</v>
      </c>
      <c r="N760" s="6">
        <v>56004.19</v>
      </c>
      <c r="O760" s="6">
        <f t="shared" si="56"/>
        <v>52522.340000000004</v>
      </c>
      <c r="P760" s="6">
        <f t="shared" si="57"/>
        <v>15.08460732082083</v>
      </c>
      <c r="Q760" s="3">
        <v>16.079999999999998</v>
      </c>
      <c r="R760" t="str">
        <f t="shared" si="58"/>
        <v>High</v>
      </c>
      <c r="S760" t="str">
        <f t="shared" si="59"/>
        <v>Valid</v>
      </c>
    </row>
    <row r="761" spans="1:19" x14ac:dyDescent="0.25">
      <c r="A761" s="1">
        <v>45303</v>
      </c>
      <c r="B761" s="1" t="str">
        <f t="shared" si="55"/>
        <v>2024-01</v>
      </c>
      <c r="C761" t="s">
        <v>28</v>
      </c>
      <c r="D761" t="s">
        <v>21</v>
      </c>
      <c r="E761" t="s">
        <v>25</v>
      </c>
      <c r="F761" t="s">
        <v>32</v>
      </c>
      <c r="G761" s="4">
        <v>176250</v>
      </c>
      <c r="H761" s="4">
        <v>6204</v>
      </c>
      <c r="I761" s="5">
        <v>3.5200000000000002E-2</v>
      </c>
      <c r="J761" s="2">
        <v>0.65</v>
      </c>
      <c r="K761" s="6">
        <v>4032.6</v>
      </c>
      <c r="L761" s="4">
        <v>312</v>
      </c>
      <c r="M761" s="2">
        <v>12.92</v>
      </c>
      <c r="N761" s="6">
        <v>84311.3</v>
      </c>
      <c r="O761" s="6">
        <f t="shared" si="56"/>
        <v>80278.7</v>
      </c>
      <c r="P761" s="6">
        <f t="shared" si="57"/>
        <v>19.90742944998264</v>
      </c>
      <c r="Q761" s="3">
        <v>20.91</v>
      </c>
      <c r="R761" t="str">
        <f t="shared" si="58"/>
        <v>High</v>
      </c>
      <c r="S761" t="str">
        <f t="shared" si="59"/>
        <v>Valid</v>
      </c>
    </row>
    <row r="762" spans="1:19" x14ac:dyDescent="0.25">
      <c r="A762" s="1">
        <v>45295</v>
      </c>
      <c r="B762" s="1" t="str">
        <f t="shared" si="55"/>
        <v>2024-01</v>
      </c>
      <c r="C762" t="s">
        <v>28</v>
      </c>
      <c r="D762" t="s">
        <v>24</v>
      </c>
      <c r="E762" t="s">
        <v>19</v>
      </c>
      <c r="F762" t="s">
        <v>20</v>
      </c>
      <c r="G762" s="4">
        <v>184729</v>
      </c>
      <c r="H762" s="4">
        <v>2586</v>
      </c>
      <c r="I762" s="5">
        <v>1.4E-2</v>
      </c>
      <c r="J762" s="2">
        <v>0.9</v>
      </c>
      <c r="K762" s="6">
        <v>2327.4</v>
      </c>
      <c r="L762" s="4">
        <v>201</v>
      </c>
      <c r="M762" s="2">
        <v>11.58</v>
      </c>
      <c r="N762" s="6">
        <v>16864.93</v>
      </c>
      <c r="O762" s="6">
        <f t="shared" si="56"/>
        <v>14537.53</v>
      </c>
      <c r="P762" s="6">
        <f t="shared" si="57"/>
        <v>6.246253329896021</v>
      </c>
      <c r="Q762" s="3">
        <v>7.25</v>
      </c>
      <c r="R762" t="str">
        <f t="shared" si="58"/>
        <v>High</v>
      </c>
      <c r="S762" t="str">
        <f t="shared" si="59"/>
        <v>Valid</v>
      </c>
    </row>
    <row r="763" spans="1:19" x14ac:dyDescent="0.25">
      <c r="A763" s="1">
        <v>45307</v>
      </c>
      <c r="B763" s="1" t="str">
        <f t="shared" si="55"/>
        <v>2024-01</v>
      </c>
      <c r="C763" t="s">
        <v>14</v>
      </c>
      <c r="D763" t="s">
        <v>15</v>
      </c>
      <c r="E763" t="s">
        <v>22</v>
      </c>
      <c r="F763" t="s">
        <v>20</v>
      </c>
      <c r="G763" s="4">
        <v>175381</v>
      </c>
      <c r="H763" s="4">
        <v>4226</v>
      </c>
      <c r="I763" s="5">
        <v>2.41E-2</v>
      </c>
      <c r="J763" s="2">
        <v>0.91</v>
      </c>
      <c r="K763" s="6">
        <v>3845.66</v>
      </c>
      <c r="L763" s="4">
        <v>204</v>
      </c>
      <c r="M763" s="2">
        <v>18.850000000000001</v>
      </c>
      <c r="N763" s="6">
        <v>11471.83</v>
      </c>
      <c r="O763" s="6">
        <f t="shared" si="56"/>
        <v>7626.17</v>
      </c>
      <c r="P763" s="6">
        <f t="shared" si="57"/>
        <v>1.9830588247530985</v>
      </c>
      <c r="Q763" s="3">
        <v>2.98</v>
      </c>
      <c r="R763" t="str">
        <f t="shared" si="58"/>
        <v>Medium</v>
      </c>
      <c r="S763" t="str">
        <f t="shared" si="59"/>
        <v>Valid</v>
      </c>
    </row>
    <row r="764" spans="1:19" x14ac:dyDescent="0.25">
      <c r="A764" s="1">
        <v>45594</v>
      </c>
      <c r="B764" s="1" t="str">
        <f t="shared" si="55"/>
        <v>2024-10</v>
      </c>
      <c r="C764" t="s">
        <v>14</v>
      </c>
      <c r="D764" t="s">
        <v>21</v>
      </c>
      <c r="E764" t="s">
        <v>25</v>
      </c>
      <c r="F764" t="s">
        <v>20</v>
      </c>
      <c r="G764" s="4">
        <v>174741</v>
      </c>
      <c r="H764" s="4">
        <v>7129</v>
      </c>
      <c r="I764" s="5">
        <v>4.0800000000000003E-2</v>
      </c>
      <c r="J764" s="2">
        <v>2.17</v>
      </c>
      <c r="K764" s="6">
        <v>15469.93</v>
      </c>
      <c r="L764" s="4">
        <v>326</v>
      </c>
      <c r="M764" s="2">
        <v>47.45</v>
      </c>
      <c r="N764" s="6">
        <v>58786.78</v>
      </c>
      <c r="O764" s="6">
        <f t="shared" si="56"/>
        <v>43316.85</v>
      </c>
      <c r="P764" s="6">
        <f t="shared" si="57"/>
        <v>2.8000676150441532</v>
      </c>
      <c r="Q764" s="3">
        <v>3.8</v>
      </c>
      <c r="R764" t="str">
        <f t="shared" si="58"/>
        <v>High</v>
      </c>
      <c r="S764" t="str">
        <f t="shared" si="59"/>
        <v>Valid</v>
      </c>
    </row>
    <row r="765" spans="1:19" x14ac:dyDescent="0.25">
      <c r="A765" s="1">
        <v>45308</v>
      </c>
      <c r="B765" s="1" t="str">
        <f t="shared" si="55"/>
        <v>2024-01</v>
      </c>
      <c r="C765" t="s">
        <v>28</v>
      </c>
      <c r="D765" t="s">
        <v>24</v>
      </c>
      <c r="E765" t="s">
        <v>30</v>
      </c>
      <c r="F765" t="s">
        <v>26</v>
      </c>
      <c r="G765" s="4">
        <v>62033</v>
      </c>
      <c r="H765" s="4">
        <v>2667</v>
      </c>
      <c r="I765" s="5">
        <v>4.2999999999999997E-2</v>
      </c>
      <c r="J765" s="2">
        <v>1.1000000000000001</v>
      </c>
      <c r="K765" s="6">
        <v>2933.7</v>
      </c>
      <c r="L765" s="4">
        <v>135</v>
      </c>
      <c r="M765" s="2">
        <v>21.73</v>
      </c>
      <c r="N765" s="6">
        <v>14288.2</v>
      </c>
      <c r="O765" s="6">
        <f t="shared" si="56"/>
        <v>11354.5</v>
      </c>
      <c r="P765" s="6">
        <f t="shared" si="57"/>
        <v>3.8703684766676894</v>
      </c>
      <c r="Q765" s="3">
        <v>4.87</v>
      </c>
      <c r="R765" t="str">
        <f t="shared" si="58"/>
        <v>High</v>
      </c>
      <c r="S765" t="str">
        <f t="shared" si="59"/>
        <v>Valid</v>
      </c>
    </row>
    <row r="766" spans="1:19" x14ac:dyDescent="0.25">
      <c r="A766" s="1">
        <v>45400</v>
      </c>
      <c r="B766" s="1" t="str">
        <f t="shared" si="55"/>
        <v>2024-04</v>
      </c>
      <c r="C766" t="s">
        <v>18</v>
      </c>
      <c r="D766" t="s">
        <v>15</v>
      </c>
      <c r="E766" t="s">
        <v>16</v>
      </c>
      <c r="F766" t="s">
        <v>27</v>
      </c>
      <c r="G766" s="4">
        <v>6067</v>
      </c>
      <c r="H766" s="4">
        <v>201</v>
      </c>
      <c r="I766" s="5">
        <v>3.32E-2</v>
      </c>
      <c r="J766" s="2">
        <v>0.63</v>
      </c>
      <c r="K766" s="6">
        <v>126.63</v>
      </c>
      <c r="L766" s="4">
        <v>12</v>
      </c>
      <c r="M766" s="2">
        <v>10.55</v>
      </c>
      <c r="N766" s="6">
        <v>2449.2800000000002</v>
      </c>
      <c r="O766" s="6">
        <f t="shared" si="56"/>
        <v>2322.65</v>
      </c>
      <c r="P766" s="6">
        <f t="shared" si="57"/>
        <v>18.342020058437971</v>
      </c>
      <c r="Q766" s="3">
        <v>19.34</v>
      </c>
      <c r="R766" t="str">
        <f t="shared" si="58"/>
        <v>High</v>
      </c>
      <c r="S766" t="str">
        <f t="shared" si="59"/>
        <v>Valid</v>
      </c>
    </row>
    <row r="767" spans="1:19" x14ac:dyDescent="0.25">
      <c r="A767" s="1">
        <v>45449</v>
      </c>
      <c r="B767" s="1" t="str">
        <f t="shared" si="55"/>
        <v>2024-06</v>
      </c>
      <c r="C767" t="s">
        <v>14</v>
      </c>
      <c r="D767" t="s">
        <v>15</v>
      </c>
      <c r="E767" t="s">
        <v>25</v>
      </c>
      <c r="F767" t="s">
        <v>17</v>
      </c>
      <c r="G767" s="4">
        <v>187941</v>
      </c>
      <c r="H767" s="4">
        <v>9303</v>
      </c>
      <c r="I767" s="5">
        <v>4.9500000000000002E-2</v>
      </c>
      <c r="J767" s="2">
        <v>2.33</v>
      </c>
      <c r="K767" s="6">
        <v>21675.99</v>
      </c>
      <c r="L767" s="4">
        <v>528</v>
      </c>
      <c r="M767" s="2">
        <v>41.05</v>
      </c>
      <c r="N767" s="6">
        <v>92564.99</v>
      </c>
      <c r="O767" s="6">
        <f t="shared" si="56"/>
        <v>70889</v>
      </c>
      <c r="P767" s="6">
        <f t="shared" si="57"/>
        <v>3.270392724853628</v>
      </c>
      <c r="Q767" s="3">
        <v>4.2699999999999996</v>
      </c>
      <c r="R767" t="str">
        <f t="shared" si="58"/>
        <v>High</v>
      </c>
      <c r="S767" t="str">
        <f t="shared" si="59"/>
        <v>Valid</v>
      </c>
    </row>
    <row r="768" spans="1:19" x14ac:dyDescent="0.25">
      <c r="A768" s="1">
        <v>45588</v>
      </c>
      <c r="B768" s="1" t="str">
        <f t="shared" si="55"/>
        <v>2024-10</v>
      </c>
      <c r="C768" t="s">
        <v>18</v>
      </c>
      <c r="D768" t="s">
        <v>24</v>
      </c>
      <c r="E768" t="s">
        <v>19</v>
      </c>
      <c r="F768" t="s">
        <v>17</v>
      </c>
      <c r="G768" s="4">
        <v>16094</v>
      </c>
      <c r="H768" s="4">
        <v>535</v>
      </c>
      <c r="I768" s="5">
        <v>3.3300000000000003E-2</v>
      </c>
      <c r="J768" s="2">
        <v>1.81</v>
      </c>
      <c r="K768" s="6">
        <v>968.35</v>
      </c>
      <c r="L768" s="4">
        <v>8</v>
      </c>
      <c r="M768" s="2">
        <v>121.04</v>
      </c>
      <c r="N768" s="6">
        <v>469.8</v>
      </c>
      <c r="O768" s="6">
        <f t="shared" si="56"/>
        <v>-498.55</v>
      </c>
      <c r="P768" s="6">
        <f t="shared" si="57"/>
        <v>-0.51484483915939483</v>
      </c>
      <c r="Q768" s="3">
        <v>0.49</v>
      </c>
      <c r="R768" t="str">
        <f t="shared" si="58"/>
        <v>Low</v>
      </c>
      <c r="S768" t="str">
        <f t="shared" si="59"/>
        <v>Valid</v>
      </c>
    </row>
    <row r="769" spans="1:19" x14ac:dyDescent="0.25">
      <c r="A769" s="1">
        <v>45562</v>
      </c>
      <c r="B769" s="1" t="str">
        <f t="shared" si="55"/>
        <v>2024-09</v>
      </c>
      <c r="C769" t="s">
        <v>28</v>
      </c>
      <c r="D769" t="s">
        <v>29</v>
      </c>
      <c r="E769" t="s">
        <v>19</v>
      </c>
      <c r="F769" t="s">
        <v>31</v>
      </c>
      <c r="G769" s="4">
        <v>8599</v>
      </c>
      <c r="H769" s="4">
        <v>258</v>
      </c>
      <c r="I769" s="5">
        <v>3.0099999999999998E-2</v>
      </c>
      <c r="J769" s="2">
        <v>0.65</v>
      </c>
      <c r="K769" s="6">
        <v>167.7</v>
      </c>
      <c r="L769" s="4">
        <v>6</v>
      </c>
      <c r="M769" s="2">
        <v>27.95</v>
      </c>
      <c r="N769" s="6">
        <v>594.69000000000005</v>
      </c>
      <c r="O769" s="6">
        <f t="shared" si="56"/>
        <v>426.99000000000007</v>
      </c>
      <c r="P769" s="6">
        <f t="shared" si="57"/>
        <v>2.5461538461538469</v>
      </c>
      <c r="Q769" s="3">
        <v>3.55</v>
      </c>
      <c r="R769" t="str">
        <f t="shared" si="58"/>
        <v>High</v>
      </c>
      <c r="S769" t="str">
        <f t="shared" si="59"/>
        <v>Valid</v>
      </c>
    </row>
    <row r="770" spans="1:19" x14ac:dyDescent="0.25">
      <c r="A770" s="1">
        <v>45298</v>
      </c>
      <c r="B770" s="1" t="str">
        <f t="shared" si="55"/>
        <v>2024-01</v>
      </c>
      <c r="C770" t="s">
        <v>14</v>
      </c>
      <c r="D770" t="s">
        <v>21</v>
      </c>
      <c r="E770" t="s">
        <v>16</v>
      </c>
      <c r="F770" t="s">
        <v>17</v>
      </c>
      <c r="G770" s="4">
        <v>32476</v>
      </c>
      <c r="H770" s="4">
        <v>1136</v>
      </c>
      <c r="I770" s="5">
        <v>3.5000000000000003E-2</v>
      </c>
      <c r="J770" s="2">
        <v>1.64</v>
      </c>
      <c r="K770" s="6">
        <v>1863.04</v>
      </c>
      <c r="L770" s="4">
        <v>86</v>
      </c>
      <c r="M770" s="2">
        <v>21.66</v>
      </c>
      <c r="N770" s="6">
        <v>21754.11</v>
      </c>
      <c r="O770" s="6">
        <f t="shared" si="56"/>
        <v>19891.07</v>
      </c>
      <c r="P770" s="6">
        <f t="shared" si="57"/>
        <v>10.676673608725524</v>
      </c>
      <c r="Q770" s="3">
        <v>11.68</v>
      </c>
      <c r="R770" t="str">
        <f t="shared" si="58"/>
        <v>High</v>
      </c>
      <c r="S770" t="str">
        <f t="shared" si="59"/>
        <v>Valid</v>
      </c>
    </row>
    <row r="771" spans="1:19" x14ac:dyDescent="0.25">
      <c r="A771" s="1">
        <v>45322</v>
      </c>
      <c r="B771" s="1" t="str">
        <f t="shared" ref="B771:B834" si="60">TEXT(A771, "yyyy-mm")</f>
        <v>2024-01</v>
      </c>
      <c r="C771" t="s">
        <v>14</v>
      </c>
      <c r="D771" t="s">
        <v>29</v>
      </c>
      <c r="E771" t="s">
        <v>16</v>
      </c>
      <c r="F771" t="s">
        <v>27</v>
      </c>
      <c r="G771" s="4">
        <v>64739</v>
      </c>
      <c r="H771" s="4">
        <v>1599</v>
      </c>
      <c r="I771" s="5">
        <v>2.47E-2</v>
      </c>
      <c r="J771" s="2">
        <v>3.26</v>
      </c>
      <c r="K771" s="6">
        <v>5212.74</v>
      </c>
      <c r="L771" s="4">
        <v>109</v>
      </c>
      <c r="M771" s="2">
        <v>47.82</v>
      </c>
      <c r="N771" s="6">
        <v>22723.24</v>
      </c>
      <c r="O771" s="6">
        <f t="shared" ref="O771:O834" si="61">N771-K771</f>
        <v>17510.5</v>
      </c>
      <c r="P771" s="6">
        <f t="shared" ref="P771:P834" si="62">IFERROR(O771/K771, "")</f>
        <v>3.3591738701719249</v>
      </c>
      <c r="Q771" s="3">
        <v>4.3600000000000003</v>
      </c>
      <c r="R771" t="str">
        <f t="shared" ref="R771:R834" si="63">IF(Q771 &gt;= 3, "High", IF(Q771&gt;=1, "Medium", "Low"))</f>
        <v>High</v>
      </c>
      <c r="S771" t="str">
        <f t="shared" ref="S771:S834" si="64">IF(OR(G771=0, H771&gt;G771, L771&gt;H771), "Invalid", "Valid")</f>
        <v>Valid</v>
      </c>
    </row>
    <row r="772" spans="1:19" x14ac:dyDescent="0.25">
      <c r="A772" s="1">
        <v>45418</v>
      </c>
      <c r="B772" s="1" t="str">
        <f t="shared" si="60"/>
        <v>2024-05</v>
      </c>
      <c r="C772" t="s">
        <v>14</v>
      </c>
      <c r="D772" t="s">
        <v>15</v>
      </c>
      <c r="E772" t="s">
        <v>19</v>
      </c>
      <c r="F772" t="s">
        <v>20</v>
      </c>
      <c r="G772" s="4">
        <v>51666</v>
      </c>
      <c r="H772" s="4">
        <v>2965</v>
      </c>
      <c r="I772" s="5">
        <v>5.74E-2</v>
      </c>
      <c r="J772" s="2">
        <v>2.92</v>
      </c>
      <c r="K772" s="6">
        <v>8657.7999999999993</v>
      </c>
      <c r="L772" s="4">
        <v>80</v>
      </c>
      <c r="M772" s="2">
        <v>108.22</v>
      </c>
      <c r="N772" s="6">
        <v>16836.59</v>
      </c>
      <c r="O772" s="6">
        <f t="shared" si="61"/>
        <v>8178.7900000000009</v>
      </c>
      <c r="P772" s="6">
        <f t="shared" si="62"/>
        <v>0.94467301161958017</v>
      </c>
      <c r="Q772" s="3">
        <v>1.94</v>
      </c>
      <c r="R772" t="str">
        <f t="shared" si="63"/>
        <v>Medium</v>
      </c>
      <c r="S772" t="str">
        <f t="shared" si="64"/>
        <v>Valid</v>
      </c>
    </row>
    <row r="773" spans="1:19" x14ac:dyDescent="0.25">
      <c r="A773" s="1">
        <v>45599</v>
      </c>
      <c r="B773" s="1" t="str">
        <f t="shared" si="60"/>
        <v>2024-11</v>
      </c>
      <c r="C773" t="s">
        <v>28</v>
      </c>
      <c r="D773" t="s">
        <v>24</v>
      </c>
      <c r="E773" t="s">
        <v>25</v>
      </c>
      <c r="F773" t="s">
        <v>31</v>
      </c>
      <c r="G773" s="4">
        <v>39723</v>
      </c>
      <c r="H773" s="4">
        <v>1116</v>
      </c>
      <c r="I773" s="5">
        <v>2.81E-2</v>
      </c>
      <c r="J773" s="2">
        <v>0.95</v>
      </c>
      <c r="K773" s="6">
        <v>1060.2</v>
      </c>
      <c r="L773" s="4">
        <v>14</v>
      </c>
      <c r="M773" s="2">
        <v>75.73</v>
      </c>
      <c r="N773" s="6">
        <v>582.59</v>
      </c>
      <c r="O773" s="6">
        <f t="shared" si="61"/>
        <v>-477.61</v>
      </c>
      <c r="P773" s="6">
        <f t="shared" si="62"/>
        <v>-0.45049047349556687</v>
      </c>
      <c r="Q773" s="3">
        <v>0.55000000000000004</v>
      </c>
      <c r="R773" t="str">
        <f t="shared" si="63"/>
        <v>Low</v>
      </c>
      <c r="S773" t="str">
        <f t="shared" si="64"/>
        <v>Valid</v>
      </c>
    </row>
    <row r="774" spans="1:19" x14ac:dyDescent="0.25">
      <c r="A774" s="1">
        <v>45638</v>
      </c>
      <c r="B774" s="1" t="str">
        <f t="shared" si="60"/>
        <v>2024-12</v>
      </c>
      <c r="C774" t="s">
        <v>18</v>
      </c>
      <c r="D774" t="s">
        <v>15</v>
      </c>
      <c r="E774" t="s">
        <v>22</v>
      </c>
      <c r="F774" t="s">
        <v>27</v>
      </c>
      <c r="G774" s="4">
        <v>163984</v>
      </c>
      <c r="H774" s="4">
        <v>12971</v>
      </c>
      <c r="I774" s="5">
        <v>7.9100000000000004E-2</v>
      </c>
      <c r="J774" s="2">
        <v>1.68</v>
      </c>
      <c r="K774" s="6">
        <v>21791.279999999999</v>
      </c>
      <c r="L774" s="4">
        <v>962</v>
      </c>
      <c r="M774" s="2">
        <v>22.65</v>
      </c>
      <c r="N774" s="6">
        <v>170813.74</v>
      </c>
      <c r="O774" s="6">
        <f t="shared" si="61"/>
        <v>149022.46</v>
      </c>
      <c r="P774" s="6">
        <f t="shared" si="62"/>
        <v>6.8386281117951766</v>
      </c>
      <c r="Q774" s="3">
        <v>7.84</v>
      </c>
      <c r="R774" t="str">
        <f t="shared" si="63"/>
        <v>High</v>
      </c>
      <c r="S774" t="str">
        <f t="shared" si="64"/>
        <v>Valid</v>
      </c>
    </row>
    <row r="775" spans="1:19" x14ac:dyDescent="0.25">
      <c r="A775" s="1">
        <v>45301</v>
      </c>
      <c r="B775" s="1" t="str">
        <f t="shared" si="60"/>
        <v>2024-01</v>
      </c>
      <c r="C775" t="s">
        <v>28</v>
      </c>
      <c r="D775" t="s">
        <v>21</v>
      </c>
      <c r="E775" t="s">
        <v>16</v>
      </c>
      <c r="F775" t="s">
        <v>32</v>
      </c>
      <c r="G775" s="4">
        <v>51698</v>
      </c>
      <c r="H775" s="4">
        <v>1307</v>
      </c>
      <c r="I775" s="5">
        <v>2.53E-2</v>
      </c>
      <c r="J775" s="2">
        <v>1.96</v>
      </c>
      <c r="K775" s="6">
        <v>2561.7199999999998</v>
      </c>
      <c r="L775" s="4">
        <v>91</v>
      </c>
      <c r="M775" s="2">
        <v>28.15</v>
      </c>
      <c r="N775" s="6">
        <v>15551.2</v>
      </c>
      <c r="O775" s="6">
        <f t="shared" si="61"/>
        <v>12989.480000000001</v>
      </c>
      <c r="P775" s="6">
        <f t="shared" si="62"/>
        <v>5.0706088097059796</v>
      </c>
      <c r="Q775" s="3">
        <v>6.07</v>
      </c>
      <c r="R775" t="str">
        <f t="shared" si="63"/>
        <v>High</v>
      </c>
      <c r="S775" t="str">
        <f t="shared" si="64"/>
        <v>Valid</v>
      </c>
    </row>
    <row r="776" spans="1:19" x14ac:dyDescent="0.25">
      <c r="A776" s="1">
        <v>45338</v>
      </c>
      <c r="B776" s="1" t="str">
        <f t="shared" si="60"/>
        <v>2024-02</v>
      </c>
      <c r="C776" t="s">
        <v>14</v>
      </c>
      <c r="D776" t="s">
        <v>24</v>
      </c>
      <c r="E776" t="s">
        <v>25</v>
      </c>
      <c r="F776" t="s">
        <v>17</v>
      </c>
      <c r="G776" s="4">
        <v>50206</v>
      </c>
      <c r="H776" s="4">
        <v>2399</v>
      </c>
      <c r="I776" s="5">
        <v>4.7800000000000002E-2</v>
      </c>
      <c r="J776" s="2">
        <v>2.02</v>
      </c>
      <c r="K776" s="6">
        <v>4845.9799999999996</v>
      </c>
      <c r="L776" s="4">
        <v>163</v>
      </c>
      <c r="M776" s="2">
        <v>29.73</v>
      </c>
      <c r="N776" s="6">
        <v>5571.38</v>
      </c>
      <c r="O776" s="6">
        <f t="shared" si="61"/>
        <v>725.40000000000055</v>
      </c>
      <c r="P776" s="6">
        <f t="shared" si="62"/>
        <v>0.14969108415635241</v>
      </c>
      <c r="Q776" s="3">
        <v>1.1499999999999999</v>
      </c>
      <c r="R776" t="str">
        <f t="shared" si="63"/>
        <v>Medium</v>
      </c>
      <c r="S776" t="str">
        <f t="shared" si="64"/>
        <v>Valid</v>
      </c>
    </row>
    <row r="777" spans="1:19" x14ac:dyDescent="0.25">
      <c r="A777" s="1">
        <v>45573</v>
      </c>
      <c r="B777" s="1" t="str">
        <f t="shared" si="60"/>
        <v>2024-10</v>
      </c>
      <c r="C777" t="s">
        <v>14</v>
      </c>
      <c r="D777" t="s">
        <v>21</v>
      </c>
      <c r="E777" t="s">
        <v>16</v>
      </c>
      <c r="F777" t="s">
        <v>17</v>
      </c>
      <c r="G777" s="4">
        <v>194099</v>
      </c>
      <c r="H777" s="4">
        <v>4774</v>
      </c>
      <c r="I777" s="5">
        <v>2.46E-2</v>
      </c>
      <c r="J777" s="2">
        <v>2.4900000000000002</v>
      </c>
      <c r="K777" s="6">
        <v>11887.26</v>
      </c>
      <c r="L777" s="4">
        <v>134</v>
      </c>
      <c r="M777" s="2">
        <v>88.71</v>
      </c>
      <c r="N777" s="6">
        <v>8446.2099999999991</v>
      </c>
      <c r="O777" s="6">
        <f t="shared" si="61"/>
        <v>-3441.0500000000011</v>
      </c>
      <c r="P777" s="6">
        <f t="shared" si="62"/>
        <v>-0.2894737727617635</v>
      </c>
      <c r="Q777" s="3">
        <v>0.71</v>
      </c>
      <c r="R777" t="str">
        <f t="shared" si="63"/>
        <v>Low</v>
      </c>
      <c r="S777" t="str">
        <f t="shared" si="64"/>
        <v>Valid</v>
      </c>
    </row>
    <row r="778" spans="1:19" x14ac:dyDescent="0.25">
      <c r="A778" s="1">
        <v>45655</v>
      </c>
      <c r="B778" s="1" t="str">
        <f t="shared" si="60"/>
        <v>2024-12</v>
      </c>
      <c r="C778" t="s">
        <v>18</v>
      </c>
      <c r="D778" t="s">
        <v>21</v>
      </c>
      <c r="E778" t="s">
        <v>30</v>
      </c>
      <c r="F778" t="s">
        <v>23</v>
      </c>
      <c r="G778" s="4">
        <v>11820</v>
      </c>
      <c r="H778" s="4">
        <v>366</v>
      </c>
      <c r="I778" s="5">
        <v>3.1E-2</v>
      </c>
      <c r="J778" s="2">
        <v>1.72</v>
      </c>
      <c r="K778" s="6">
        <v>629.52</v>
      </c>
      <c r="L778" s="4">
        <v>12</v>
      </c>
      <c r="M778" s="2">
        <v>52.46</v>
      </c>
      <c r="N778" s="6">
        <v>2301.9899999999998</v>
      </c>
      <c r="O778" s="6">
        <f t="shared" si="61"/>
        <v>1672.4699999999998</v>
      </c>
      <c r="P778" s="6">
        <f t="shared" si="62"/>
        <v>2.656738467403736</v>
      </c>
      <c r="Q778" s="3">
        <v>3.66</v>
      </c>
      <c r="R778" t="str">
        <f t="shared" si="63"/>
        <v>High</v>
      </c>
      <c r="S778" t="str">
        <f t="shared" si="64"/>
        <v>Valid</v>
      </c>
    </row>
    <row r="779" spans="1:19" x14ac:dyDescent="0.25">
      <c r="A779" s="1">
        <v>45642</v>
      </c>
      <c r="B779" s="1" t="str">
        <f t="shared" si="60"/>
        <v>2024-12</v>
      </c>
      <c r="C779" t="s">
        <v>18</v>
      </c>
      <c r="D779" t="s">
        <v>15</v>
      </c>
      <c r="E779" t="s">
        <v>25</v>
      </c>
      <c r="F779" t="s">
        <v>23</v>
      </c>
      <c r="G779" s="4">
        <v>56782</v>
      </c>
      <c r="H779" s="4">
        <v>3264</v>
      </c>
      <c r="I779" s="5">
        <v>5.7500000000000002E-2</v>
      </c>
      <c r="J779" s="2">
        <v>0.8</v>
      </c>
      <c r="K779" s="6">
        <v>2611.1999999999998</v>
      </c>
      <c r="L779" s="4">
        <v>154</v>
      </c>
      <c r="M779" s="2">
        <v>16.96</v>
      </c>
      <c r="N779" s="6">
        <v>15749.58</v>
      </c>
      <c r="O779" s="6">
        <f t="shared" si="61"/>
        <v>13138.380000000001</v>
      </c>
      <c r="P779" s="6">
        <f t="shared" si="62"/>
        <v>5.0315487132352947</v>
      </c>
      <c r="Q779" s="3">
        <v>6.03</v>
      </c>
      <c r="R779" t="str">
        <f t="shared" si="63"/>
        <v>High</v>
      </c>
      <c r="S779" t="str">
        <f t="shared" si="64"/>
        <v>Valid</v>
      </c>
    </row>
    <row r="780" spans="1:19" x14ac:dyDescent="0.25">
      <c r="A780" s="1">
        <v>45517</v>
      </c>
      <c r="B780" s="1" t="str">
        <f t="shared" si="60"/>
        <v>2024-08</v>
      </c>
      <c r="C780" t="s">
        <v>18</v>
      </c>
      <c r="D780" t="s">
        <v>21</v>
      </c>
      <c r="E780" t="s">
        <v>25</v>
      </c>
      <c r="F780" t="s">
        <v>20</v>
      </c>
      <c r="G780" s="4">
        <v>191894</v>
      </c>
      <c r="H780" s="4">
        <v>7138</v>
      </c>
      <c r="I780" s="5">
        <v>3.7199999999999997E-2</v>
      </c>
      <c r="J780" s="2">
        <v>0.77</v>
      </c>
      <c r="K780" s="6">
        <v>5496.26</v>
      </c>
      <c r="L780" s="4">
        <v>380</v>
      </c>
      <c r="M780" s="2">
        <v>14.46</v>
      </c>
      <c r="N780" s="6">
        <v>85112.1</v>
      </c>
      <c r="O780" s="6">
        <f t="shared" si="61"/>
        <v>79615.840000000011</v>
      </c>
      <c r="P780" s="6">
        <f t="shared" si="62"/>
        <v>14.485457383748223</v>
      </c>
      <c r="Q780" s="3">
        <v>15.49</v>
      </c>
      <c r="R780" t="str">
        <f t="shared" si="63"/>
        <v>High</v>
      </c>
      <c r="S780" t="str">
        <f t="shared" si="64"/>
        <v>Valid</v>
      </c>
    </row>
    <row r="781" spans="1:19" x14ac:dyDescent="0.25">
      <c r="A781" s="1">
        <v>45310</v>
      </c>
      <c r="B781" s="1" t="str">
        <f t="shared" si="60"/>
        <v>2024-01</v>
      </c>
      <c r="C781" t="s">
        <v>14</v>
      </c>
      <c r="D781" t="s">
        <v>24</v>
      </c>
      <c r="E781" t="s">
        <v>16</v>
      </c>
      <c r="F781" t="s">
        <v>20</v>
      </c>
      <c r="G781" s="4">
        <v>55075</v>
      </c>
      <c r="H781" s="4">
        <v>3056</v>
      </c>
      <c r="I781" s="5">
        <v>5.5500000000000001E-2</v>
      </c>
      <c r="J781" s="2">
        <v>2.36</v>
      </c>
      <c r="K781" s="6">
        <v>7212.16</v>
      </c>
      <c r="L781" s="4">
        <v>156</v>
      </c>
      <c r="M781" s="2">
        <v>46.23</v>
      </c>
      <c r="N781" s="6">
        <v>5145.3100000000004</v>
      </c>
      <c r="O781" s="6">
        <f t="shared" si="61"/>
        <v>-2066.8499999999995</v>
      </c>
      <c r="P781" s="6">
        <f t="shared" si="62"/>
        <v>-0.2865785007542816</v>
      </c>
      <c r="Q781" s="3">
        <v>0.71</v>
      </c>
      <c r="R781" t="str">
        <f t="shared" si="63"/>
        <v>Low</v>
      </c>
      <c r="S781" t="str">
        <f t="shared" si="64"/>
        <v>Valid</v>
      </c>
    </row>
    <row r="782" spans="1:19" x14ac:dyDescent="0.25">
      <c r="A782" s="1">
        <v>45410</v>
      </c>
      <c r="B782" s="1" t="str">
        <f t="shared" si="60"/>
        <v>2024-04</v>
      </c>
      <c r="C782" t="s">
        <v>14</v>
      </c>
      <c r="D782" t="s">
        <v>24</v>
      </c>
      <c r="E782" t="s">
        <v>19</v>
      </c>
      <c r="F782" t="s">
        <v>31</v>
      </c>
      <c r="G782" s="4">
        <v>81830</v>
      </c>
      <c r="H782" s="4">
        <v>4091</v>
      </c>
      <c r="I782" s="5">
        <v>0.05</v>
      </c>
      <c r="J782" s="2">
        <v>1.45</v>
      </c>
      <c r="K782" s="6">
        <v>5931.95</v>
      </c>
      <c r="L782" s="4">
        <v>49</v>
      </c>
      <c r="M782" s="2">
        <v>121.06</v>
      </c>
      <c r="N782" s="6">
        <v>7206.83</v>
      </c>
      <c r="O782" s="6">
        <f t="shared" si="61"/>
        <v>1274.8800000000001</v>
      </c>
      <c r="P782" s="6">
        <f t="shared" si="62"/>
        <v>0.21491752290562127</v>
      </c>
      <c r="Q782" s="3">
        <v>1.21</v>
      </c>
      <c r="R782" t="str">
        <f t="shared" si="63"/>
        <v>Medium</v>
      </c>
      <c r="S782" t="str">
        <f t="shared" si="64"/>
        <v>Valid</v>
      </c>
    </row>
    <row r="783" spans="1:19" x14ac:dyDescent="0.25">
      <c r="A783" s="1">
        <v>45643</v>
      </c>
      <c r="B783" s="1" t="str">
        <f t="shared" si="60"/>
        <v>2024-12</v>
      </c>
      <c r="C783" t="s">
        <v>28</v>
      </c>
      <c r="D783" t="s">
        <v>15</v>
      </c>
      <c r="E783" t="s">
        <v>19</v>
      </c>
      <c r="F783" t="s">
        <v>23</v>
      </c>
      <c r="G783" s="4">
        <v>87911</v>
      </c>
      <c r="H783" s="4">
        <v>1116</v>
      </c>
      <c r="I783" s="5">
        <v>1.2699999999999999E-2</v>
      </c>
      <c r="J783" s="2">
        <v>0.48</v>
      </c>
      <c r="K783" s="6">
        <v>535.67999999999995</v>
      </c>
      <c r="L783" s="4">
        <v>61</v>
      </c>
      <c r="M783" s="2">
        <v>8.7799999999999994</v>
      </c>
      <c r="N783" s="6">
        <v>16688.84</v>
      </c>
      <c r="O783" s="6">
        <f t="shared" si="61"/>
        <v>16153.16</v>
      </c>
      <c r="P783" s="6">
        <f t="shared" si="62"/>
        <v>30.154495221027481</v>
      </c>
      <c r="Q783" s="3">
        <v>31.15</v>
      </c>
      <c r="R783" t="str">
        <f t="shared" si="63"/>
        <v>High</v>
      </c>
      <c r="S783" t="str">
        <f t="shared" si="64"/>
        <v>Valid</v>
      </c>
    </row>
    <row r="784" spans="1:19" x14ac:dyDescent="0.25">
      <c r="A784" s="1">
        <v>45550</v>
      </c>
      <c r="B784" s="1" t="str">
        <f t="shared" si="60"/>
        <v>2024-09</v>
      </c>
      <c r="C784" t="s">
        <v>28</v>
      </c>
      <c r="D784" t="s">
        <v>15</v>
      </c>
      <c r="E784" t="s">
        <v>25</v>
      </c>
      <c r="F784" t="s">
        <v>27</v>
      </c>
      <c r="G784" s="4">
        <v>9521</v>
      </c>
      <c r="H784" s="4">
        <v>237</v>
      </c>
      <c r="I784" s="5">
        <v>2.4899999999999999E-2</v>
      </c>
      <c r="J784" s="2">
        <v>1.77</v>
      </c>
      <c r="K784" s="6">
        <v>419.49</v>
      </c>
      <c r="L784" s="4">
        <v>17</v>
      </c>
      <c r="M784" s="2">
        <v>24.68</v>
      </c>
      <c r="N784" s="6">
        <v>1502.31</v>
      </c>
      <c r="O784" s="6">
        <f t="shared" si="61"/>
        <v>1082.82</v>
      </c>
      <c r="P784" s="6">
        <f t="shared" si="62"/>
        <v>2.5812772652506615</v>
      </c>
      <c r="Q784" s="3">
        <v>3.58</v>
      </c>
      <c r="R784" t="str">
        <f t="shared" si="63"/>
        <v>High</v>
      </c>
      <c r="S784" t="str">
        <f t="shared" si="64"/>
        <v>Valid</v>
      </c>
    </row>
    <row r="785" spans="1:19" x14ac:dyDescent="0.25">
      <c r="A785" s="1">
        <v>45396</v>
      </c>
      <c r="B785" s="1" t="str">
        <f t="shared" si="60"/>
        <v>2024-04</v>
      </c>
      <c r="C785" t="s">
        <v>18</v>
      </c>
      <c r="D785" t="s">
        <v>15</v>
      </c>
      <c r="E785" t="s">
        <v>30</v>
      </c>
      <c r="F785" t="s">
        <v>20</v>
      </c>
      <c r="G785" s="4">
        <v>88115</v>
      </c>
      <c r="H785" s="4">
        <v>5383</v>
      </c>
      <c r="I785" s="5">
        <v>6.1100000000000002E-2</v>
      </c>
      <c r="J785" s="2">
        <v>0.68</v>
      </c>
      <c r="K785" s="6">
        <v>3660.44</v>
      </c>
      <c r="L785" s="4">
        <v>121</v>
      </c>
      <c r="M785" s="2">
        <v>30.25</v>
      </c>
      <c r="N785" s="6">
        <v>28357.39</v>
      </c>
      <c r="O785" s="6">
        <f t="shared" si="61"/>
        <v>24696.95</v>
      </c>
      <c r="P785" s="6">
        <f t="shared" si="62"/>
        <v>6.7469894329643436</v>
      </c>
      <c r="Q785" s="3">
        <v>7.75</v>
      </c>
      <c r="R785" t="str">
        <f t="shared" si="63"/>
        <v>High</v>
      </c>
      <c r="S785" t="str">
        <f t="shared" si="64"/>
        <v>Valid</v>
      </c>
    </row>
    <row r="786" spans="1:19" x14ac:dyDescent="0.25">
      <c r="A786" s="1">
        <v>45467</v>
      </c>
      <c r="B786" s="1" t="str">
        <f t="shared" si="60"/>
        <v>2024-06</v>
      </c>
      <c r="C786" t="s">
        <v>14</v>
      </c>
      <c r="D786" t="s">
        <v>24</v>
      </c>
      <c r="E786" t="s">
        <v>30</v>
      </c>
      <c r="F786" t="s">
        <v>26</v>
      </c>
      <c r="G786" s="4">
        <v>184030</v>
      </c>
      <c r="H786" s="4">
        <v>5649</v>
      </c>
      <c r="I786" s="5">
        <v>3.0700000000000002E-2</v>
      </c>
      <c r="J786" s="2">
        <v>2.23</v>
      </c>
      <c r="K786" s="6">
        <v>12597.27</v>
      </c>
      <c r="L786" s="4">
        <v>90</v>
      </c>
      <c r="M786" s="2">
        <v>139.97</v>
      </c>
      <c r="N786" s="6">
        <v>23192.98</v>
      </c>
      <c r="O786" s="6">
        <f t="shared" si="61"/>
        <v>10595.71</v>
      </c>
      <c r="P786" s="6">
        <f t="shared" si="62"/>
        <v>0.84111160592731593</v>
      </c>
      <c r="Q786" s="3">
        <v>1.84</v>
      </c>
      <c r="R786" t="str">
        <f t="shared" si="63"/>
        <v>Medium</v>
      </c>
      <c r="S786" t="str">
        <f t="shared" si="64"/>
        <v>Valid</v>
      </c>
    </row>
    <row r="787" spans="1:19" x14ac:dyDescent="0.25">
      <c r="A787" s="1">
        <v>45525</v>
      </c>
      <c r="B787" s="1" t="str">
        <f t="shared" si="60"/>
        <v>2024-08</v>
      </c>
      <c r="C787" t="s">
        <v>28</v>
      </c>
      <c r="D787" t="s">
        <v>21</v>
      </c>
      <c r="E787" t="s">
        <v>19</v>
      </c>
      <c r="F787" t="s">
        <v>20</v>
      </c>
      <c r="G787" s="4">
        <v>151729</v>
      </c>
      <c r="H787" s="4">
        <v>4491</v>
      </c>
      <c r="I787" s="5">
        <v>2.9600000000000001E-2</v>
      </c>
      <c r="J787" s="2">
        <v>1.85</v>
      </c>
      <c r="K787" s="6">
        <v>8308.35</v>
      </c>
      <c r="L787" s="4">
        <v>228</v>
      </c>
      <c r="M787" s="2">
        <v>36.44</v>
      </c>
      <c r="N787" s="6">
        <v>48165.440000000002</v>
      </c>
      <c r="O787" s="6">
        <f t="shared" si="61"/>
        <v>39857.090000000004</v>
      </c>
      <c r="P787" s="6">
        <f t="shared" si="62"/>
        <v>4.7972329042469326</v>
      </c>
      <c r="Q787" s="3">
        <v>5.8</v>
      </c>
      <c r="R787" t="str">
        <f t="shared" si="63"/>
        <v>High</v>
      </c>
      <c r="S787" t="str">
        <f t="shared" si="64"/>
        <v>Valid</v>
      </c>
    </row>
    <row r="788" spans="1:19" x14ac:dyDescent="0.25">
      <c r="A788" s="1">
        <v>45346</v>
      </c>
      <c r="B788" s="1" t="str">
        <f t="shared" si="60"/>
        <v>2024-02</v>
      </c>
      <c r="C788" t="s">
        <v>18</v>
      </c>
      <c r="D788" t="s">
        <v>21</v>
      </c>
      <c r="E788" t="s">
        <v>25</v>
      </c>
      <c r="F788" t="s">
        <v>31</v>
      </c>
      <c r="G788" s="4">
        <v>68176</v>
      </c>
      <c r="H788" s="4">
        <v>2679</v>
      </c>
      <c r="I788" s="5">
        <v>3.9300000000000002E-2</v>
      </c>
      <c r="J788" s="2">
        <v>1.24</v>
      </c>
      <c r="K788" s="6">
        <v>3321.96</v>
      </c>
      <c r="L788" s="4">
        <v>173</v>
      </c>
      <c r="M788" s="2">
        <v>19.2</v>
      </c>
      <c r="N788" s="6">
        <v>19288.91</v>
      </c>
      <c r="O788" s="6">
        <f t="shared" si="61"/>
        <v>15966.95</v>
      </c>
      <c r="P788" s="6">
        <f t="shared" si="62"/>
        <v>4.8064847258847188</v>
      </c>
      <c r="Q788" s="3">
        <v>5.81</v>
      </c>
      <c r="R788" t="str">
        <f t="shared" si="63"/>
        <v>High</v>
      </c>
      <c r="S788" t="str">
        <f t="shared" si="64"/>
        <v>Valid</v>
      </c>
    </row>
    <row r="789" spans="1:19" x14ac:dyDescent="0.25">
      <c r="A789" s="1">
        <v>45577</v>
      </c>
      <c r="B789" s="1" t="str">
        <f t="shared" si="60"/>
        <v>2024-10</v>
      </c>
      <c r="C789" t="s">
        <v>28</v>
      </c>
      <c r="D789" t="s">
        <v>24</v>
      </c>
      <c r="E789" t="s">
        <v>22</v>
      </c>
      <c r="F789" t="s">
        <v>17</v>
      </c>
      <c r="G789" s="4">
        <v>160136</v>
      </c>
      <c r="H789" s="4">
        <v>6581</v>
      </c>
      <c r="I789" s="5">
        <v>4.1099999999999998E-2</v>
      </c>
      <c r="J789" s="2">
        <v>0.4</v>
      </c>
      <c r="K789" s="6">
        <v>2632.4</v>
      </c>
      <c r="L789" s="4">
        <v>393</v>
      </c>
      <c r="M789" s="2">
        <v>6.7</v>
      </c>
      <c r="N789" s="6">
        <v>81942.570000000007</v>
      </c>
      <c r="O789" s="6">
        <f t="shared" si="61"/>
        <v>79310.170000000013</v>
      </c>
      <c r="P789" s="6">
        <f t="shared" si="62"/>
        <v>30.128464519070054</v>
      </c>
      <c r="Q789" s="3">
        <v>31.13</v>
      </c>
      <c r="R789" t="str">
        <f t="shared" si="63"/>
        <v>High</v>
      </c>
      <c r="S789" t="str">
        <f t="shared" si="64"/>
        <v>Valid</v>
      </c>
    </row>
    <row r="790" spans="1:19" x14ac:dyDescent="0.25">
      <c r="A790" s="1">
        <v>45404</v>
      </c>
      <c r="B790" s="1" t="str">
        <f t="shared" si="60"/>
        <v>2024-04</v>
      </c>
      <c r="C790" t="s">
        <v>14</v>
      </c>
      <c r="D790" t="s">
        <v>21</v>
      </c>
      <c r="E790" t="s">
        <v>22</v>
      </c>
      <c r="F790" t="s">
        <v>27</v>
      </c>
      <c r="G790" s="4">
        <v>164504</v>
      </c>
      <c r="H790" s="4">
        <v>3322</v>
      </c>
      <c r="I790" s="5">
        <v>2.0199999999999999E-2</v>
      </c>
      <c r="J790" s="2">
        <v>2.0699999999999998</v>
      </c>
      <c r="K790" s="6">
        <v>6876.54</v>
      </c>
      <c r="L790" s="4">
        <v>96</v>
      </c>
      <c r="M790" s="2">
        <v>71.63</v>
      </c>
      <c r="N790" s="6">
        <v>10570.76</v>
      </c>
      <c r="O790" s="6">
        <f t="shared" si="61"/>
        <v>3694.2200000000003</v>
      </c>
      <c r="P790" s="6">
        <f t="shared" si="62"/>
        <v>0.53722075346031584</v>
      </c>
      <c r="Q790" s="3">
        <v>1.54</v>
      </c>
      <c r="R790" t="str">
        <f t="shared" si="63"/>
        <v>Medium</v>
      </c>
      <c r="S790" t="str">
        <f t="shared" si="64"/>
        <v>Valid</v>
      </c>
    </row>
    <row r="791" spans="1:19" x14ac:dyDescent="0.25">
      <c r="A791" s="1">
        <v>45402</v>
      </c>
      <c r="B791" s="1" t="str">
        <f t="shared" si="60"/>
        <v>2024-04</v>
      </c>
      <c r="C791" t="s">
        <v>18</v>
      </c>
      <c r="D791" t="s">
        <v>29</v>
      </c>
      <c r="E791" t="s">
        <v>22</v>
      </c>
      <c r="F791" t="s">
        <v>32</v>
      </c>
      <c r="G791" s="4">
        <v>111399</v>
      </c>
      <c r="H791" s="4">
        <v>4155</v>
      </c>
      <c r="I791" s="5">
        <v>3.73E-2</v>
      </c>
      <c r="J791" s="2">
        <v>1.22</v>
      </c>
      <c r="K791" s="6">
        <v>5069.1000000000004</v>
      </c>
      <c r="L791" s="4">
        <v>176</v>
      </c>
      <c r="M791" s="2">
        <v>28.8</v>
      </c>
      <c r="N791" s="6">
        <v>18559.099999999999</v>
      </c>
      <c r="O791" s="6">
        <f t="shared" si="61"/>
        <v>13489.999999999998</v>
      </c>
      <c r="P791" s="6">
        <f t="shared" si="62"/>
        <v>2.6612219131601265</v>
      </c>
      <c r="Q791" s="3">
        <v>3.66</v>
      </c>
      <c r="R791" t="str">
        <f t="shared" si="63"/>
        <v>High</v>
      </c>
      <c r="S791" t="str">
        <f t="shared" si="64"/>
        <v>Valid</v>
      </c>
    </row>
    <row r="792" spans="1:19" x14ac:dyDescent="0.25">
      <c r="A792" s="1">
        <v>45502</v>
      </c>
      <c r="B792" s="1" t="str">
        <f t="shared" si="60"/>
        <v>2024-07</v>
      </c>
      <c r="C792" t="s">
        <v>14</v>
      </c>
      <c r="D792" t="s">
        <v>15</v>
      </c>
      <c r="E792" t="s">
        <v>30</v>
      </c>
      <c r="F792" t="s">
        <v>26</v>
      </c>
      <c r="G792" s="4">
        <v>135011</v>
      </c>
      <c r="H792" s="4">
        <v>3496</v>
      </c>
      <c r="I792" s="5">
        <v>2.5899999999999999E-2</v>
      </c>
      <c r="J792" s="2">
        <v>1.89</v>
      </c>
      <c r="K792" s="6">
        <v>6607.44</v>
      </c>
      <c r="L792" s="4">
        <v>254</v>
      </c>
      <c r="M792" s="2">
        <v>26.01</v>
      </c>
      <c r="N792" s="6">
        <v>69461.440000000002</v>
      </c>
      <c r="O792" s="6">
        <f t="shared" si="61"/>
        <v>62854</v>
      </c>
      <c r="P792" s="6">
        <f t="shared" si="62"/>
        <v>9.5126100274841701</v>
      </c>
      <c r="Q792" s="3">
        <v>10.51</v>
      </c>
      <c r="R792" t="str">
        <f t="shared" si="63"/>
        <v>High</v>
      </c>
      <c r="S792" t="str">
        <f t="shared" si="64"/>
        <v>Valid</v>
      </c>
    </row>
    <row r="793" spans="1:19" x14ac:dyDescent="0.25">
      <c r="A793" s="1">
        <v>45508</v>
      </c>
      <c r="B793" s="1" t="str">
        <f t="shared" si="60"/>
        <v>2024-08</v>
      </c>
      <c r="C793" t="s">
        <v>14</v>
      </c>
      <c r="D793" t="s">
        <v>29</v>
      </c>
      <c r="E793" t="s">
        <v>22</v>
      </c>
      <c r="F793" t="s">
        <v>23</v>
      </c>
      <c r="G793" s="4">
        <v>24359</v>
      </c>
      <c r="H793" s="4">
        <v>1461</v>
      </c>
      <c r="I793" s="5">
        <v>0.06</v>
      </c>
      <c r="J793" s="2">
        <v>2.34</v>
      </c>
      <c r="K793" s="6">
        <v>3418.74</v>
      </c>
      <c r="L793" s="4">
        <v>35</v>
      </c>
      <c r="M793" s="2">
        <v>97.68</v>
      </c>
      <c r="N793" s="6">
        <v>4110.3900000000003</v>
      </c>
      <c r="O793" s="6">
        <f t="shared" si="61"/>
        <v>691.65000000000055</v>
      </c>
      <c r="P793" s="6">
        <f t="shared" si="62"/>
        <v>0.20231137787605977</v>
      </c>
      <c r="Q793" s="3">
        <v>1.2</v>
      </c>
      <c r="R793" t="str">
        <f t="shared" si="63"/>
        <v>Medium</v>
      </c>
      <c r="S793" t="str">
        <f t="shared" si="64"/>
        <v>Valid</v>
      </c>
    </row>
    <row r="794" spans="1:19" x14ac:dyDescent="0.25">
      <c r="A794" s="1">
        <v>45435</v>
      </c>
      <c r="B794" s="1" t="str">
        <f t="shared" si="60"/>
        <v>2024-05</v>
      </c>
      <c r="C794" t="s">
        <v>28</v>
      </c>
      <c r="D794" t="s">
        <v>24</v>
      </c>
      <c r="E794" t="s">
        <v>22</v>
      </c>
      <c r="F794" t="s">
        <v>20</v>
      </c>
      <c r="G794" s="4">
        <v>130611</v>
      </c>
      <c r="H794" s="4">
        <v>2207</v>
      </c>
      <c r="I794" s="5">
        <v>1.6899999999999998E-2</v>
      </c>
      <c r="J794" s="2">
        <v>0.73</v>
      </c>
      <c r="K794" s="6">
        <v>1611.11</v>
      </c>
      <c r="L794" s="4">
        <v>44</v>
      </c>
      <c r="M794" s="2">
        <v>36.619999999999997</v>
      </c>
      <c r="N794" s="6">
        <v>9567.41</v>
      </c>
      <c r="O794" s="6">
        <f t="shared" si="61"/>
        <v>7956.3</v>
      </c>
      <c r="P794" s="6">
        <f t="shared" si="62"/>
        <v>4.9383965092389719</v>
      </c>
      <c r="Q794" s="3">
        <v>5.94</v>
      </c>
      <c r="R794" t="str">
        <f t="shared" si="63"/>
        <v>High</v>
      </c>
      <c r="S794" t="str">
        <f t="shared" si="64"/>
        <v>Valid</v>
      </c>
    </row>
    <row r="795" spans="1:19" x14ac:dyDescent="0.25">
      <c r="A795" s="1">
        <v>45629</v>
      </c>
      <c r="B795" s="1" t="str">
        <f t="shared" si="60"/>
        <v>2024-12</v>
      </c>
      <c r="C795" t="s">
        <v>18</v>
      </c>
      <c r="D795" t="s">
        <v>15</v>
      </c>
      <c r="E795" t="s">
        <v>25</v>
      </c>
      <c r="F795" t="s">
        <v>20</v>
      </c>
      <c r="G795" s="4">
        <v>156601</v>
      </c>
      <c r="H795" s="4">
        <v>8628</v>
      </c>
      <c r="I795" s="5">
        <v>5.5100000000000003E-2</v>
      </c>
      <c r="J795" s="2">
        <v>0.31</v>
      </c>
      <c r="K795" s="6">
        <v>2674.68</v>
      </c>
      <c r="L795" s="4">
        <v>362</v>
      </c>
      <c r="M795" s="2">
        <v>7.39</v>
      </c>
      <c r="N795" s="6">
        <v>23745.71</v>
      </c>
      <c r="O795" s="6">
        <f t="shared" si="61"/>
        <v>21071.03</v>
      </c>
      <c r="P795" s="6">
        <f t="shared" si="62"/>
        <v>7.8779629712713293</v>
      </c>
      <c r="Q795" s="3">
        <v>8.8800000000000008</v>
      </c>
      <c r="R795" t="str">
        <f t="shared" si="63"/>
        <v>High</v>
      </c>
      <c r="S795" t="str">
        <f t="shared" si="64"/>
        <v>Valid</v>
      </c>
    </row>
    <row r="796" spans="1:19" x14ac:dyDescent="0.25">
      <c r="A796" s="1">
        <v>45625</v>
      </c>
      <c r="B796" s="1" t="str">
        <f t="shared" si="60"/>
        <v>2024-11</v>
      </c>
      <c r="C796" t="s">
        <v>28</v>
      </c>
      <c r="D796" t="s">
        <v>15</v>
      </c>
      <c r="E796" t="s">
        <v>25</v>
      </c>
      <c r="F796" t="s">
        <v>26</v>
      </c>
      <c r="G796" s="4">
        <v>172967</v>
      </c>
      <c r="H796" s="4">
        <v>5016</v>
      </c>
      <c r="I796" s="5">
        <v>2.9000000000000001E-2</v>
      </c>
      <c r="J796" s="2">
        <v>2.08</v>
      </c>
      <c r="K796" s="6">
        <v>10433.280000000001</v>
      </c>
      <c r="L796" s="4">
        <v>331</v>
      </c>
      <c r="M796" s="2">
        <v>31.52</v>
      </c>
      <c r="N796" s="6">
        <v>75767.62</v>
      </c>
      <c r="O796" s="6">
        <f t="shared" si="61"/>
        <v>65334.34</v>
      </c>
      <c r="P796" s="6">
        <f t="shared" si="62"/>
        <v>6.2621093270764314</v>
      </c>
      <c r="Q796" s="3">
        <v>7.26</v>
      </c>
      <c r="R796" t="str">
        <f t="shared" si="63"/>
        <v>High</v>
      </c>
      <c r="S796" t="str">
        <f t="shared" si="64"/>
        <v>Valid</v>
      </c>
    </row>
    <row r="797" spans="1:19" x14ac:dyDescent="0.25">
      <c r="A797" s="1">
        <v>45395</v>
      </c>
      <c r="B797" s="1" t="str">
        <f t="shared" si="60"/>
        <v>2024-04</v>
      </c>
      <c r="C797" t="s">
        <v>14</v>
      </c>
      <c r="D797" t="s">
        <v>24</v>
      </c>
      <c r="E797" t="s">
        <v>25</v>
      </c>
      <c r="F797" t="s">
        <v>27</v>
      </c>
      <c r="G797" s="4">
        <v>165104</v>
      </c>
      <c r="H797" s="4">
        <v>7958</v>
      </c>
      <c r="I797" s="5">
        <v>4.82E-2</v>
      </c>
      <c r="J797" s="2">
        <v>3.09</v>
      </c>
      <c r="K797" s="6">
        <v>24590.22</v>
      </c>
      <c r="L797" s="4">
        <v>105</v>
      </c>
      <c r="M797" s="2">
        <v>234.19</v>
      </c>
      <c r="N797" s="6">
        <v>29946.1</v>
      </c>
      <c r="O797" s="6">
        <f t="shared" si="61"/>
        <v>5355.8799999999974</v>
      </c>
      <c r="P797" s="6">
        <f t="shared" si="62"/>
        <v>0.2178052900706052</v>
      </c>
      <c r="Q797" s="3">
        <v>1.22</v>
      </c>
      <c r="R797" t="str">
        <f t="shared" si="63"/>
        <v>Medium</v>
      </c>
      <c r="S797" t="str">
        <f t="shared" si="64"/>
        <v>Valid</v>
      </c>
    </row>
    <row r="798" spans="1:19" x14ac:dyDescent="0.25">
      <c r="A798" s="1">
        <v>45308</v>
      </c>
      <c r="B798" s="1" t="str">
        <f t="shared" si="60"/>
        <v>2024-01</v>
      </c>
      <c r="C798" t="s">
        <v>14</v>
      </c>
      <c r="D798" t="s">
        <v>21</v>
      </c>
      <c r="E798" t="s">
        <v>16</v>
      </c>
      <c r="F798" t="s">
        <v>27</v>
      </c>
      <c r="G798" s="4">
        <v>49109</v>
      </c>
      <c r="H798" s="4">
        <v>1203</v>
      </c>
      <c r="I798" s="5">
        <v>2.4500000000000001E-2</v>
      </c>
      <c r="J798" s="2">
        <v>3.26</v>
      </c>
      <c r="K798" s="6">
        <v>3921.78</v>
      </c>
      <c r="L798" s="4">
        <v>25</v>
      </c>
      <c r="M798" s="2">
        <v>156.87</v>
      </c>
      <c r="N798" s="6">
        <v>4734.6099999999997</v>
      </c>
      <c r="O798" s="6">
        <f t="shared" si="61"/>
        <v>812.82999999999947</v>
      </c>
      <c r="P798" s="6">
        <f t="shared" si="62"/>
        <v>0.20726047866020006</v>
      </c>
      <c r="Q798" s="3">
        <v>1.21</v>
      </c>
      <c r="R798" t="str">
        <f t="shared" si="63"/>
        <v>Medium</v>
      </c>
      <c r="S798" t="str">
        <f t="shared" si="64"/>
        <v>Valid</v>
      </c>
    </row>
    <row r="799" spans="1:19" x14ac:dyDescent="0.25">
      <c r="A799" s="1">
        <v>45651</v>
      </c>
      <c r="B799" s="1" t="str">
        <f t="shared" si="60"/>
        <v>2024-12</v>
      </c>
      <c r="C799" t="s">
        <v>28</v>
      </c>
      <c r="D799" t="s">
        <v>24</v>
      </c>
      <c r="E799" t="s">
        <v>25</v>
      </c>
      <c r="F799" t="s">
        <v>20</v>
      </c>
      <c r="G799" s="4">
        <v>46291</v>
      </c>
      <c r="H799" s="4">
        <v>1976</v>
      </c>
      <c r="I799" s="5">
        <v>4.2700000000000002E-2</v>
      </c>
      <c r="J799" s="2">
        <v>0.73</v>
      </c>
      <c r="K799" s="6">
        <v>1442.48</v>
      </c>
      <c r="L799" s="4">
        <v>74</v>
      </c>
      <c r="M799" s="2">
        <v>19.489999999999998</v>
      </c>
      <c r="N799" s="6">
        <v>2307.39</v>
      </c>
      <c r="O799" s="6">
        <f t="shared" si="61"/>
        <v>864.90999999999985</v>
      </c>
      <c r="P799" s="6">
        <f t="shared" si="62"/>
        <v>0.59959930120348282</v>
      </c>
      <c r="Q799" s="3">
        <v>1.6</v>
      </c>
      <c r="R799" t="str">
        <f t="shared" si="63"/>
        <v>Medium</v>
      </c>
      <c r="S799" t="str">
        <f t="shared" si="64"/>
        <v>Valid</v>
      </c>
    </row>
    <row r="800" spans="1:19" x14ac:dyDescent="0.25">
      <c r="A800" s="1">
        <v>45506</v>
      </c>
      <c r="B800" s="1" t="str">
        <f t="shared" si="60"/>
        <v>2024-08</v>
      </c>
      <c r="C800" t="s">
        <v>14</v>
      </c>
      <c r="D800" t="s">
        <v>21</v>
      </c>
      <c r="E800" t="s">
        <v>16</v>
      </c>
      <c r="F800" t="s">
        <v>26</v>
      </c>
      <c r="G800" s="4">
        <v>33750</v>
      </c>
      <c r="H800" s="4">
        <v>1410</v>
      </c>
      <c r="I800" s="5">
        <v>4.1799999999999997E-2</v>
      </c>
      <c r="J800" s="2">
        <v>1.91</v>
      </c>
      <c r="K800" s="6">
        <v>2693.1</v>
      </c>
      <c r="L800" s="4">
        <v>106</v>
      </c>
      <c r="M800" s="2">
        <v>25.41</v>
      </c>
      <c r="N800" s="6">
        <v>5682.79</v>
      </c>
      <c r="O800" s="6">
        <f t="shared" si="61"/>
        <v>2989.69</v>
      </c>
      <c r="P800" s="6">
        <f t="shared" si="62"/>
        <v>1.110129590434815</v>
      </c>
      <c r="Q800" s="3">
        <v>2.11</v>
      </c>
      <c r="R800" t="str">
        <f t="shared" si="63"/>
        <v>Medium</v>
      </c>
      <c r="S800" t="str">
        <f t="shared" si="64"/>
        <v>Valid</v>
      </c>
    </row>
    <row r="801" spans="1:19" x14ac:dyDescent="0.25">
      <c r="A801" s="1">
        <v>45317</v>
      </c>
      <c r="B801" s="1" t="str">
        <f t="shared" si="60"/>
        <v>2024-01</v>
      </c>
      <c r="C801" t="s">
        <v>28</v>
      </c>
      <c r="D801" t="s">
        <v>15</v>
      </c>
      <c r="E801" t="s">
        <v>22</v>
      </c>
      <c r="F801" t="s">
        <v>23</v>
      </c>
      <c r="G801" s="4">
        <v>177593</v>
      </c>
      <c r="H801" s="4">
        <v>1811</v>
      </c>
      <c r="I801" s="5">
        <v>1.0200000000000001E-2</v>
      </c>
      <c r="J801" s="2">
        <v>0.79</v>
      </c>
      <c r="K801" s="6">
        <v>1430.69</v>
      </c>
      <c r="L801" s="4">
        <v>128</v>
      </c>
      <c r="M801" s="2">
        <v>11.18</v>
      </c>
      <c r="N801" s="6">
        <v>17092.48</v>
      </c>
      <c r="O801" s="6">
        <f t="shared" si="61"/>
        <v>15661.789999999999</v>
      </c>
      <c r="P801" s="6">
        <f t="shared" si="62"/>
        <v>10.947018571458527</v>
      </c>
      <c r="Q801" s="3">
        <v>11.95</v>
      </c>
      <c r="R801" t="str">
        <f t="shared" si="63"/>
        <v>High</v>
      </c>
      <c r="S801" t="str">
        <f t="shared" si="64"/>
        <v>Valid</v>
      </c>
    </row>
    <row r="802" spans="1:19" x14ac:dyDescent="0.25">
      <c r="A802" s="1">
        <v>45374</v>
      </c>
      <c r="B802" s="1" t="str">
        <f t="shared" si="60"/>
        <v>2024-03</v>
      </c>
      <c r="C802" t="s">
        <v>14</v>
      </c>
      <c r="D802" t="s">
        <v>29</v>
      </c>
      <c r="E802" t="s">
        <v>25</v>
      </c>
      <c r="F802" t="s">
        <v>31</v>
      </c>
      <c r="G802" s="4">
        <v>150465</v>
      </c>
      <c r="H802" s="4">
        <v>5311</v>
      </c>
      <c r="I802" s="5">
        <v>3.5299999999999998E-2</v>
      </c>
      <c r="J802" s="2">
        <v>3.13</v>
      </c>
      <c r="K802" s="6">
        <v>16623.43</v>
      </c>
      <c r="L802" s="4">
        <v>295</v>
      </c>
      <c r="M802" s="2">
        <v>56.35</v>
      </c>
      <c r="N802" s="6">
        <v>57602.12</v>
      </c>
      <c r="O802" s="6">
        <f t="shared" si="61"/>
        <v>40978.69</v>
      </c>
      <c r="P802" s="6">
        <f t="shared" si="62"/>
        <v>2.4651164049777936</v>
      </c>
      <c r="Q802" s="3">
        <v>3.47</v>
      </c>
      <c r="R802" t="str">
        <f t="shared" si="63"/>
        <v>High</v>
      </c>
      <c r="S802" t="str">
        <f t="shared" si="64"/>
        <v>Valid</v>
      </c>
    </row>
    <row r="803" spans="1:19" x14ac:dyDescent="0.25">
      <c r="A803" s="1">
        <v>45634</v>
      </c>
      <c r="B803" s="1" t="str">
        <f t="shared" si="60"/>
        <v>2024-12</v>
      </c>
      <c r="C803" t="s">
        <v>18</v>
      </c>
      <c r="D803" t="s">
        <v>24</v>
      </c>
      <c r="E803" t="s">
        <v>25</v>
      </c>
      <c r="F803" t="s">
        <v>27</v>
      </c>
      <c r="G803" s="4">
        <v>25860</v>
      </c>
      <c r="H803" s="4">
        <v>1569</v>
      </c>
      <c r="I803" s="5">
        <v>6.0699999999999997E-2</v>
      </c>
      <c r="J803" s="2">
        <v>1.08</v>
      </c>
      <c r="K803" s="6">
        <v>1694.52</v>
      </c>
      <c r="L803" s="4">
        <v>79</v>
      </c>
      <c r="M803" s="2">
        <v>21.45</v>
      </c>
      <c r="N803" s="6">
        <v>13162.62</v>
      </c>
      <c r="O803" s="6">
        <f t="shared" si="61"/>
        <v>11468.1</v>
      </c>
      <c r="P803" s="6">
        <f t="shared" si="62"/>
        <v>6.7677572409885984</v>
      </c>
      <c r="Q803" s="3">
        <v>7.77</v>
      </c>
      <c r="R803" t="str">
        <f t="shared" si="63"/>
        <v>High</v>
      </c>
      <c r="S803" t="str">
        <f t="shared" si="64"/>
        <v>Valid</v>
      </c>
    </row>
    <row r="804" spans="1:19" x14ac:dyDescent="0.25">
      <c r="A804" s="1">
        <v>45521</v>
      </c>
      <c r="B804" s="1" t="str">
        <f t="shared" si="60"/>
        <v>2024-08</v>
      </c>
      <c r="C804" t="s">
        <v>14</v>
      </c>
      <c r="D804" t="s">
        <v>29</v>
      </c>
      <c r="E804" t="s">
        <v>25</v>
      </c>
      <c r="F804" t="s">
        <v>26</v>
      </c>
      <c r="G804" s="4">
        <v>41375</v>
      </c>
      <c r="H804" s="4">
        <v>2350</v>
      </c>
      <c r="I804" s="5">
        <v>5.6800000000000003E-2</v>
      </c>
      <c r="J804" s="2">
        <v>2.2000000000000002</v>
      </c>
      <c r="K804" s="6">
        <v>5170</v>
      </c>
      <c r="L804" s="4">
        <v>148</v>
      </c>
      <c r="M804" s="2">
        <v>34.93</v>
      </c>
      <c r="N804" s="6">
        <v>14702.27</v>
      </c>
      <c r="O804" s="6">
        <f t="shared" si="61"/>
        <v>9532.27</v>
      </c>
      <c r="P804" s="6">
        <f t="shared" si="62"/>
        <v>1.8437659574468086</v>
      </c>
      <c r="Q804" s="3">
        <v>2.84</v>
      </c>
      <c r="R804" t="str">
        <f t="shared" si="63"/>
        <v>Medium</v>
      </c>
      <c r="S804" t="str">
        <f t="shared" si="64"/>
        <v>Valid</v>
      </c>
    </row>
    <row r="805" spans="1:19" x14ac:dyDescent="0.25">
      <c r="A805" s="1">
        <v>45410</v>
      </c>
      <c r="B805" s="1" t="str">
        <f t="shared" si="60"/>
        <v>2024-04</v>
      </c>
      <c r="C805" t="s">
        <v>28</v>
      </c>
      <c r="D805" t="s">
        <v>29</v>
      </c>
      <c r="E805" t="s">
        <v>25</v>
      </c>
      <c r="F805" t="s">
        <v>17</v>
      </c>
      <c r="G805" s="4">
        <v>26159</v>
      </c>
      <c r="H805" s="4">
        <v>782</v>
      </c>
      <c r="I805" s="5">
        <v>2.9899999999999999E-2</v>
      </c>
      <c r="J805" s="2">
        <v>1.51</v>
      </c>
      <c r="K805" s="6">
        <v>1180.82</v>
      </c>
      <c r="L805" s="4">
        <v>52</v>
      </c>
      <c r="M805" s="2">
        <v>22.71</v>
      </c>
      <c r="N805" s="6">
        <v>8689.2900000000009</v>
      </c>
      <c r="O805" s="6">
        <f t="shared" si="61"/>
        <v>7508.4700000000012</v>
      </c>
      <c r="P805" s="6">
        <f t="shared" si="62"/>
        <v>6.3586914178282905</v>
      </c>
      <c r="Q805" s="3">
        <v>7.36</v>
      </c>
      <c r="R805" t="str">
        <f t="shared" si="63"/>
        <v>High</v>
      </c>
      <c r="S805" t="str">
        <f t="shared" si="64"/>
        <v>Valid</v>
      </c>
    </row>
    <row r="806" spans="1:19" x14ac:dyDescent="0.25">
      <c r="A806" s="1">
        <v>45328</v>
      </c>
      <c r="B806" s="1" t="str">
        <f t="shared" si="60"/>
        <v>2024-02</v>
      </c>
      <c r="C806" t="s">
        <v>28</v>
      </c>
      <c r="D806" t="s">
        <v>29</v>
      </c>
      <c r="E806" t="s">
        <v>19</v>
      </c>
      <c r="F806" t="s">
        <v>31</v>
      </c>
      <c r="G806" s="4">
        <v>184541</v>
      </c>
      <c r="H806" s="4">
        <v>3063</v>
      </c>
      <c r="I806" s="5">
        <v>1.66E-2</v>
      </c>
      <c r="J806" s="2">
        <v>1.72</v>
      </c>
      <c r="K806" s="6">
        <v>5268.36</v>
      </c>
      <c r="L806" s="4">
        <v>215</v>
      </c>
      <c r="M806" s="2">
        <v>24.5</v>
      </c>
      <c r="N806" s="6">
        <v>16566.88</v>
      </c>
      <c r="O806" s="6">
        <f t="shared" si="61"/>
        <v>11298.52</v>
      </c>
      <c r="P806" s="6">
        <f t="shared" si="62"/>
        <v>2.1445990782710371</v>
      </c>
      <c r="Q806" s="3">
        <v>3.14</v>
      </c>
      <c r="R806" t="str">
        <f t="shared" si="63"/>
        <v>High</v>
      </c>
      <c r="S806" t="str">
        <f t="shared" si="64"/>
        <v>Valid</v>
      </c>
    </row>
    <row r="807" spans="1:19" x14ac:dyDescent="0.25">
      <c r="A807" s="1">
        <v>45535</v>
      </c>
      <c r="B807" s="1" t="str">
        <f t="shared" si="60"/>
        <v>2024-08</v>
      </c>
      <c r="C807" t="s">
        <v>28</v>
      </c>
      <c r="D807" t="s">
        <v>21</v>
      </c>
      <c r="E807" t="s">
        <v>30</v>
      </c>
      <c r="F807" t="s">
        <v>17</v>
      </c>
      <c r="G807" s="4">
        <v>196373</v>
      </c>
      <c r="H807" s="4">
        <v>5184</v>
      </c>
      <c r="I807" s="5">
        <v>2.64E-2</v>
      </c>
      <c r="J807" s="2">
        <v>0.86</v>
      </c>
      <c r="K807" s="6">
        <v>4458.24</v>
      </c>
      <c r="L807" s="4">
        <v>173</v>
      </c>
      <c r="M807" s="2">
        <v>25.77</v>
      </c>
      <c r="N807" s="6">
        <v>36583.06</v>
      </c>
      <c r="O807" s="6">
        <f t="shared" si="61"/>
        <v>32124.82</v>
      </c>
      <c r="P807" s="6">
        <f t="shared" si="62"/>
        <v>7.2057179514786105</v>
      </c>
      <c r="Q807" s="3">
        <v>8.2100000000000009</v>
      </c>
      <c r="R807" t="str">
        <f t="shared" si="63"/>
        <v>High</v>
      </c>
      <c r="S807" t="str">
        <f t="shared" si="64"/>
        <v>Valid</v>
      </c>
    </row>
    <row r="808" spans="1:19" x14ac:dyDescent="0.25">
      <c r="A808" s="1">
        <v>45301</v>
      </c>
      <c r="B808" s="1" t="str">
        <f t="shared" si="60"/>
        <v>2024-01</v>
      </c>
      <c r="C808" t="s">
        <v>14</v>
      </c>
      <c r="D808" t="s">
        <v>21</v>
      </c>
      <c r="E808" t="s">
        <v>22</v>
      </c>
      <c r="F808" t="s">
        <v>32</v>
      </c>
      <c r="G808" s="4">
        <v>131031</v>
      </c>
      <c r="H808" s="4">
        <v>6092</v>
      </c>
      <c r="I808" s="5">
        <v>4.65E-2</v>
      </c>
      <c r="J808" s="2">
        <v>2.94</v>
      </c>
      <c r="K808" s="6">
        <v>17910.48</v>
      </c>
      <c r="L808" s="4">
        <v>482</v>
      </c>
      <c r="M808" s="2">
        <v>37.159999999999997</v>
      </c>
      <c r="N808" s="6">
        <v>116431.98</v>
      </c>
      <c r="O808" s="6">
        <f t="shared" si="61"/>
        <v>98521.5</v>
      </c>
      <c r="P808" s="6">
        <f t="shared" si="62"/>
        <v>5.5007738486070723</v>
      </c>
      <c r="Q808" s="3">
        <v>6.5</v>
      </c>
      <c r="R808" t="str">
        <f t="shared" si="63"/>
        <v>High</v>
      </c>
      <c r="S808" t="str">
        <f t="shared" si="64"/>
        <v>Valid</v>
      </c>
    </row>
    <row r="809" spans="1:19" x14ac:dyDescent="0.25">
      <c r="A809" s="1">
        <v>45306</v>
      </c>
      <c r="B809" s="1" t="str">
        <f t="shared" si="60"/>
        <v>2024-01</v>
      </c>
      <c r="C809" t="s">
        <v>28</v>
      </c>
      <c r="D809" t="s">
        <v>15</v>
      </c>
      <c r="E809" t="s">
        <v>19</v>
      </c>
      <c r="F809" t="s">
        <v>26</v>
      </c>
      <c r="G809" s="4">
        <v>113269</v>
      </c>
      <c r="H809" s="4">
        <v>3182</v>
      </c>
      <c r="I809" s="5">
        <v>2.81E-2</v>
      </c>
      <c r="J809" s="2">
        <v>1.53</v>
      </c>
      <c r="K809" s="6">
        <v>4868.46</v>
      </c>
      <c r="L809" s="4">
        <v>185</v>
      </c>
      <c r="M809" s="2">
        <v>26.32</v>
      </c>
      <c r="N809" s="6">
        <v>53909.5</v>
      </c>
      <c r="O809" s="6">
        <f t="shared" si="61"/>
        <v>49041.04</v>
      </c>
      <c r="P809" s="6">
        <f t="shared" si="62"/>
        <v>10.073214116989767</v>
      </c>
      <c r="Q809" s="3">
        <v>11.07</v>
      </c>
      <c r="R809" t="str">
        <f t="shared" si="63"/>
        <v>High</v>
      </c>
      <c r="S809" t="str">
        <f t="shared" si="64"/>
        <v>Valid</v>
      </c>
    </row>
    <row r="810" spans="1:19" x14ac:dyDescent="0.25">
      <c r="A810" s="1">
        <v>45623</v>
      </c>
      <c r="B810" s="1" t="str">
        <f t="shared" si="60"/>
        <v>2024-11</v>
      </c>
      <c r="C810" t="s">
        <v>18</v>
      </c>
      <c r="D810" t="s">
        <v>21</v>
      </c>
      <c r="E810" t="s">
        <v>25</v>
      </c>
      <c r="F810" t="s">
        <v>23</v>
      </c>
      <c r="G810" s="4">
        <v>92346</v>
      </c>
      <c r="H810" s="4">
        <v>6815</v>
      </c>
      <c r="I810" s="5">
        <v>7.3800000000000004E-2</v>
      </c>
      <c r="J810" s="2">
        <v>0.82</v>
      </c>
      <c r="K810" s="6">
        <v>5588.3</v>
      </c>
      <c r="L810" s="4">
        <v>469</v>
      </c>
      <c r="M810" s="2">
        <v>11.92</v>
      </c>
      <c r="N810" s="6">
        <v>125930.93</v>
      </c>
      <c r="O810" s="6">
        <f t="shared" si="61"/>
        <v>120342.62999999999</v>
      </c>
      <c r="P810" s="6">
        <f t="shared" si="62"/>
        <v>21.534747597659393</v>
      </c>
      <c r="Q810" s="3">
        <v>22.53</v>
      </c>
      <c r="R810" t="str">
        <f t="shared" si="63"/>
        <v>High</v>
      </c>
      <c r="S810" t="str">
        <f t="shared" si="64"/>
        <v>Valid</v>
      </c>
    </row>
    <row r="811" spans="1:19" x14ac:dyDescent="0.25">
      <c r="A811" s="1">
        <v>45570</v>
      </c>
      <c r="B811" s="1" t="str">
        <f t="shared" si="60"/>
        <v>2024-10</v>
      </c>
      <c r="C811" t="s">
        <v>14</v>
      </c>
      <c r="D811" t="s">
        <v>15</v>
      </c>
      <c r="E811" t="s">
        <v>16</v>
      </c>
      <c r="F811" t="s">
        <v>32</v>
      </c>
      <c r="G811" s="4">
        <v>143241</v>
      </c>
      <c r="H811" s="4">
        <v>7133</v>
      </c>
      <c r="I811" s="5">
        <v>4.9799999999999997E-2</v>
      </c>
      <c r="J811" s="2">
        <v>2.06</v>
      </c>
      <c r="K811" s="6">
        <v>14693.98</v>
      </c>
      <c r="L811" s="4">
        <v>272</v>
      </c>
      <c r="M811" s="2">
        <v>54.02</v>
      </c>
      <c r="N811" s="6">
        <v>60208.51</v>
      </c>
      <c r="O811" s="6">
        <f t="shared" si="61"/>
        <v>45514.53</v>
      </c>
      <c r="P811" s="6">
        <f t="shared" si="62"/>
        <v>3.0974950285763287</v>
      </c>
      <c r="Q811" s="3">
        <v>4.0999999999999996</v>
      </c>
      <c r="R811" t="str">
        <f t="shared" si="63"/>
        <v>High</v>
      </c>
      <c r="S811" t="str">
        <f t="shared" si="64"/>
        <v>Valid</v>
      </c>
    </row>
    <row r="812" spans="1:19" x14ac:dyDescent="0.25">
      <c r="A812" s="1">
        <v>45484</v>
      </c>
      <c r="B812" s="1" t="str">
        <f t="shared" si="60"/>
        <v>2024-07</v>
      </c>
      <c r="C812" t="s">
        <v>28</v>
      </c>
      <c r="D812" t="s">
        <v>21</v>
      </c>
      <c r="E812" t="s">
        <v>25</v>
      </c>
      <c r="F812" t="s">
        <v>20</v>
      </c>
      <c r="G812" s="4">
        <v>194137</v>
      </c>
      <c r="H812" s="4">
        <v>2640</v>
      </c>
      <c r="I812" s="5">
        <v>1.3599999999999999E-2</v>
      </c>
      <c r="J812" s="2">
        <v>2.41</v>
      </c>
      <c r="K812" s="6">
        <v>6362.4</v>
      </c>
      <c r="L812" s="4">
        <v>49</v>
      </c>
      <c r="M812" s="2">
        <v>129.84</v>
      </c>
      <c r="N812" s="6">
        <v>6668.85</v>
      </c>
      <c r="O812" s="6">
        <f t="shared" si="61"/>
        <v>306.45000000000073</v>
      </c>
      <c r="P812" s="6">
        <f t="shared" si="62"/>
        <v>4.8165786495662131E-2</v>
      </c>
      <c r="Q812" s="3">
        <v>1.05</v>
      </c>
      <c r="R812" t="str">
        <f t="shared" si="63"/>
        <v>Medium</v>
      </c>
      <c r="S812" t="str">
        <f t="shared" si="64"/>
        <v>Valid</v>
      </c>
    </row>
    <row r="813" spans="1:19" x14ac:dyDescent="0.25">
      <c r="A813" s="1">
        <v>45315</v>
      </c>
      <c r="B813" s="1" t="str">
        <f t="shared" si="60"/>
        <v>2024-01</v>
      </c>
      <c r="C813" t="s">
        <v>18</v>
      </c>
      <c r="D813" t="s">
        <v>24</v>
      </c>
      <c r="E813" t="s">
        <v>19</v>
      </c>
      <c r="F813" t="s">
        <v>20</v>
      </c>
      <c r="G813" s="4">
        <v>79967</v>
      </c>
      <c r="H813" s="4">
        <v>2327</v>
      </c>
      <c r="I813" s="5">
        <v>2.9100000000000001E-2</v>
      </c>
      <c r="J813" s="2">
        <v>1.05</v>
      </c>
      <c r="K813" s="6">
        <v>2443.35</v>
      </c>
      <c r="L813" s="4">
        <v>43</v>
      </c>
      <c r="M813" s="2">
        <v>56.82</v>
      </c>
      <c r="N813" s="6">
        <v>11334.87</v>
      </c>
      <c r="O813" s="6">
        <f t="shared" si="61"/>
        <v>8891.52</v>
      </c>
      <c r="P813" s="6">
        <f t="shared" si="62"/>
        <v>3.6390693105776908</v>
      </c>
      <c r="Q813" s="3">
        <v>4.6399999999999997</v>
      </c>
      <c r="R813" t="str">
        <f t="shared" si="63"/>
        <v>High</v>
      </c>
      <c r="S813" t="str">
        <f t="shared" si="64"/>
        <v>Valid</v>
      </c>
    </row>
    <row r="814" spans="1:19" x14ac:dyDescent="0.25">
      <c r="A814" s="1">
        <v>45535</v>
      </c>
      <c r="B814" s="1" t="str">
        <f t="shared" si="60"/>
        <v>2024-08</v>
      </c>
      <c r="C814" t="s">
        <v>28</v>
      </c>
      <c r="D814" t="s">
        <v>21</v>
      </c>
      <c r="E814" t="s">
        <v>30</v>
      </c>
      <c r="F814" t="s">
        <v>17</v>
      </c>
      <c r="G814" s="4">
        <v>60919</v>
      </c>
      <c r="H814" s="4">
        <v>1851</v>
      </c>
      <c r="I814" s="5">
        <v>3.04E-2</v>
      </c>
      <c r="J814" s="2">
        <v>1.79</v>
      </c>
      <c r="K814" s="6">
        <v>3313.29</v>
      </c>
      <c r="L814" s="4">
        <v>131</v>
      </c>
      <c r="M814" s="2">
        <v>25.29</v>
      </c>
      <c r="N814" s="6">
        <v>19210.72</v>
      </c>
      <c r="O814" s="6">
        <f t="shared" si="61"/>
        <v>15897.43</v>
      </c>
      <c r="P814" s="6">
        <f t="shared" si="62"/>
        <v>4.7980798541630829</v>
      </c>
      <c r="Q814" s="3">
        <v>5.8</v>
      </c>
      <c r="R814" t="str">
        <f t="shared" si="63"/>
        <v>High</v>
      </c>
      <c r="S814" t="str">
        <f t="shared" si="64"/>
        <v>Valid</v>
      </c>
    </row>
    <row r="815" spans="1:19" x14ac:dyDescent="0.25">
      <c r="A815" s="1">
        <v>45562</v>
      </c>
      <c r="B815" s="1" t="str">
        <f t="shared" si="60"/>
        <v>2024-09</v>
      </c>
      <c r="C815" t="s">
        <v>18</v>
      </c>
      <c r="D815" t="s">
        <v>15</v>
      </c>
      <c r="E815" t="s">
        <v>25</v>
      </c>
      <c r="F815" t="s">
        <v>27</v>
      </c>
      <c r="G815" s="4">
        <v>40886</v>
      </c>
      <c r="H815" s="4">
        <v>1782</v>
      </c>
      <c r="I815" s="5">
        <v>4.36E-2</v>
      </c>
      <c r="J815" s="2">
        <v>0.55000000000000004</v>
      </c>
      <c r="K815" s="6">
        <v>980.1</v>
      </c>
      <c r="L815" s="4">
        <v>132</v>
      </c>
      <c r="M815" s="2">
        <v>7.42</v>
      </c>
      <c r="N815" s="6">
        <v>28189.38</v>
      </c>
      <c r="O815" s="6">
        <f t="shared" si="61"/>
        <v>27209.280000000002</v>
      </c>
      <c r="P815" s="6">
        <f t="shared" si="62"/>
        <v>27.761738598102237</v>
      </c>
      <c r="Q815" s="3">
        <v>28.76</v>
      </c>
      <c r="R815" t="str">
        <f t="shared" si="63"/>
        <v>High</v>
      </c>
      <c r="S815" t="str">
        <f t="shared" si="64"/>
        <v>Valid</v>
      </c>
    </row>
    <row r="816" spans="1:19" x14ac:dyDescent="0.25">
      <c r="A816" s="1">
        <v>45381</v>
      </c>
      <c r="B816" s="1" t="str">
        <f t="shared" si="60"/>
        <v>2024-03</v>
      </c>
      <c r="C816" t="s">
        <v>18</v>
      </c>
      <c r="D816" t="s">
        <v>24</v>
      </c>
      <c r="E816" t="s">
        <v>25</v>
      </c>
      <c r="F816" t="s">
        <v>31</v>
      </c>
      <c r="G816" s="4">
        <v>37646</v>
      </c>
      <c r="H816" s="4">
        <v>1874</v>
      </c>
      <c r="I816" s="5">
        <v>4.9799999999999997E-2</v>
      </c>
      <c r="J816" s="2">
        <v>1.1000000000000001</v>
      </c>
      <c r="K816" s="6">
        <v>2061.4</v>
      </c>
      <c r="L816" s="4">
        <v>144</v>
      </c>
      <c r="M816" s="2">
        <v>14.32</v>
      </c>
      <c r="N816" s="6">
        <v>16795.87</v>
      </c>
      <c r="O816" s="6">
        <f t="shared" si="61"/>
        <v>14734.47</v>
      </c>
      <c r="P816" s="6">
        <f t="shared" si="62"/>
        <v>7.1477976132725329</v>
      </c>
      <c r="Q816" s="3">
        <v>8.15</v>
      </c>
      <c r="R816" t="str">
        <f t="shared" si="63"/>
        <v>High</v>
      </c>
      <c r="S816" t="str">
        <f t="shared" si="64"/>
        <v>Valid</v>
      </c>
    </row>
    <row r="817" spans="1:19" x14ac:dyDescent="0.25">
      <c r="A817" s="1">
        <v>45366</v>
      </c>
      <c r="B817" s="1" t="str">
        <f t="shared" si="60"/>
        <v>2024-03</v>
      </c>
      <c r="C817" t="s">
        <v>28</v>
      </c>
      <c r="D817" t="s">
        <v>15</v>
      </c>
      <c r="E817" t="s">
        <v>19</v>
      </c>
      <c r="F817" t="s">
        <v>26</v>
      </c>
      <c r="G817" s="4">
        <v>117529</v>
      </c>
      <c r="H817" s="4">
        <v>4266</v>
      </c>
      <c r="I817" s="5">
        <v>3.6299999999999999E-2</v>
      </c>
      <c r="J817" s="2">
        <v>1.03</v>
      </c>
      <c r="K817" s="6">
        <v>4393.9799999999996</v>
      </c>
      <c r="L817" s="4">
        <v>308</v>
      </c>
      <c r="M817" s="2">
        <v>14.27</v>
      </c>
      <c r="N817" s="6">
        <v>62119.33</v>
      </c>
      <c r="O817" s="6">
        <f t="shared" si="61"/>
        <v>57725.350000000006</v>
      </c>
      <c r="P817" s="6">
        <f t="shared" si="62"/>
        <v>13.137372040837695</v>
      </c>
      <c r="Q817" s="3">
        <v>14.14</v>
      </c>
      <c r="R817" t="str">
        <f t="shared" si="63"/>
        <v>High</v>
      </c>
      <c r="S817" t="str">
        <f t="shared" si="64"/>
        <v>Valid</v>
      </c>
    </row>
    <row r="818" spans="1:19" x14ac:dyDescent="0.25">
      <c r="A818" s="1">
        <v>45440</v>
      </c>
      <c r="B818" s="1" t="str">
        <f t="shared" si="60"/>
        <v>2024-05</v>
      </c>
      <c r="C818" t="s">
        <v>18</v>
      </c>
      <c r="D818" t="s">
        <v>21</v>
      </c>
      <c r="E818" t="s">
        <v>16</v>
      </c>
      <c r="F818" t="s">
        <v>31</v>
      </c>
      <c r="G818" s="4">
        <v>150250</v>
      </c>
      <c r="H818" s="4">
        <v>7196</v>
      </c>
      <c r="I818" s="5">
        <v>4.7899999999999998E-2</v>
      </c>
      <c r="J818" s="2">
        <v>0.67</v>
      </c>
      <c r="K818" s="6">
        <v>4821.32</v>
      </c>
      <c r="L818" s="4">
        <v>534</v>
      </c>
      <c r="M818" s="2">
        <v>9.0299999999999994</v>
      </c>
      <c r="N818" s="6">
        <v>36153.629999999997</v>
      </c>
      <c r="O818" s="6">
        <f t="shared" si="61"/>
        <v>31332.309999999998</v>
      </c>
      <c r="P818" s="6">
        <f t="shared" si="62"/>
        <v>6.4986995262708138</v>
      </c>
      <c r="Q818" s="3">
        <v>7.5</v>
      </c>
      <c r="R818" t="str">
        <f t="shared" si="63"/>
        <v>High</v>
      </c>
      <c r="S818" t="str">
        <f t="shared" si="64"/>
        <v>Valid</v>
      </c>
    </row>
    <row r="819" spans="1:19" x14ac:dyDescent="0.25">
      <c r="A819" s="1">
        <v>45443</v>
      </c>
      <c r="B819" s="1" t="str">
        <f t="shared" si="60"/>
        <v>2024-05</v>
      </c>
      <c r="C819" t="s">
        <v>28</v>
      </c>
      <c r="D819" t="s">
        <v>21</v>
      </c>
      <c r="E819" t="s">
        <v>30</v>
      </c>
      <c r="F819" t="s">
        <v>26</v>
      </c>
      <c r="G819" s="4">
        <v>196929</v>
      </c>
      <c r="H819" s="4">
        <v>2382</v>
      </c>
      <c r="I819" s="5">
        <v>1.21E-2</v>
      </c>
      <c r="J819" s="2">
        <v>1.3</v>
      </c>
      <c r="K819" s="6">
        <v>3096.6</v>
      </c>
      <c r="L819" s="4">
        <v>143</v>
      </c>
      <c r="M819" s="2">
        <v>21.65</v>
      </c>
      <c r="N819" s="6">
        <v>38447.589999999997</v>
      </c>
      <c r="O819" s="6">
        <f t="shared" si="61"/>
        <v>35350.99</v>
      </c>
      <c r="P819" s="6">
        <f t="shared" si="62"/>
        <v>11.416066007879609</v>
      </c>
      <c r="Q819" s="3">
        <v>12.42</v>
      </c>
      <c r="R819" t="str">
        <f t="shared" si="63"/>
        <v>High</v>
      </c>
      <c r="S819" t="str">
        <f t="shared" si="64"/>
        <v>Valid</v>
      </c>
    </row>
    <row r="820" spans="1:19" x14ac:dyDescent="0.25">
      <c r="A820" s="1">
        <v>45585</v>
      </c>
      <c r="B820" s="1" t="str">
        <f t="shared" si="60"/>
        <v>2024-10</v>
      </c>
      <c r="C820" t="s">
        <v>14</v>
      </c>
      <c r="D820" t="s">
        <v>15</v>
      </c>
      <c r="E820" t="s">
        <v>22</v>
      </c>
      <c r="F820" t="s">
        <v>26</v>
      </c>
      <c r="G820" s="4">
        <v>91491</v>
      </c>
      <c r="H820" s="4">
        <v>4053</v>
      </c>
      <c r="I820" s="5">
        <v>4.4299999999999999E-2</v>
      </c>
      <c r="J820" s="2">
        <v>1.74</v>
      </c>
      <c r="K820" s="6">
        <v>7052.22</v>
      </c>
      <c r="L820" s="4">
        <v>140</v>
      </c>
      <c r="M820" s="2">
        <v>50.37</v>
      </c>
      <c r="N820" s="6">
        <v>19432.37</v>
      </c>
      <c r="O820" s="6">
        <f t="shared" si="61"/>
        <v>12380.149999999998</v>
      </c>
      <c r="P820" s="6">
        <f t="shared" si="62"/>
        <v>1.755496850637104</v>
      </c>
      <c r="Q820" s="3">
        <v>2.76</v>
      </c>
      <c r="R820" t="str">
        <f t="shared" si="63"/>
        <v>Medium</v>
      </c>
      <c r="S820" t="str">
        <f t="shared" si="64"/>
        <v>Valid</v>
      </c>
    </row>
    <row r="821" spans="1:19" x14ac:dyDescent="0.25">
      <c r="A821" s="1">
        <v>45630</v>
      </c>
      <c r="B821" s="1" t="str">
        <f t="shared" si="60"/>
        <v>2024-12</v>
      </c>
      <c r="C821" t="s">
        <v>14</v>
      </c>
      <c r="D821" t="s">
        <v>21</v>
      </c>
      <c r="E821" t="s">
        <v>30</v>
      </c>
      <c r="F821" t="s">
        <v>20</v>
      </c>
      <c r="G821" s="4">
        <v>154741</v>
      </c>
      <c r="H821" s="4">
        <v>6019</v>
      </c>
      <c r="I821" s="5">
        <v>3.8899999999999997E-2</v>
      </c>
      <c r="J821" s="2">
        <v>1.04</v>
      </c>
      <c r="K821" s="6">
        <v>6259.76</v>
      </c>
      <c r="L821" s="4">
        <v>220</v>
      </c>
      <c r="M821" s="2">
        <v>28.45</v>
      </c>
      <c r="N821" s="6">
        <v>38586.699999999997</v>
      </c>
      <c r="O821" s="6">
        <f t="shared" si="61"/>
        <v>32326.939999999995</v>
      </c>
      <c r="P821" s="6">
        <f t="shared" si="62"/>
        <v>5.1642459135813503</v>
      </c>
      <c r="Q821" s="3">
        <v>6.16</v>
      </c>
      <c r="R821" t="str">
        <f t="shared" si="63"/>
        <v>High</v>
      </c>
      <c r="S821" t="str">
        <f t="shared" si="64"/>
        <v>Valid</v>
      </c>
    </row>
    <row r="822" spans="1:19" x14ac:dyDescent="0.25">
      <c r="A822" s="1">
        <v>45592</v>
      </c>
      <c r="B822" s="1" t="str">
        <f t="shared" si="60"/>
        <v>2024-10</v>
      </c>
      <c r="C822" t="s">
        <v>18</v>
      </c>
      <c r="D822" t="s">
        <v>29</v>
      </c>
      <c r="E822" t="s">
        <v>30</v>
      </c>
      <c r="F822" t="s">
        <v>31</v>
      </c>
      <c r="G822" s="4">
        <v>72963</v>
      </c>
      <c r="H822" s="4">
        <v>5618</v>
      </c>
      <c r="I822" s="5">
        <v>7.6999999999999999E-2</v>
      </c>
      <c r="J822" s="2">
        <v>0.48</v>
      </c>
      <c r="K822" s="6">
        <v>2696.64</v>
      </c>
      <c r="L822" s="4">
        <v>412</v>
      </c>
      <c r="M822" s="2">
        <v>6.55</v>
      </c>
      <c r="N822" s="6">
        <v>16464.009999999998</v>
      </c>
      <c r="O822" s="6">
        <f t="shared" si="61"/>
        <v>13767.369999999999</v>
      </c>
      <c r="P822" s="6">
        <f t="shared" si="62"/>
        <v>5.105379286816186</v>
      </c>
      <c r="Q822" s="3">
        <v>6.11</v>
      </c>
      <c r="R822" t="str">
        <f t="shared" si="63"/>
        <v>High</v>
      </c>
      <c r="S822" t="str">
        <f t="shared" si="64"/>
        <v>Valid</v>
      </c>
    </row>
    <row r="823" spans="1:19" x14ac:dyDescent="0.25">
      <c r="A823" s="1">
        <v>45550</v>
      </c>
      <c r="B823" s="1" t="str">
        <f t="shared" si="60"/>
        <v>2024-09</v>
      </c>
      <c r="C823" t="s">
        <v>14</v>
      </c>
      <c r="D823" t="s">
        <v>21</v>
      </c>
      <c r="E823" t="s">
        <v>16</v>
      </c>
      <c r="F823" t="s">
        <v>23</v>
      </c>
      <c r="G823" s="4">
        <v>194281</v>
      </c>
      <c r="H823" s="4">
        <v>5906</v>
      </c>
      <c r="I823" s="5">
        <v>3.04E-2</v>
      </c>
      <c r="J823" s="2">
        <v>2.5</v>
      </c>
      <c r="K823" s="6">
        <v>14765</v>
      </c>
      <c r="L823" s="4">
        <v>371</v>
      </c>
      <c r="M823" s="2">
        <v>39.799999999999997</v>
      </c>
      <c r="N823" s="6">
        <v>20958.57</v>
      </c>
      <c r="O823" s="6">
        <f t="shared" si="61"/>
        <v>6193.57</v>
      </c>
      <c r="P823" s="6">
        <f t="shared" si="62"/>
        <v>0.41947646461225868</v>
      </c>
      <c r="Q823" s="3">
        <v>1.42</v>
      </c>
      <c r="R823" t="str">
        <f t="shared" si="63"/>
        <v>Medium</v>
      </c>
      <c r="S823" t="str">
        <f t="shared" si="64"/>
        <v>Valid</v>
      </c>
    </row>
    <row r="824" spans="1:19" x14ac:dyDescent="0.25">
      <c r="A824" s="1">
        <v>45563</v>
      </c>
      <c r="B824" s="1" t="str">
        <f t="shared" si="60"/>
        <v>2024-09</v>
      </c>
      <c r="C824" t="s">
        <v>28</v>
      </c>
      <c r="D824" t="s">
        <v>29</v>
      </c>
      <c r="E824" t="s">
        <v>30</v>
      </c>
      <c r="F824" t="s">
        <v>17</v>
      </c>
      <c r="G824" s="4">
        <v>92844</v>
      </c>
      <c r="H824" s="4">
        <v>3277</v>
      </c>
      <c r="I824" s="5">
        <v>3.5299999999999998E-2</v>
      </c>
      <c r="J824" s="2">
        <v>1.81</v>
      </c>
      <c r="K824" s="6">
        <v>5931.37</v>
      </c>
      <c r="L824" s="4">
        <v>63</v>
      </c>
      <c r="M824" s="2">
        <v>94.15</v>
      </c>
      <c r="N824" s="6">
        <v>10318.61</v>
      </c>
      <c r="O824" s="6">
        <f t="shared" si="61"/>
        <v>4387.2400000000007</v>
      </c>
      <c r="P824" s="6">
        <f t="shared" si="62"/>
        <v>0.73966722696442821</v>
      </c>
      <c r="Q824" s="3">
        <v>1.74</v>
      </c>
      <c r="R824" t="str">
        <f t="shared" si="63"/>
        <v>Medium</v>
      </c>
      <c r="S824" t="str">
        <f t="shared" si="64"/>
        <v>Valid</v>
      </c>
    </row>
    <row r="825" spans="1:19" x14ac:dyDescent="0.25">
      <c r="A825" s="1">
        <v>45423</v>
      </c>
      <c r="B825" s="1" t="str">
        <f t="shared" si="60"/>
        <v>2024-05</v>
      </c>
      <c r="C825" t="s">
        <v>14</v>
      </c>
      <c r="D825" t="s">
        <v>21</v>
      </c>
      <c r="E825" t="s">
        <v>25</v>
      </c>
      <c r="F825" t="s">
        <v>17</v>
      </c>
      <c r="G825" s="4">
        <v>132441</v>
      </c>
      <c r="H825" s="4">
        <v>2436</v>
      </c>
      <c r="I825" s="5">
        <v>1.84E-2</v>
      </c>
      <c r="J825" s="2">
        <v>2.09</v>
      </c>
      <c r="K825" s="6">
        <v>5091.24</v>
      </c>
      <c r="L825" s="4">
        <v>135</v>
      </c>
      <c r="M825" s="2">
        <v>37.71</v>
      </c>
      <c r="N825" s="6">
        <v>8958.33</v>
      </c>
      <c r="O825" s="6">
        <f t="shared" si="61"/>
        <v>3867.09</v>
      </c>
      <c r="P825" s="6">
        <f t="shared" si="62"/>
        <v>0.75955759304216663</v>
      </c>
      <c r="Q825" s="3">
        <v>1.76</v>
      </c>
      <c r="R825" t="str">
        <f t="shared" si="63"/>
        <v>Medium</v>
      </c>
      <c r="S825" t="str">
        <f t="shared" si="64"/>
        <v>Valid</v>
      </c>
    </row>
    <row r="826" spans="1:19" x14ac:dyDescent="0.25">
      <c r="A826" s="1">
        <v>45573</v>
      </c>
      <c r="B826" s="1" t="str">
        <f t="shared" si="60"/>
        <v>2024-10</v>
      </c>
      <c r="C826" t="s">
        <v>28</v>
      </c>
      <c r="D826" t="s">
        <v>15</v>
      </c>
      <c r="E826" t="s">
        <v>19</v>
      </c>
      <c r="F826" t="s">
        <v>26</v>
      </c>
      <c r="G826" s="4">
        <v>110977</v>
      </c>
      <c r="H826" s="4">
        <v>2829</v>
      </c>
      <c r="I826" s="5">
        <v>2.5499999999999998E-2</v>
      </c>
      <c r="J826" s="2">
        <v>0.66</v>
      </c>
      <c r="K826" s="6">
        <v>1867.14</v>
      </c>
      <c r="L826" s="4">
        <v>48</v>
      </c>
      <c r="M826" s="2">
        <v>38.9</v>
      </c>
      <c r="N826" s="6">
        <v>10643.48</v>
      </c>
      <c r="O826" s="6">
        <f t="shared" si="61"/>
        <v>8776.34</v>
      </c>
      <c r="P826" s="6">
        <f t="shared" si="62"/>
        <v>4.7004188223700414</v>
      </c>
      <c r="Q826" s="3">
        <v>5.7</v>
      </c>
      <c r="R826" t="str">
        <f t="shared" si="63"/>
        <v>High</v>
      </c>
      <c r="S826" t="str">
        <f t="shared" si="64"/>
        <v>Valid</v>
      </c>
    </row>
    <row r="827" spans="1:19" x14ac:dyDescent="0.25">
      <c r="A827" s="1">
        <v>45565</v>
      </c>
      <c r="B827" s="1" t="str">
        <f t="shared" si="60"/>
        <v>2024-09</v>
      </c>
      <c r="C827" t="s">
        <v>14</v>
      </c>
      <c r="D827" t="s">
        <v>15</v>
      </c>
      <c r="E827" t="s">
        <v>22</v>
      </c>
      <c r="F827" t="s">
        <v>17</v>
      </c>
      <c r="G827" s="4">
        <v>50076</v>
      </c>
      <c r="H827" s="4">
        <v>2964</v>
      </c>
      <c r="I827" s="5">
        <v>5.9200000000000003E-2</v>
      </c>
      <c r="J827" s="2">
        <v>3.4</v>
      </c>
      <c r="K827" s="6">
        <v>10077.6</v>
      </c>
      <c r="L827" s="4">
        <v>94</v>
      </c>
      <c r="M827" s="2">
        <v>107.21</v>
      </c>
      <c r="N827" s="6">
        <v>28058.66</v>
      </c>
      <c r="O827" s="6">
        <f t="shared" si="61"/>
        <v>17981.059999999998</v>
      </c>
      <c r="P827" s="6">
        <f t="shared" si="62"/>
        <v>1.7842601413034846</v>
      </c>
      <c r="Q827" s="3">
        <v>2.78</v>
      </c>
      <c r="R827" t="str">
        <f t="shared" si="63"/>
        <v>Medium</v>
      </c>
      <c r="S827" t="str">
        <f t="shared" si="64"/>
        <v>Valid</v>
      </c>
    </row>
    <row r="828" spans="1:19" x14ac:dyDescent="0.25">
      <c r="A828" s="1">
        <v>45595</v>
      </c>
      <c r="B828" s="1" t="str">
        <f t="shared" si="60"/>
        <v>2024-10</v>
      </c>
      <c r="C828" t="s">
        <v>14</v>
      </c>
      <c r="D828" t="s">
        <v>15</v>
      </c>
      <c r="E828" t="s">
        <v>25</v>
      </c>
      <c r="F828" t="s">
        <v>32</v>
      </c>
      <c r="G828" s="4">
        <v>180590</v>
      </c>
      <c r="H828" s="4">
        <v>4857</v>
      </c>
      <c r="I828" s="5">
        <v>2.69E-2</v>
      </c>
      <c r="J828" s="2">
        <v>1.51</v>
      </c>
      <c r="K828" s="6">
        <v>7334.07</v>
      </c>
      <c r="L828" s="4">
        <v>333</v>
      </c>
      <c r="M828" s="2">
        <v>22.02</v>
      </c>
      <c r="N828" s="6">
        <v>91782.77</v>
      </c>
      <c r="O828" s="6">
        <f t="shared" si="61"/>
        <v>84448.700000000012</v>
      </c>
      <c r="P828" s="6">
        <f t="shared" si="62"/>
        <v>11.514575126771359</v>
      </c>
      <c r="Q828" s="3">
        <v>12.51</v>
      </c>
      <c r="R828" t="str">
        <f t="shared" si="63"/>
        <v>High</v>
      </c>
      <c r="S828" t="str">
        <f t="shared" si="64"/>
        <v>Valid</v>
      </c>
    </row>
    <row r="829" spans="1:19" x14ac:dyDescent="0.25">
      <c r="A829" s="1">
        <v>45462</v>
      </c>
      <c r="B829" s="1" t="str">
        <f t="shared" si="60"/>
        <v>2024-06</v>
      </c>
      <c r="C829" t="s">
        <v>28</v>
      </c>
      <c r="D829" t="s">
        <v>15</v>
      </c>
      <c r="E829" t="s">
        <v>16</v>
      </c>
      <c r="F829" t="s">
        <v>17</v>
      </c>
      <c r="G829" s="4">
        <v>153530</v>
      </c>
      <c r="H829" s="4">
        <v>3899</v>
      </c>
      <c r="I829" s="5">
        <v>2.5399999999999999E-2</v>
      </c>
      <c r="J829" s="2">
        <v>2.31</v>
      </c>
      <c r="K829" s="6">
        <v>9006.69</v>
      </c>
      <c r="L829" s="4">
        <v>302</v>
      </c>
      <c r="M829" s="2">
        <v>29.82</v>
      </c>
      <c r="N829" s="6">
        <v>21392.38</v>
      </c>
      <c r="O829" s="6">
        <f t="shared" si="61"/>
        <v>12385.69</v>
      </c>
      <c r="P829" s="6">
        <f t="shared" si="62"/>
        <v>1.3751655713697262</v>
      </c>
      <c r="Q829" s="3">
        <v>2.38</v>
      </c>
      <c r="R829" t="str">
        <f t="shared" si="63"/>
        <v>Medium</v>
      </c>
      <c r="S829" t="str">
        <f t="shared" si="64"/>
        <v>Valid</v>
      </c>
    </row>
    <row r="830" spans="1:19" x14ac:dyDescent="0.25">
      <c r="A830" s="1">
        <v>45296</v>
      </c>
      <c r="B830" s="1" t="str">
        <f t="shared" si="60"/>
        <v>2024-01</v>
      </c>
      <c r="C830" t="s">
        <v>14</v>
      </c>
      <c r="D830" t="s">
        <v>21</v>
      </c>
      <c r="E830" t="s">
        <v>25</v>
      </c>
      <c r="F830" t="s">
        <v>31</v>
      </c>
      <c r="G830" s="4">
        <v>135223</v>
      </c>
      <c r="H830" s="4">
        <v>3285</v>
      </c>
      <c r="I830" s="5">
        <v>2.4299999999999999E-2</v>
      </c>
      <c r="J830" s="2">
        <v>3.02</v>
      </c>
      <c r="K830" s="6">
        <v>9920.7000000000007</v>
      </c>
      <c r="L830" s="4">
        <v>201</v>
      </c>
      <c r="M830" s="2">
        <v>49.36</v>
      </c>
      <c r="N830" s="6">
        <v>46154.22</v>
      </c>
      <c r="O830" s="6">
        <f t="shared" si="61"/>
        <v>36233.520000000004</v>
      </c>
      <c r="P830" s="6">
        <f t="shared" si="62"/>
        <v>3.6523148568145394</v>
      </c>
      <c r="Q830" s="3">
        <v>4.6500000000000004</v>
      </c>
      <c r="R830" t="str">
        <f t="shared" si="63"/>
        <v>High</v>
      </c>
      <c r="S830" t="str">
        <f t="shared" si="64"/>
        <v>Valid</v>
      </c>
    </row>
    <row r="831" spans="1:19" x14ac:dyDescent="0.25">
      <c r="A831" s="1">
        <v>45656</v>
      </c>
      <c r="B831" s="1" t="str">
        <f t="shared" si="60"/>
        <v>2024-12</v>
      </c>
      <c r="C831" t="s">
        <v>28</v>
      </c>
      <c r="D831" t="s">
        <v>29</v>
      </c>
      <c r="E831" t="s">
        <v>19</v>
      </c>
      <c r="F831" t="s">
        <v>23</v>
      </c>
      <c r="G831" s="4">
        <v>108152</v>
      </c>
      <c r="H831" s="4">
        <v>4250</v>
      </c>
      <c r="I831" s="5">
        <v>3.9300000000000002E-2</v>
      </c>
      <c r="J831" s="2">
        <v>0.72</v>
      </c>
      <c r="K831" s="6">
        <v>3060</v>
      </c>
      <c r="L831" s="4">
        <v>160</v>
      </c>
      <c r="M831" s="2">
        <v>19.12</v>
      </c>
      <c r="N831" s="6">
        <v>12452.25</v>
      </c>
      <c r="O831" s="6">
        <f t="shared" si="61"/>
        <v>9392.25</v>
      </c>
      <c r="P831" s="6">
        <f t="shared" si="62"/>
        <v>3.0693627450980392</v>
      </c>
      <c r="Q831" s="3">
        <v>4.07</v>
      </c>
      <c r="R831" t="str">
        <f t="shared" si="63"/>
        <v>High</v>
      </c>
      <c r="S831" t="str">
        <f t="shared" si="64"/>
        <v>Valid</v>
      </c>
    </row>
    <row r="832" spans="1:19" x14ac:dyDescent="0.25">
      <c r="A832" s="1">
        <v>45354</v>
      </c>
      <c r="B832" s="1" t="str">
        <f t="shared" si="60"/>
        <v>2024-03</v>
      </c>
      <c r="C832" t="s">
        <v>14</v>
      </c>
      <c r="D832" t="s">
        <v>21</v>
      </c>
      <c r="E832" t="s">
        <v>22</v>
      </c>
      <c r="F832" t="s">
        <v>26</v>
      </c>
      <c r="G832" s="4">
        <v>76442</v>
      </c>
      <c r="H832" s="4">
        <v>2392</v>
      </c>
      <c r="I832" s="5">
        <v>3.1300000000000001E-2</v>
      </c>
      <c r="J832" s="2">
        <v>1.64</v>
      </c>
      <c r="K832" s="6">
        <v>3922.88</v>
      </c>
      <c r="L832" s="4">
        <v>160</v>
      </c>
      <c r="M832" s="2">
        <v>24.52</v>
      </c>
      <c r="N832" s="6">
        <v>14390.19</v>
      </c>
      <c r="O832" s="6">
        <f t="shared" si="61"/>
        <v>10467.310000000001</v>
      </c>
      <c r="P832" s="6">
        <f t="shared" si="62"/>
        <v>2.6682717799167959</v>
      </c>
      <c r="Q832" s="3">
        <v>3.67</v>
      </c>
      <c r="R832" t="str">
        <f t="shared" si="63"/>
        <v>High</v>
      </c>
      <c r="S832" t="str">
        <f t="shared" si="64"/>
        <v>Valid</v>
      </c>
    </row>
    <row r="833" spans="1:19" x14ac:dyDescent="0.25">
      <c r="A833" s="1">
        <v>45608</v>
      </c>
      <c r="B833" s="1" t="str">
        <f t="shared" si="60"/>
        <v>2024-11</v>
      </c>
      <c r="C833" t="s">
        <v>14</v>
      </c>
      <c r="D833" t="s">
        <v>21</v>
      </c>
      <c r="E833" t="s">
        <v>19</v>
      </c>
      <c r="F833" t="s">
        <v>26</v>
      </c>
      <c r="G833" s="4">
        <v>57335</v>
      </c>
      <c r="H833" s="4">
        <v>1869</v>
      </c>
      <c r="I833" s="5">
        <v>3.2599999999999997E-2</v>
      </c>
      <c r="J833" s="2">
        <v>2.75</v>
      </c>
      <c r="K833" s="6">
        <v>5139.75</v>
      </c>
      <c r="L833" s="4">
        <v>133</v>
      </c>
      <c r="M833" s="2">
        <v>38.64</v>
      </c>
      <c r="N833" s="6">
        <v>11136.73</v>
      </c>
      <c r="O833" s="6">
        <f t="shared" si="61"/>
        <v>5996.98</v>
      </c>
      <c r="P833" s="6">
        <f t="shared" si="62"/>
        <v>1.166784376672017</v>
      </c>
      <c r="Q833" s="3">
        <v>2.17</v>
      </c>
      <c r="R833" t="str">
        <f t="shared" si="63"/>
        <v>Medium</v>
      </c>
      <c r="S833" t="str">
        <f t="shared" si="64"/>
        <v>Valid</v>
      </c>
    </row>
    <row r="834" spans="1:19" x14ac:dyDescent="0.25">
      <c r="A834" s="1">
        <v>45621</v>
      </c>
      <c r="B834" s="1" t="str">
        <f t="shared" si="60"/>
        <v>2024-11</v>
      </c>
      <c r="C834" t="s">
        <v>18</v>
      </c>
      <c r="D834" t="s">
        <v>29</v>
      </c>
      <c r="E834" t="s">
        <v>25</v>
      </c>
      <c r="F834" t="s">
        <v>20</v>
      </c>
      <c r="G834" s="4">
        <v>82661</v>
      </c>
      <c r="H834" s="4">
        <v>4769</v>
      </c>
      <c r="I834" s="5">
        <v>5.7700000000000001E-2</v>
      </c>
      <c r="J834" s="2">
        <v>1.33</v>
      </c>
      <c r="K834" s="6">
        <v>6342.77</v>
      </c>
      <c r="L834" s="4">
        <v>271</v>
      </c>
      <c r="M834" s="2">
        <v>23.41</v>
      </c>
      <c r="N834" s="6">
        <v>79985.87</v>
      </c>
      <c r="O834" s="6">
        <f t="shared" si="61"/>
        <v>73643.099999999991</v>
      </c>
      <c r="P834" s="6">
        <f t="shared" si="62"/>
        <v>11.610558163073859</v>
      </c>
      <c r="Q834" s="3">
        <v>12.61</v>
      </c>
      <c r="R834" t="str">
        <f t="shared" si="63"/>
        <v>High</v>
      </c>
      <c r="S834" t="str">
        <f t="shared" si="64"/>
        <v>Valid</v>
      </c>
    </row>
    <row r="835" spans="1:19" x14ac:dyDescent="0.25">
      <c r="A835" s="1">
        <v>45412</v>
      </c>
      <c r="B835" s="1" t="str">
        <f t="shared" ref="B835:B898" si="65">TEXT(A835, "yyyy-mm")</f>
        <v>2024-04</v>
      </c>
      <c r="C835" t="s">
        <v>14</v>
      </c>
      <c r="D835" t="s">
        <v>24</v>
      </c>
      <c r="E835" t="s">
        <v>16</v>
      </c>
      <c r="F835" t="s">
        <v>31</v>
      </c>
      <c r="G835" s="4">
        <v>72902</v>
      </c>
      <c r="H835" s="4">
        <v>4942</v>
      </c>
      <c r="I835" s="5">
        <v>6.7799999999999999E-2</v>
      </c>
      <c r="J835" s="2">
        <v>3.3</v>
      </c>
      <c r="K835" s="6">
        <v>16308.6</v>
      </c>
      <c r="L835" s="4">
        <v>323</v>
      </c>
      <c r="M835" s="2">
        <v>50.49</v>
      </c>
      <c r="N835" s="6">
        <v>33499.379999999997</v>
      </c>
      <c r="O835" s="6">
        <f t="shared" ref="O835:O898" si="66">N835-K835</f>
        <v>17190.78</v>
      </c>
      <c r="P835" s="6">
        <f t="shared" ref="P835:P898" si="67">IFERROR(O835/K835, "")</f>
        <v>1.0540929325631874</v>
      </c>
      <c r="Q835" s="3">
        <v>2.0499999999999998</v>
      </c>
      <c r="R835" t="str">
        <f t="shared" ref="R835:R898" si="68">IF(Q835 &gt;= 3, "High", IF(Q835&gt;=1, "Medium", "Low"))</f>
        <v>Medium</v>
      </c>
      <c r="S835" t="str">
        <f t="shared" ref="S835:S898" si="69">IF(OR(G835=0, H835&gt;G835, L835&gt;H835), "Invalid", "Valid")</f>
        <v>Valid</v>
      </c>
    </row>
    <row r="836" spans="1:19" x14ac:dyDescent="0.25">
      <c r="A836" s="1">
        <v>45323</v>
      </c>
      <c r="B836" s="1" t="str">
        <f t="shared" si="65"/>
        <v>2024-02</v>
      </c>
      <c r="C836" t="s">
        <v>28</v>
      </c>
      <c r="D836" t="s">
        <v>15</v>
      </c>
      <c r="E836" t="s">
        <v>30</v>
      </c>
      <c r="F836" t="s">
        <v>20</v>
      </c>
      <c r="G836" s="4">
        <v>63528</v>
      </c>
      <c r="H836" s="4">
        <v>711</v>
      </c>
      <c r="I836" s="5">
        <v>1.12E-2</v>
      </c>
      <c r="J836" s="2">
        <v>1.49</v>
      </c>
      <c r="K836" s="6">
        <v>1059.3900000000001</v>
      </c>
      <c r="L836" s="4">
        <v>23</v>
      </c>
      <c r="M836" s="2">
        <v>46.06</v>
      </c>
      <c r="N836" s="6">
        <v>4567.68</v>
      </c>
      <c r="O836" s="6">
        <f t="shared" si="66"/>
        <v>3508.29</v>
      </c>
      <c r="P836" s="6">
        <f t="shared" si="67"/>
        <v>3.3116132868915127</v>
      </c>
      <c r="Q836" s="3">
        <v>4.3099999999999996</v>
      </c>
      <c r="R836" t="str">
        <f t="shared" si="68"/>
        <v>High</v>
      </c>
      <c r="S836" t="str">
        <f t="shared" si="69"/>
        <v>Valid</v>
      </c>
    </row>
    <row r="837" spans="1:19" x14ac:dyDescent="0.25">
      <c r="A837" s="1">
        <v>45644</v>
      </c>
      <c r="B837" s="1" t="str">
        <f t="shared" si="65"/>
        <v>2024-12</v>
      </c>
      <c r="C837" t="s">
        <v>18</v>
      </c>
      <c r="D837" t="s">
        <v>24</v>
      </c>
      <c r="E837" t="s">
        <v>16</v>
      </c>
      <c r="F837" t="s">
        <v>23</v>
      </c>
      <c r="G837" s="4">
        <v>169238</v>
      </c>
      <c r="H837" s="4">
        <v>6583</v>
      </c>
      <c r="I837" s="5">
        <v>3.8899999999999997E-2</v>
      </c>
      <c r="J837" s="2">
        <v>0.53</v>
      </c>
      <c r="K837" s="6">
        <v>3488.99</v>
      </c>
      <c r="L837" s="4">
        <v>507</v>
      </c>
      <c r="M837" s="2">
        <v>6.88</v>
      </c>
      <c r="N837" s="6">
        <v>146453.92000000001</v>
      </c>
      <c r="O837" s="6">
        <f t="shared" si="66"/>
        <v>142964.93000000002</v>
      </c>
      <c r="P837" s="6">
        <f t="shared" si="67"/>
        <v>40.976021714020398</v>
      </c>
      <c r="Q837" s="3">
        <v>41.98</v>
      </c>
      <c r="R837" t="str">
        <f t="shared" si="68"/>
        <v>High</v>
      </c>
      <c r="S837" t="str">
        <f t="shared" si="69"/>
        <v>Valid</v>
      </c>
    </row>
    <row r="838" spans="1:19" x14ac:dyDescent="0.25">
      <c r="A838" s="1">
        <v>45632</v>
      </c>
      <c r="B838" s="1" t="str">
        <f t="shared" si="65"/>
        <v>2024-12</v>
      </c>
      <c r="C838" t="s">
        <v>28</v>
      </c>
      <c r="D838" t="s">
        <v>29</v>
      </c>
      <c r="E838" t="s">
        <v>25</v>
      </c>
      <c r="F838" t="s">
        <v>27</v>
      </c>
      <c r="G838" s="4">
        <v>14815</v>
      </c>
      <c r="H838" s="4">
        <v>189</v>
      </c>
      <c r="I838" s="5">
        <v>1.2800000000000001E-2</v>
      </c>
      <c r="J838" s="2">
        <v>0.55000000000000004</v>
      </c>
      <c r="K838" s="6">
        <v>103.95</v>
      </c>
      <c r="L838" s="4">
        <v>3</v>
      </c>
      <c r="M838" s="2">
        <v>34.65</v>
      </c>
      <c r="N838" s="6">
        <v>142.69</v>
      </c>
      <c r="O838" s="6">
        <f t="shared" si="66"/>
        <v>38.739999999999995</v>
      </c>
      <c r="P838" s="6">
        <f t="shared" si="67"/>
        <v>0.37267917267917261</v>
      </c>
      <c r="Q838" s="3">
        <v>1.37</v>
      </c>
      <c r="R838" t="str">
        <f t="shared" si="68"/>
        <v>Medium</v>
      </c>
      <c r="S838" t="str">
        <f t="shared" si="69"/>
        <v>Valid</v>
      </c>
    </row>
    <row r="839" spans="1:19" x14ac:dyDescent="0.25">
      <c r="A839" s="1">
        <v>45525</v>
      </c>
      <c r="B839" s="1" t="str">
        <f t="shared" si="65"/>
        <v>2024-08</v>
      </c>
      <c r="C839" t="s">
        <v>18</v>
      </c>
      <c r="D839" t="s">
        <v>15</v>
      </c>
      <c r="E839" t="s">
        <v>22</v>
      </c>
      <c r="F839" t="s">
        <v>26</v>
      </c>
      <c r="G839" s="4">
        <v>47278</v>
      </c>
      <c r="H839" s="4">
        <v>2803</v>
      </c>
      <c r="I839" s="5">
        <v>5.9299999999999999E-2</v>
      </c>
      <c r="J839" s="2">
        <v>1.69</v>
      </c>
      <c r="K839" s="6">
        <v>4737.07</v>
      </c>
      <c r="L839" s="4">
        <v>201</v>
      </c>
      <c r="M839" s="2">
        <v>23.57</v>
      </c>
      <c r="N839" s="6">
        <v>39448.18</v>
      </c>
      <c r="O839" s="6">
        <f t="shared" si="66"/>
        <v>34711.11</v>
      </c>
      <c r="P839" s="6">
        <f t="shared" si="67"/>
        <v>7.3275484635017012</v>
      </c>
      <c r="Q839" s="3">
        <v>8.33</v>
      </c>
      <c r="R839" t="str">
        <f t="shared" si="68"/>
        <v>High</v>
      </c>
      <c r="S839" t="str">
        <f t="shared" si="69"/>
        <v>Valid</v>
      </c>
    </row>
    <row r="840" spans="1:19" x14ac:dyDescent="0.25">
      <c r="A840" s="1">
        <v>45339</v>
      </c>
      <c r="B840" s="1" t="str">
        <f t="shared" si="65"/>
        <v>2024-02</v>
      </c>
      <c r="C840" t="s">
        <v>14</v>
      </c>
      <c r="D840" t="s">
        <v>21</v>
      </c>
      <c r="E840" t="s">
        <v>16</v>
      </c>
      <c r="F840" t="s">
        <v>17</v>
      </c>
      <c r="G840" s="4">
        <v>15046</v>
      </c>
      <c r="H840" s="4">
        <v>400</v>
      </c>
      <c r="I840" s="5">
        <v>2.6599999999999999E-2</v>
      </c>
      <c r="J840" s="2">
        <v>1.18</v>
      </c>
      <c r="K840" s="6">
        <v>472</v>
      </c>
      <c r="L840" s="4">
        <v>4</v>
      </c>
      <c r="M840" s="2">
        <v>118</v>
      </c>
      <c r="N840" s="6">
        <v>142.71</v>
      </c>
      <c r="O840" s="6">
        <f t="shared" si="66"/>
        <v>-329.28999999999996</v>
      </c>
      <c r="P840" s="6">
        <f t="shared" si="67"/>
        <v>-0.69764830508474573</v>
      </c>
      <c r="Q840" s="3">
        <v>0.3</v>
      </c>
      <c r="R840" t="str">
        <f t="shared" si="68"/>
        <v>Low</v>
      </c>
      <c r="S840" t="str">
        <f t="shared" si="69"/>
        <v>Valid</v>
      </c>
    </row>
    <row r="841" spans="1:19" x14ac:dyDescent="0.25">
      <c r="A841" s="1">
        <v>45508</v>
      </c>
      <c r="B841" s="1" t="str">
        <f t="shared" si="65"/>
        <v>2024-08</v>
      </c>
      <c r="C841" t="s">
        <v>28</v>
      </c>
      <c r="D841" t="s">
        <v>24</v>
      </c>
      <c r="E841" t="s">
        <v>25</v>
      </c>
      <c r="F841" t="s">
        <v>27</v>
      </c>
      <c r="G841" s="4">
        <v>58968</v>
      </c>
      <c r="H841" s="4">
        <v>1715</v>
      </c>
      <c r="I841" s="5">
        <v>2.9100000000000001E-2</v>
      </c>
      <c r="J841" s="2">
        <v>1.49</v>
      </c>
      <c r="K841" s="6">
        <v>2555.35</v>
      </c>
      <c r="L841" s="4">
        <v>127</v>
      </c>
      <c r="M841" s="2">
        <v>20.12</v>
      </c>
      <c r="N841" s="6">
        <v>13332.87</v>
      </c>
      <c r="O841" s="6">
        <f t="shared" si="66"/>
        <v>10777.52</v>
      </c>
      <c r="P841" s="6">
        <f t="shared" si="67"/>
        <v>4.2176296789089562</v>
      </c>
      <c r="Q841" s="3">
        <v>5.22</v>
      </c>
      <c r="R841" t="str">
        <f t="shared" si="68"/>
        <v>High</v>
      </c>
      <c r="S841" t="str">
        <f t="shared" si="69"/>
        <v>Valid</v>
      </c>
    </row>
    <row r="842" spans="1:19" x14ac:dyDescent="0.25">
      <c r="A842" s="1">
        <v>45343</v>
      </c>
      <c r="B842" s="1" t="str">
        <f t="shared" si="65"/>
        <v>2024-02</v>
      </c>
      <c r="C842" t="s">
        <v>14</v>
      </c>
      <c r="D842" t="s">
        <v>15</v>
      </c>
      <c r="E842" t="s">
        <v>22</v>
      </c>
      <c r="F842" t="s">
        <v>31</v>
      </c>
      <c r="G842" s="4">
        <v>13083</v>
      </c>
      <c r="H842" s="4">
        <v>707</v>
      </c>
      <c r="I842" s="5">
        <v>5.4100000000000002E-2</v>
      </c>
      <c r="J842" s="2">
        <v>2.38</v>
      </c>
      <c r="K842" s="6">
        <v>1682.66</v>
      </c>
      <c r="L842" s="4">
        <v>41</v>
      </c>
      <c r="M842" s="2">
        <v>41.04</v>
      </c>
      <c r="N842" s="6">
        <v>10442.74</v>
      </c>
      <c r="O842" s="6">
        <f t="shared" si="66"/>
        <v>8760.08</v>
      </c>
      <c r="P842" s="6">
        <f t="shared" si="67"/>
        <v>5.2060903569348529</v>
      </c>
      <c r="Q842" s="3">
        <v>6.21</v>
      </c>
      <c r="R842" t="str">
        <f t="shared" si="68"/>
        <v>High</v>
      </c>
      <c r="S842" t="str">
        <f t="shared" si="69"/>
        <v>Valid</v>
      </c>
    </row>
    <row r="843" spans="1:19" x14ac:dyDescent="0.25">
      <c r="A843" s="1">
        <v>45643</v>
      </c>
      <c r="B843" s="1" t="str">
        <f t="shared" si="65"/>
        <v>2024-12</v>
      </c>
      <c r="C843" t="s">
        <v>18</v>
      </c>
      <c r="D843" t="s">
        <v>15</v>
      </c>
      <c r="E843" t="s">
        <v>25</v>
      </c>
      <c r="F843" t="s">
        <v>26</v>
      </c>
      <c r="G843" s="4">
        <v>109222</v>
      </c>
      <c r="H843" s="4">
        <v>7306</v>
      </c>
      <c r="I843" s="5">
        <v>6.6900000000000001E-2</v>
      </c>
      <c r="J843" s="2">
        <v>1.0900000000000001</v>
      </c>
      <c r="K843" s="6">
        <v>7963.54</v>
      </c>
      <c r="L843" s="4">
        <v>124</v>
      </c>
      <c r="M843" s="2">
        <v>64.22</v>
      </c>
      <c r="N843" s="6">
        <v>12349.14</v>
      </c>
      <c r="O843" s="6">
        <f t="shared" si="66"/>
        <v>4385.5999999999995</v>
      </c>
      <c r="P843" s="6">
        <f t="shared" si="67"/>
        <v>0.55070986018780588</v>
      </c>
      <c r="Q843" s="3">
        <v>1.55</v>
      </c>
      <c r="R843" t="str">
        <f t="shared" si="68"/>
        <v>Medium</v>
      </c>
      <c r="S843" t="str">
        <f t="shared" si="69"/>
        <v>Valid</v>
      </c>
    </row>
    <row r="844" spans="1:19" x14ac:dyDescent="0.25">
      <c r="A844" s="1">
        <v>45386</v>
      </c>
      <c r="B844" s="1" t="str">
        <f t="shared" si="65"/>
        <v>2024-04</v>
      </c>
      <c r="C844" t="s">
        <v>18</v>
      </c>
      <c r="D844" t="s">
        <v>15</v>
      </c>
      <c r="E844" t="s">
        <v>25</v>
      </c>
      <c r="F844" t="s">
        <v>20</v>
      </c>
      <c r="G844" s="4">
        <v>45382</v>
      </c>
      <c r="H844" s="4">
        <v>2246</v>
      </c>
      <c r="I844" s="5">
        <v>4.9500000000000002E-2</v>
      </c>
      <c r="J844" s="2">
        <v>1.59</v>
      </c>
      <c r="K844" s="6">
        <v>3571.14</v>
      </c>
      <c r="L844" s="4">
        <v>46</v>
      </c>
      <c r="M844" s="2">
        <v>77.63</v>
      </c>
      <c r="N844" s="6">
        <v>2662.9</v>
      </c>
      <c r="O844" s="6">
        <f t="shared" si="66"/>
        <v>-908.23999999999978</v>
      </c>
      <c r="P844" s="6">
        <f t="shared" si="67"/>
        <v>-0.25432774968217425</v>
      </c>
      <c r="Q844" s="3">
        <v>0.75</v>
      </c>
      <c r="R844" t="str">
        <f t="shared" si="68"/>
        <v>Low</v>
      </c>
      <c r="S844" t="str">
        <f t="shared" si="69"/>
        <v>Valid</v>
      </c>
    </row>
    <row r="845" spans="1:19" x14ac:dyDescent="0.25">
      <c r="A845" s="1">
        <v>45550</v>
      </c>
      <c r="B845" s="1" t="str">
        <f t="shared" si="65"/>
        <v>2024-09</v>
      </c>
      <c r="C845" t="s">
        <v>28</v>
      </c>
      <c r="D845" t="s">
        <v>29</v>
      </c>
      <c r="E845" t="s">
        <v>22</v>
      </c>
      <c r="F845" t="s">
        <v>17</v>
      </c>
      <c r="G845" s="4">
        <v>196432</v>
      </c>
      <c r="H845" s="4">
        <v>6501</v>
      </c>
      <c r="I845" s="5">
        <v>3.3099999999999997E-2</v>
      </c>
      <c r="J845" s="2">
        <v>0.4</v>
      </c>
      <c r="K845" s="6">
        <v>2600.4</v>
      </c>
      <c r="L845" s="4">
        <v>462</v>
      </c>
      <c r="M845" s="2">
        <v>5.63</v>
      </c>
      <c r="N845" s="6">
        <v>52195.74</v>
      </c>
      <c r="O845" s="6">
        <f t="shared" si="66"/>
        <v>49595.34</v>
      </c>
      <c r="P845" s="6">
        <f t="shared" si="67"/>
        <v>19.072196585140745</v>
      </c>
      <c r="Q845" s="3">
        <v>20.07</v>
      </c>
      <c r="R845" t="str">
        <f t="shared" si="68"/>
        <v>High</v>
      </c>
      <c r="S845" t="str">
        <f t="shared" si="69"/>
        <v>Valid</v>
      </c>
    </row>
    <row r="846" spans="1:19" x14ac:dyDescent="0.25">
      <c r="A846" s="1">
        <v>45631</v>
      </c>
      <c r="B846" s="1" t="str">
        <f t="shared" si="65"/>
        <v>2024-12</v>
      </c>
      <c r="C846" t="s">
        <v>18</v>
      </c>
      <c r="D846" t="s">
        <v>15</v>
      </c>
      <c r="E846" t="s">
        <v>19</v>
      </c>
      <c r="F846" t="s">
        <v>31</v>
      </c>
      <c r="G846" s="4">
        <v>71470</v>
      </c>
      <c r="H846" s="4">
        <v>2065</v>
      </c>
      <c r="I846" s="5">
        <v>2.8899999999999999E-2</v>
      </c>
      <c r="J846" s="2">
        <v>1.18</v>
      </c>
      <c r="K846" s="6">
        <v>2436.6999999999998</v>
      </c>
      <c r="L846" s="4">
        <v>37</v>
      </c>
      <c r="M846" s="2">
        <v>65.86</v>
      </c>
      <c r="N846" s="6">
        <v>10377.15</v>
      </c>
      <c r="O846" s="6">
        <f t="shared" si="66"/>
        <v>7940.45</v>
      </c>
      <c r="P846" s="6">
        <f t="shared" si="67"/>
        <v>3.2586900316001151</v>
      </c>
      <c r="Q846" s="3">
        <v>4.26</v>
      </c>
      <c r="R846" t="str">
        <f t="shared" si="68"/>
        <v>High</v>
      </c>
      <c r="S846" t="str">
        <f t="shared" si="69"/>
        <v>Valid</v>
      </c>
    </row>
    <row r="847" spans="1:19" x14ac:dyDescent="0.25">
      <c r="A847" s="1">
        <v>45292</v>
      </c>
      <c r="B847" s="1" t="str">
        <f t="shared" si="65"/>
        <v>2024-01</v>
      </c>
      <c r="C847" t="s">
        <v>18</v>
      </c>
      <c r="D847" t="s">
        <v>29</v>
      </c>
      <c r="E847" t="s">
        <v>25</v>
      </c>
      <c r="F847" t="s">
        <v>23</v>
      </c>
      <c r="G847" s="4">
        <v>103026</v>
      </c>
      <c r="H847" s="4">
        <v>9066</v>
      </c>
      <c r="I847" s="5">
        <v>8.7999999999999995E-2</v>
      </c>
      <c r="J847" s="2">
        <v>1.43</v>
      </c>
      <c r="K847" s="6">
        <v>12964.38</v>
      </c>
      <c r="L847" s="4">
        <v>278</v>
      </c>
      <c r="M847" s="2">
        <v>46.63</v>
      </c>
      <c r="N847" s="6">
        <v>46631</v>
      </c>
      <c r="O847" s="6">
        <f t="shared" si="66"/>
        <v>33666.620000000003</v>
      </c>
      <c r="P847" s="6">
        <f t="shared" si="67"/>
        <v>2.5968553837514796</v>
      </c>
      <c r="Q847" s="3">
        <v>3.6</v>
      </c>
      <c r="R847" t="str">
        <f t="shared" si="68"/>
        <v>High</v>
      </c>
      <c r="S847" t="str">
        <f t="shared" si="69"/>
        <v>Valid</v>
      </c>
    </row>
    <row r="848" spans="1:19" x14ac:dyDescent="0.25">
      <c r="A848" s="1">
        <v>45486</v>
      </c>
      <c r="B848" s="1" t="str">
        <f t="shared" si="65"/>
        <v>2024-07</v>
      </c>
      <c r="C848" t="s">
        <v>28</v>
      </c>
      <c r="D848" t="s">
        <v>29</v>
      </c>
      <c r="E848" t="s">
        <v>16</v>
      </c>
      <c r="F848" t="s">
        <v>31</v>
      </c>
      <c r="G848" s="4">
        <v>140793</v>
      </c>
      <c r="H848" s="4">
        <v>2886</v>
      </c>
      <c r="I848" s="5">
        <v>2.0500000000000001E-2</v>
      </c>
      <c r="J848" s="2">
        <v>1.52</v>
      </c>
      <c r="K848" s="6">
        <v>4386.72</v>
      </c>
      <c r="L848" s="4">
        <v>141</v>
      </c>
      <c r="M848" s="2">
        <v>31.11</v>
      </c>
      <c r="N848" s="6">
        <v>12104.44</v>
      </c>
      <c r="O848" s="6">
        <f t="shared" si="66"/>
        <v>7717.72</v>
      </c>
      <c r="P848" s="6">
        <f t="shared" si="67"/>
        <v>1.7593372724951672</v>
      </c>
      <c r="Q848" s="3">
        <v>2.76</v>
      </c>
      <c r="R848" t="str">
        <f t="shared" si="68"/>
        <v>Medium</v>
      </c>
      <c r="S848" t="str">
        <f t="shared" si="69"/>
        <v>Valid</v>
      </c>
    </row>
    <row r="849" spans="1:19" x14ac:dyDescent="0.25">
      <c r="A849" s="1">
        <v>45497</v>
      </c>
      <c r="B849" s="1" t="str">
        <f t="shared" si="65"/>
        <v>2024-07</v>
      </c>
      <c r="C849" t="s">
        <v>28</v>
      </c>
      <c r="D849" t="s">
        <v>15</v>
      </c>
      <c r="E849" t="s">
        <v>16</v>
      </c>
      <c r="F849" t="s">
        <v>27</v>
      </c>
      <c r="G849" s="4">
        <v>8970</v>
      </c>
      <c r="H849" s="4">
        <v>306</v>
      </c>
      <c r="I849" s="5">
        <v>3.4200000000000001E-2</v>
      </c>
      <c r="J849" s="2">
        <v>0.6</v>
      </c>
      <c r="K849" s="6">
        <v>183.6</v>
      </c>
      <c r="L849" s="4">
        <v>22</v>
      </c>
      <c r="M849" s="2">
        <v>8.35</v>
      </c>
      <c r="N849" s="6">
        <v>4976.05</v>
      </c>
      <c r="O849" s="6">
        <f t="shared" si="66"/>
        <v>4792.45</v>
      </c>
      <c r="P849" s="6">
        <f t="shared" si="67"/>
        <v>26.102668845315904</v>
      </c>
      <c r="Q849" s="3">
        <v>27.1</v>
      </c>
      <c r="R849" t="str">
        <f t="shared" si="68"/>
        <v>High</v>
      </c>
      <c r="S849" t="str">
        <f t="shared" si="69"/>
        <v>Valid</v>
      </c>
    </row>
    <row r="850" spans="1:19" x14ac:dyDescent="0.25">
      <c r="A850" s="1">
        <v>45644</v>
      </c>
      <c r="B850" s="1" t="str">
        <f t="shared" si="65"/>
        <v>2024-12</v>
      </c>
      <c r="C850" t="s">
        <v>28</v>
      </c>
      <c r="D850" t="s">
        <v>29</v>
      </c>
      <c r="E850" t="s">
        <v>16</v>
      </c>
      <c r="F850" t="s">
        <v>26</v>
      </c>
      <c r="G850" s="4">
        <v>177825</v>
      </c>
      <c r="H850" s="4">
        <v>4285</v>
      </c>
      <c r="I850" s="5">
        <v>2.41E-2</v>
      </c>
      <c r="J850" s="2">
        <v>0.78</v>
      </c>
      <c r="K850" s="6">
        <v>3342.3</v>
      </c>
      <c r="L850" s="4">
        <v>163</v>
      </c>
      <c r="M850" s="2">
        <v>20.5</v>
      </c>
      <c r="N850" s="6">
        <v>29602.7</v>
      </c>
      <c r="O850" s="6">
        <f t="shared" si="66"/>
        <v>26260.400000000001</v>
      </c>
      <c r="P850" s="6">
        <f t="shared" si="67"/>
        <v>7.8569847111270681</v>
      </c>
      <c r="Q850" s="3">
        <v>8.86</v>
      </c>
      <c r="R850" t="str">
        <f t="shared" si="68"/>
        <v>High</v>
      </c>
      <c r="S850" t="str">
        <f t="shared" si="69"/>
        <v>Valid</v>
      </c>
    </row>
    <row r="851" spans="1:19" x14ac:dyDescent="0.25">
      <c r="A851" s="1">
        <v>45633</v>
      </c>
      <c r="B851" s="1" t="str">
        <f t="shared" si="65"/>
        <v>2024-12</v>
      </c>
      <c r="C851" t="s">
        <v>28</v>
      </c>
      <c r="D851" t="s">
        <v>29</v>
      </c>
      <c r="E851" t="s">
        <v>25</v>
      </c>
      <c r="F851" t="s">
        <v>17</v>
      </c>
      <c r="G851" s="4">
        <v>122512</v>
      </c>
      <c r="H851" s="4">
        <v>4532</v>
      </c>
      <c r="I851" s="5">
        <v>3.6999999999999998E-2</v>
      </c>
      <c r="J851" s="2">
        <v>1.84</v>
      </c>
      <c r="K851" s="6">
        <v>8338.8799999999992</v>
      </c>
      <c r="L851" s="4">
        <v>61</v>
      </c>
      <c r="M851" s="2">
        <v>136.69999999999999</v>
      </c>
      <c r="N851" s="6">
        <v>5305.8</v>
      </c>
      <c r="O851" s="6">
        <f t="shared" si="66"/>
        <v>-3033.079999999999</v>
      </c>
      <c r="P851" s="6">
        <f t="shared" si="67"/>
        <v>-0.3637275029740204</v>
      </c>
      <c r="Q851" s="3">
        <v>0.64</v>
      </c>
      <c r="R851" t="str">
        <f t="shared" si="68"/>
        <v>Low</v>
      </c>
      <c r="S851" t="str">
        <f t="shared" si="69"/>
        <v>Valid</v>
      </c>
    </row>
    <row r="852" spans="1:19" x14ac:dyDescent="0.25">
      <c r="A852" s="1">
        <v>45452</v>
      </c>
      <c r="B852" s="1" t="str">
        <f t="shared" si="65"/>
        <v>2024-06</v>
      </c>
      <c r="C852" t="s">
        <v>14</v>
      </c>
      <c r="D852" t="s">
        <v>15</v>
      </c>
      <c r="E852" t="s">
        <v>19</v>
      </c>
      <c r="F852" t="s">
        <v>27</v>
      </c>
      <c r="G852" s="4">
        <v>107548</v>
      </c>
      <c r="H852" s="4">
        <v>4258</v>
      </c>
      <c r="I852" s="5">
        <v>3.9600000000000003E-2</v>
      </c>
      <c r="J852" s="2">
        <v>3.2</v>
      </c>
      <c r="K852" s="6">
        <v>13625.6</v>
      </c>
      <c r="L852" s="4">
        <v>145</v>
      </c>
      <c r="M852" s="2">
        <v>93.97</v>
      </c>
      <c r="N852" s="6">
        <v>17656.919999999998</v>
      </c>
      <c r="O852" s="6">
        <f t="shared" si="66"/>
        <v>4031.3199999999979</v>
      </c>
      <c r="P852" s="6">
        <f t="shared" si="67"/>
        <v>0.29586366838891481</v>
      </c>
      <c r="Q852" s="3">
        <v>1.3</v>
      </c>
      <c r="R852" t="str">
        <f t="shared" si="68"/>
        <v>Medium</v>
      </c>
      <c r="S852" t="str">
        <f t="shared" si="69"/>
        <v>Valid</v>
      </c>
    </row>
    <row r="853" spans="1:19" x14ac:dyDescent="0.25">
      <c r="A853" s="1">
        <v>45479</v>
      </c>
      <c r="B853" s="1" t="str">
        <f t="shared" si="65"/>
        <v>2024-07</v>
      </c>
      <c r="C853" t="s">
        <v>18</v>
      </c>
      <c r="D853" t="s">
        <v>29</v>
      </c>
      <c r="E853" t="s">
        <v>22</v>
      </c>
      <c r="F853" t="s">
        <v>20</v>
      </c>
      <c r="G853" s="4">
        <v>89224</v>
      </c>
      <c r="H853" s="4">
        <v>5255</v>
      </c>
      <c r="I853" s="5">
        <v>5.8900000000000001E-2</v>
      </c>
      <c r="J853" s="2">
        <v>1.99</v>
      </c>
      <c r="K853" s="6">
        <v>10457.450000000001</v>
      </c>
      <c r="L853" s="4">
        <v>336</v>
      </c>
      <c r="M853" s="2">
        <v>31.12</v>
      </c>
      <c r="N853" s="6">
        <v>94667.83</v>
      </c>
      <c r="O853" s="6">
        <f t="shared" si="66"/>
        <v>84210.38</v>
      </c>
      <c r="P853" s="6">
        <f t="shared" si="67"/>
        <v>8.0526686716168854</v>
      </c>
      <c r="Q853" s="3">
        <v>9.0500000000000007</v>
      </c>
      <c r="R853" t="str">
        <f t="shared" si="68"/>
        <v>High</v>
      </c>
      <c r="S853" t="str">
        <f t="shared" si="69"/>
        <v>Valid</v>
      </c>
    </row>
    <row r="854" spans="1:19" x14ac:dyDescent="0.25">
      <c r="A854" s="1">
        <v>45592</v>
      </c>
      <c r="B854" s="1" t="str">
        <f t="shared" si="65"/>
        <v>2024-10</v>
      </c>
      <c r="C854" t="s">
        <v>28</v>
      </c>
      <c r="D854" t="s">
        <v>29</v>
      </c>
      <c r="E854" t="s">
        <v>30</v>
      </c>
      <c r="F854" t="s">
        <v>20</v>
      </c>
      <c r="G854" s="4">
        <v>100561</v>
      </c>
      <c r="H854" s="4">
        <v>3781</v>
      </c>
      <c r="I854" s="5">
        <v>3.7600000000000001E-2</v>
      </c>
      <c r="J854" s="2">
        <v>1.39</v>
      </c>
      <c r="K854" s="6">
        <v>5255.59</v>
      </c>
      <c r="L854" s="4">
        <v>124</v>
      </c>
      <c r="M854" s="2">
        <v>42.38</v>
      </c>
      <c r="N854" s="6">
        <v>34626.86</v>
      </c>
      <c r="O854" s="6">
        <f t="shared" si="66"/>
        <v>29371.27</v>
      </c>
      <c r="P854" s="6">
        <f t="shared" si="67"/>
        <v>5.5885771150337069</v>
      </c>
      <c r="Q854" s="3">
        <v>6.59</v>
      </c>
      <c r="R854" t="str">
        <f t="shared" si="68"/>
        <v>High</v>
      </c>
      <c r="S854" t="str">
        <f t="shared" si="69"/>
        <v>Valid</v>
      </c>
    </row>
    <row r="855" spans="1:19" x14ac:dyDescent="0.25">
      <c r="A855" s="1">
        <v>45443</v>
      </c>
      <c r="B855" s="1" t="str">
        <f t="shared" si="65"/>
        <v>2024-05</v>
      </c>
      <c r="C855" t="s">
        <v>14</v>
      </c>
      <c r="D855" t="s">
        <v>15</v>
      </c>
      <c r="E855" t="s">
        <v>16</v>
      </c>
      <c r="F855" t="s">
        <v>17</v>
      </c>
      <c r="G855" s="4">
        <v>50111</v>
      </c>
      <c r="H855" s="4">
        <v>2320</v>
      </c>
      <c r="I855" s="5">
        <v>4.6300000000000001E-2</v>
      </c>
      <c r="J855" s="2">
        <v>2.73</v>
      </c>
      <c r="K855" s="6">
        <v>6333.6</v>
      </c>
      <c r="L855" s="4">
        <v>153</v>
      </c>
      <c r="M855" s="2">
        <v>41.4</v>
      </c>
      <c r="N855" s="6">
        <v>30016.66</v>
      </c>
      <c r="O855" s="6">
        <f t="shared" si="66"/>
        <v>23683.059999999998</v>
      </c>
      <c r="P855" s="6">
        <f t="shared" si="67"/>
        <v>3.7392730832385999</v>
      </c>
      <c r="Q855" s="3">
        <v>4.74</v>
      </c>
      <c r="R855" t="str">
        <f t="shared" si="68"/>
        <v>High</v>
      </c>
      <c r="S855" t="str">
        <f t="shared" si="69"/>
        <v>Valid</v>
      </c>
    </row>
    <row r="856" spans="1:19" x14ac:dyDescent="0.25">
      <c r="A856" s="1">
        <v>45373</v>
      </c>
      <c r="B856" s="1" t="str">
        <f t="shared" si="65"/>
        <v>2024-03</v>
      </c>
      <c r="C856" t="s">
        <v>14</v>
      </c>
      <c r="D856" t="s">
        <v>29</v>
      </c>
      <c r="E856" t="s">
        <v>25</v>
      </c>
      <c r="F856" t="s">
        <v>26</v>
      </c>
      <c r="G856" s="4">
        <v>65985</v>
      </c>
      <c r="H856" s="4">
        <v>1445</v>
      </c>
      <c r="I856" s="5">
        <v>2.1899999999999999E-2</v>
      </c>
      <c r="J856" s="2">
        <v>0.82</v>
      </c>
      <c r="K856" s="6">
        <v>1184.9000000000001</v>
      </c>
      <c r="L856" s="4">
        <v>63</v>
      </c>
      <c r="M856" s="2">
        <v>18.809999999999999</v>
      </c>
      <c r="N856" s="6">
        <v>4237.8500000000004</v>
      </c>
      <c r="O856" s="6">
        <f t="shared" si="66"/>
        <v>3052.9500000000003</v>
      </c>
      <c r="P856" s="6">
        <f t="shared" si="67"/>
        <v>2.5765465440121531</v>
      </c>
      <c r="Q856" s="3">
        <v>3.58</v>
      </c>
      <c r="R856" t="str">
        <f t="shared" si="68"/>
        <v>High</v>
      </c>
      <c r="S856" t="str">
        <f t="shared" si="69"/>
        <v>Valid</v>
      </c>
    </row>
    <row r="857" spans="1:19" x14ac:dyDescent="0.25">
      <c r="A857" s="1">
        <v>45498</v>
      </c>
      <c r="B857" s="1" t="str">
        <f t="shared" si="65"/>
        <v>2024-07</v>
      </c>
      <c r="C857" t="s">
        <v>28</v>
      </c>
      <c r="D857" t="s">
        <v>21</v>
      </c>
      <c r="E857" t="s">
        <v>30</v>
      </c>
      <c r="F857" t="s">
        <v>26</v>
      </c>
      <c r="G857" s="4">
        <v>93257</v>
      </c>
      <c r="H857" s="4">
        <v>1930</v>
      </c>
      <c r="I857" s="5">
        <v>2.07E-2</v>
      </c>
      <c r="J857" s="2">
        <v>1.32</v>
      </c>
      <c r="K857" s="6">
        <v>2547.6</v>
      </c>
      <c r="L857" s="4">
        <v>102</v>
      </c>
      <c r="M857" s="2">
        <v>24.98</v>
      </c>
      <c r="N857" s="6">
        <v>26767.95</v>
      </c>
      <c r="O857" s="6">
        <f t="shared" si="66"/>
        <v>24220.350000000002</v>
      </c>
      <c r="P857" s="6">
        <f t="shared" si="67"/>
        <v>9.5071243523316067</v>
      </c>
      <c r="Q857" s="3">
        <v>10.51</v>
      </c>
      <c r="R857" t="str">
        <f t="shared" si="68"/>
        <v>High</v>
      </c>
      <c r="S857" t="str">
        <f t="shared" si="69"/>
        <v>Valid</v>
      </c>
    </row>
    <row r="858" spans="1:19" x14ac:dyDescent="0.25">
      <c r="A858" s="1">
        <v>45650</v>
      </c>
      <c r="B858" s="1" t="str">
        <f t="shared" si="65"/>
        <v>2024-12</v>
      </c>
      <c r="C858" t="s">
        <v>18</v>
      </c>
      <c r="D858" t="s">
        <v>15</v>
      </c>
      <c r="E858" t="s">
        <v>25</v>
      </c>
      <c r="F858" t="s">
        <v>31</v>
      </c>
      <c r="G858" s="4">
        <v>102847</v>
      </c>
      <c r="H858" s="4">
        <v>6458</v>
      </c>
      <c r="I858" s="5">
        <v>6.2799999999999995E-2</v>
      </c>
      <c r="J858" s="2">
        <v>1.17</v>
      </c>
      <c r="K858" s="6">
        <v>7555.86</v>
      </c>
      <c r="L858" s="4">
        <v>314</v>
      </c>
      <c r="M858" s="2">
        <v>24.06</v>
      </c>
      <c r="N858" s="6">
        <v>81199.399999999994</v>
      </c>
      <c r="O858" s="6">
        <f t="shared" si="66"/>
        <v>73643.539999999994</v>
      </c>
      <c r="P858" s="6">
        <f t="shared" si="67"/>
        <v>9.7465463891602013</v>
      </c>
      <c r="Q858" s="3">
        <v>10.75</v>
      </c>
      <c r="R858" t="str">
        <f t="shared" si="68"/>
        <v>High</v>
      </c>
      <c r="S858" t="str">
        <f t="shared" si="69"/>
        <v>Valid</v>
      </c>
    </row>
    <row r="859" spans="1:19" x14ac:dyDescent="0.25">
      <c r="A859" s="1">
        <v>45340</v>
      </c>
      <c r="B859" s="1" t="str">
        <f t="shared" si="65"/>
        <v>2024-02</v>
      </c>
      <c r="C859" t="s">
        <v>28</v>
      </c>
      <c r="D859" t="s">
        <v>15</v>
      </c>
      <c r="E859" t="s">
        <v>25</v>
      </c>
      <c r="F859" t="s">
        <v>17</v>
      </c>
      <c r="G859" s="4">
        <v>161738</v>
      </c>
      <c r="H859" s="4">
        <v>5046</v>
      </c>
      <c r="I859" s="5">
        <v>3.1199999999999999E-2</v>
      </c>
      <c r="J859" s="2">
        <v>1.66</v>
      </c>
      <c r="K859" s="6">
        <v>8376.36</v>
      </c>
      <c r="L859" s="4">
        <v>258</v>
      </c>
      <c r="M859" s="2">
        <v>32.47</v>
      </c>
      <c r="N859" s="6">
        <v>29417.67</v>
      </c>
      <c r="O859" s="6">
        <f t="shared" si="66"/>
        <v>21041.309999999998</v>
      </c>
      <c r="P859" s="6">
        <f t="shared" si="67"/>
        <v>2.5119873071357959</v>
      </c>
      <c r="Q859" s="3">
        <v>3.51</v>
      </c>
      <c r="R859" t="str">
        <f t="shared" si="68"/>
        <v>High</v>
      </c>
      <c r="S859" t="str">
        <f t="shared" si="69"/>
        <v>Valid</v>
      </c>
    </row>
    <row r="860" spans="1:19" x14ac:dyDescent="0.25">
      <c r="A860" s="1">
        <v>45419</v>
      </c>
      <c r="B860" s="1" t="str">
        <f t="shared" si="65"/>
        <v>2024-05</v>
      </c>
      <c r="C860" t="s">
        <v>28</v>
      </c>
      <c r="D860" t="s">
        <v>24</v>
      </c>
      <c r="E860" t="s">
        <v>22</v>
      </c>
      <c r="F860" t="s">
        <v>32</v>
      </c>
      <c r="G860" s="4">
        <v>46516</v>
      </c>
      <c r="H860" s="4">
        <v>772</v>
      </c>
      <c r="I860" s="5">
        <v>1.66E-2</v>
      </c>
      <c r="J860" s="2">
        <v>0.59</v>
      </c>
      <c r="K860" s="6">
        <v>455.48</v>
      </c>
      <c r="L860" s="4">
        <v>39</v>
      </c>
      <c r="M860" s="2">
        <v>11.68</v>
      </c>
      <c r="N860" s="6">
        <v>4874.74</v>
      </c>
      <c r="O860" s="6">
        <f t="shared" si="66"/>
        <v>4419.26</v>
      </c>
      <c r="P860" s="6">
        <f t="shared" si="67"/>
        <v>9.7024238166330026</v>
      </c>
      <c r="Q860" s="3">
        <v>10.7</v>
      </c>
      <c r="R860" t="str">
        <f t="shared" si="68"/>
        <v>High</v>
      </c>
      <c r="S860" t="str">
        <f t="shared" si="69"/>
        <v>Valid</v>
      </c>
    </row>
    <row r="861" spans="1:19" x14ac:dyDescent="0.25">
      <c r="A861" s="1">
        <v>45598</v>
      </c>
      <c r="B861" s="1" t="str">
        <f t="shared" si="65"/>
        <v>2024-11</v>
      </c>
      <c r="C861" t="s">
        <v>14</v>
      </c>
      <c r="D861" t="s">
        <v>21</v>
      </c>
      <c r="E861" t="s">
        <v>25</v>
      </c>
      <c r="F861" t="s">
        <v>27</v>
      </c>
      <c r="G861" s="4">
        <v>7802</v>
      </c>
      <c r="H861" s="4">
        <v>340</v>
      </c>
      <c r="I861" s="5">
        <v>4.3700000000000003E-2</v>
      </c>
      <c r="J861" s="2">
        <v>2.37</v>
      </c>
      <c r="K861" s="6">
        <v>805.8</v>
      </c>
      <c r="L861" s="4">
        <v>14</v>
      </c>
      <c r="M861" s="2">
        <v>57.56</v>
      </c>
      <c r="N861" s="6">
        <v>799.08</v>
      </c>
      <c r="O861" s="6">
        <f t="shared" si="66"/>
        <v>-6.7199999999999136</v>
      </c>
      <c r="P861" s="6">
        <f t="shared" si="67"/>
        <v>-8.3395383469842561E-3</v>
      </c>
      <c r="Q861" s="3">
        <v>0.99</v>
      </c>
      <c r="R861" t="str">
        <f t="shared" si="68"/>
        <v>Low</v>
      </c>
      <c r="S861" t="str">
        <f t="shared" si="69"/>
        <v>Valid</v>
      </c>
    </row>
    <row r="862" spans="1:19" x14ac:dyDescent="0.25">
      <c r="A862" s="1">
        <v>45587</v>
      </c>
      <c r="B862" s="1" t="str">
        <f t="shared" si="65"/>
        <v>2024-10</v>
      </c>
      <c r="C862" t="s">
        <v>14</v>
      </c>
      <c r="D862" t="s">
        <v>15</v>
      </c>
      <c r="E862" t="s">
        <v>19</v>
      </c>
      <c r="F862" t="s">
        <v>23</v>
      </c>
      <c r="G862" s="4">
        <v>15960</v>
      </c>
      <c r="H862" s="4">
        <v>750</v>
      </c>
      <c r="I862" s="5">
        <v>4.7E-2</v>
      </c>
      <c r="J862" s="2">
        <v>1.72</v>
      </c>
      <c r="K862" s="6">
        <v>1290</v>
      </c>
      <c r="L862" s="4">
        <v>40</v>
      </c>
      <c r="M862" s="2">
        <v>32.25</v>
      </c>
      <c r="N862" s="6">
        <v>6919.55</v>
      </c>
      <c r="O862" s="6">
        <f t="shared" si="66"/>
        <v>5629.55</v>
      </c>
      <c r="P862" s="6">
        <f t="shared" si="67"/>
        <v>4.3639922480620159</v>
      </c>
      <c r="Q862" s="3">
        <v>5.36</v>
      </c>
      <c r="R862" t="str">
        <f t="shared" si="68"/>
        <v>High</v>
      </c>
      <c r="S862" t="str">
        <f t="shared" si="69"/>
        <v>Valid</v>
      </c>
    </row>
    <row r="863" spans="1:19" x14ac:dyDescent="0.25">
      <c r="A863" s="1">
        <v>45307</v>
      </c>
      <c r="B863" s="1" t="str">
        <f t="shared" si="65"/>
        <v>2024-01</v>
      </c>
      <c r="C863" t="s">
        <v>18</v>
      </c>
      <c r="D863" t="s">
        <v>24</v>
      </c>
      <c r="E863" t="s">
        <v>25</v>
      </c>
      <c r="F863" t="s">
        <v>32</v>
      </c>
      <c r="G863" s="4">
        <v>55701</v>
      </c>
      <c r="H863" s="4">
        <v>4138</v>
      </c>
      <c r="I863" s="5">
        <v>7.4300000000000005E-2</v>
      </c>
      <c r="J863" s="2">
        <v>0.34</v>
      </c>
      <c r="K863" s="6">
        <v>1406.92</v>
      </c>
      <c r="L863" s="4">
        <v>229</v>
      </c>
      <c r="M863" s="2">
        <v>6.14</v>
      </c>
      <c r="N863" s="6">
        <v>20016.59</v>
      </c>
      <c r="O863" s="6">
        <f t="shared" si="66"/>
        <v>18609.669999999998</v>
      </c>
      <c r="P863" s="6">
        <f t="shared" si="67"/>
        <v>13.227241065590082</v>
      </c>
      <c r="Q863" s="3">
        <v>14.23</v>
      </c>
      <c r="R863" t="str">
        <f t="shared" si="68"/>
        <v>High</v>
      </c>
      <c r="S863" t="str">
        <f t="shared" si="69"/>
        <v>Valid</v>
      </c>
    </row>
    <row r="864" spans="1:19" x14ac:dyDescent="0.25">
      <c r="A864" s="1">
        <v>45473</v>
      </c>
      <c r="B864" s="1" t="str">
        <f t="shared" si="65"/>
        <v>2024-06</v>
      </c>
      <c r="C864" t="s">
        <v>14</v>
      </c>
      <c r="D864" t="s">
        <v>29</v>
      </c>
      <c r="E864" t="s">
        <v>30</v>
      </c>
      <c r="F864" t="s">
        <v>31</v>
      </c>
      <c r="G864" s="4">
        <v>64757</v>
      </c>
      <c r="H864" s="4">
        <v>3976</v>
      </c>
      <c r="I864" s="5">
        <v>6.1400000000000003E-2</v>
      </c>
      <c r="J864" s="2">
        <v>1.43</v>
      </c>
      <c r="K864" s="6">
        <v>5685.68</v>
      </c>
      <c r="L864" s="4">
        <v>58</v>
      </c>
      <c r="M864" s="2">
        <v>98.03</v>
      </c>
      <c r="N864" s="6">
        <v>4380.33</v>
      </c>
      <c r="O864" s="6">
        <f t="shared" si="66"/>
        <v>-1305.3500000000004</v>
      </c>
      <c r="P864" s="6">
        <f t="shared" si="67"/>
        <v>-0.2295855552897807</v>
      </c>
      <c r="Q864" s="3">
        <v>0.77</v>
      </c>
      <c r="R864" t="str">
        <f t="shared" si="68"/>
        <v>Low</v>
      </c>
      <c r="S864" t="str">
        <f t="shared" si="69"/>
        <v>Valid</v>
      </c>
    </row>
    <row r="865" spans="1:19" x14ac:dyDescent="0.25">
      <c r="A865" s="1">
        <v>45386</v>
      </c>
      <c r="B865" s="1" t="str">
        <f t="shared" si="65"/>
        <v>2024-04</v>
      </c>
      <c r="C865" t="s">
        <v>18</v>
      </c>
      <c r="D865" t="s">
        <v>15</v>
      </c>
      <c r="E865" t="s">
        <v>25</v>
      </c>
      <c r="F865" t="s">
        <v>20</v>
      </c>
      <c r="G865" s="4">
        <v>199291</v>
      </c>
      <c r="H865" s="4">
        <v>16660</v>
      </c>
      <c r="I865" s="5">
        <v>8.3599999999999994E-2</v>
      </c>
      <c r="J865" s="2">
        <v>1.1599999999999999</v>
      </c>
      <c r="K865" s="6">
        <v>19325.599999999999</v>
      </c>
      <c r="L865" s="4">
        <v>1016</v>
      </c>
      <c r="M865" s="2">
        <v>19.02</v>
      </c>
      <c r="N865" s="6">
        <v>207611.26</v>
      </c>
      <c r="O865" s="6">
        <f t="shared" si="66"/>
        <v>188285.66</v>
      </c>
      <c r="P865" s="6">
        <f t="shared" si="67"/>
        <v>9.7428105725048653</v>
      </c>
      <c r="Q865" s="3">
        <v>10.74</v>
      </c>
      <c r="R865" t="str">
        <f t="shared" si="68"/>
        <v>High</v>
      </c>
      <c r="S865" t="str">
        <f t="shared" si="69"/>
        <v>Valid</v>
      </c>
    </row>
    <row r="866" spans="1:19" x14ac:dyDescent="0.25">
      <c r="A866" s="1">
        <v>45553</v>
      </c>
      <c r="B866" s="1" t="str">
        <f t="shared" si="65"/>
        <v>2024-09</v>
      </c>
      <c r="C866" t="s">
        <v>18</v>
      </c>
      <c r="D866" t="s">
        <v>24</v>
      </c>
      <c r="E866" t="s">
        <v>19</v>
      </c>
      <c r="F866" t="s">
        <v>20</v>
      </c>
      <c r="G866" s="4">
        <v>116800</v>
      </c>
      <c r="H866" s="4">
        <v>8351</v>
      </c>
      <c r="I866" s="5">
        <v>7.1499999999999994E-2</v>
      </c>
      <c r="J866" s="2">
        <v>0.7</v>
      </c>
      <c r="K866" s="6">
        <v>5845.7</v>
      </c>
      <c r="L866" s="4">
        <v>493</v>
      </c>
      <c r="M866" s="2">
        <v>11.86</v>
      </c>
      <c r="N866" s="6">
        <v>80828.759999999995</v>
      </c>
      <c r="O866" s="6">
        <f t="shared" si="66"/>
        <v>74983.06</v>
      </c>
      <c r="P866" s="6">
        <f t="shared" si="67"/>
        <v>12.827045520639102</v>
      </c>
      <c r="Q866" s="3">
        <v>13.83</v>
      </c>
      <c r="R866" t="str">
        <f t="shared" si="68"/>
        <v>High</v>
      </c>
      <c r="S866" t="str">
        <f t="shared" si="69"/>
        <v>Valid</v>
      </c>
    </row>
    <row r="867" spans="1:19" x14ac:dyDescent="0.25">
      <c r="A867" s="1">
        <v>45595</v>
      </c>
      <c r="B867" s="1" t="str">
        <f t="shared" si="65"/>
        <v>2024-10</v>
      </c>
      <c r="C867" t="s">
        <v>28</v>
      </c>
      <c r="D867" t="s">
        <v>24</v>
      </c>
      <c r="E867" t="s">
        <v>22</v>
      </c>
      <c r="F867" t="s">
        <v>27</v>
      </c>
      <c r="G867" s="4">
        <v>88470</v>
      </c>
      <c r="H867" s="4">
        <v>2459</v>
      </c>
      <c r="I867" s="5">
        <v>2.7799999999999998E-2</v>
      </c>
      <c r="J867" s="2">
        <v>0.99</v>
      </c>
      <c r="K867" s="6">
        <v>2434.41</v>
      </c>
      <c r="L867" s="4">
        <v>165</v>
      </c>
      <c r="M867" s="2">
        <v>14.75</v>
      </c>
      <c r="N867" s="6">
        <v>44145</v>
      </c>
      <c r="O867" s="6">
        <f t="shared" si="66"/>
        <v>41710.589999999997</v>
      </c>
      <c r="P867" s="6">
        <f t="shared" si="67"/>
        <v>17.133757255351398</v>
      </c>
      <c r="Q867" s="3">
        <v>18.13</v>
      </c>
      <c r="R867" t="str">
        <f t="shared" si="68"/>
        <v>High</v>
      </c>
      <c r="S867" t="str">
        <f t="shared" si="69"/>
        <v>Valid</v>
      </c>
    </row>
    <row r="868" spans="1:19" x14ac:dyDescent="0.25">
      <c r="A868" s="1">
        <v>45358</v>
      </c>
      <c r="B868" s="1" t="str">
        <f t="shared" si="65"/>
        <v>2024-03</v>
      </c>
      <c r="C868" t="s">
        <v>18</v>
      </c>
      <c r="D868" t="s">
        <v>29</v>
      </c>
      <c r="E868" t="s">
        <v>22</v>
      </c>
      <c r="F868" t="s">
        <v>32</v>
      </c>
      <c r="G868" s="4">
        <v>186782</v>
      </c>
      <c r="H868" s="4">
        <v>14270</v>
      </c>
      <c r="I868" s="5">
        <v>7.6399999999999996E-2</v>
      </c>
      <c r="J868" s="2">
        <v>1.08</v>
      </c>
      <c r="K868" s="6">
        <v>15411.6</v>
      </c>
      <c r="L868" s="4">
        <v>931</v>
      </c>
      <c r="M868" s="2">
        <v>16.55</v>
      </c>
      <c r="N868" s="6">
        <v>224929.42</v>
      </c>
      <c r="O868" s="6">
        <f t="shared" si="66"/>
        <v>209517.82</v>
      </c>
      <c r="P868" s="6">
        <f t="shared" si="67"/>
        <v>13.594812998001505</v>
      </c>
      <c r="Q868" s="3">
        <v>14.59</v>
      </c>
      <c r="R868" t="str">
        <f t="shared" si="68"/>
        <v>High</v>
      </c>
      <c r="S868" t="str">
        <f t="shared" si="69"/>
        <v>Valid</v>
      </c>
    </row>
    <row r="869" spans="1:19" x14ac:dyDescent="0.25">
      <c r="A869" s="1">
        <v>45634</v>
      </c>
      <c r="B869" s="1" t="str">
        <f t="shared" si="65"/>
        <v>2024-12</v>
      </c>
      <c r="C869" t="s">
        <v>14</v>
      </c>
      <c r="D869" t="s">
        <v>29</v>
      </c>
      <c r="E869" t="s">
        <v>22</v>
      </c>
      <c r="F869" t="s">
        <v>17</v>
      </c>
      <c r="G869" s="4">
        <v>121832</v>
      </c>
      <c r="H869" s="4">
        <v>6786</v>
      </c>
      <c r="I869" s="5">
        <v>5.57E-2</v>
      </c>
      <c r="J869" s="2">
        <v>1.18</v>
      </c>
      <c r="K869" s="6">
        <v>8007.48</v>
      </c>
      <c r="L869" s="4">
        <v>139</v>
      </c>
      <c r="M869" s="2">
        <v>57.61</v>
      </c>
      <c r="N869" s="6">
        <v>28929.72</v>
      </c>
      <c r="O869" s="6">
        <f t="shared" si="66"/>
        <v>20922.240000000002</v>
      </c>
      <c r="P869" s="6">
        <f t="shared" si="67"/>
        <v>2.6128369974074244</v>
      </c>
      <c r="Q869" s="3">
        <v>3.61</v>
      </c>
      <c r="R869" t="str">
        <f t="shared" si="68"/>
        <v>High</v>
      </c>
      <c r="S869" t="str">
        <f t="shared" si="69"/>
        <v>Valid</v>
      </c>
    </row>
    <row r="870" spans="1:19" x14ac:dyDescent="0.25">
      <c r="A870" s="1">
        <v>45546</v>
      </c>
      <c r="B870" s="1" t="str">
        <f t="shared" si="65"/>
        <v>2024-09</v>
      </c>
      <c r="C870" t="s">
        <v>14</v>
      </c>
      <c r="D870" t="s">
        <v>21</v>
      </c>
      <c r="E870" t="s">
        <v>30</v>
      </c>
      <c r="F870" t="s">
        <v>23</v>
      </c>
      <c r="G870" s="4">
        <v>88514</v>
      </c>
      <c r="H870" s="4">
        <v>1610</v>
      </c>
      <c r="I870" s="5">
        <v>1.8200000000000001E-2</v>
      </c>
      <c r="J870" s="2">
        <v>0.86</v>
      </c>
      <c r="K870" s="6">
        <v>1384.6</v>
      </c>
      <c r="L870" s="4">
        <v>77</v>
      </c>
      <c r="M870" s="2">
        <v>17.98</v>
      </c>
      <c r="N870" s="6">
        <v>22165.040000000001</v>
      </c>
      <c r="O870" s="6">
        <f t="shared" si="66"/>
        <v>20780.440000000002</v>
      </c>
      <c r="P870" s="6">
        <f t="shared" si="67"/>
        <v>15.008262314025714</v>
      </c>
      <c r="Q870" s="3">
        <v>16.010000000000002</v>
      </c>
      <c r="R870" t="str">
        <f t="shared" si="68"/>
        <v>High</v>
      </c>
      <c r="S870" t="str">
        <f t="shared" si="69"/>
        <v>Valid</v>
      </c>
    </row>
    <row r="871" spans="1:19" x14ac:dyDescent="0.25">
      <c r="A871" s="1">
        <v>45579</v>
      </c>
      <c r="B871" s="1" t="str">
        <f t="shared" si="65"/>
        <v>2024-10</v>
      </c>
      <c r="C871" t="s">
        <v>28</v>
      </c>
      <c r="D871" t="s">
        <v>29</v>
      </c>
      <c r="E871" t="s">
        <v>16</v>
      </c>
      <c r="F871" t="s">
        <v>31</v>
      </c>
      <c r="G871" s="4">
        <v>125424</v>
      </c>
      <c r="H871" s="4">
        <v>3787</v>
      </c>
      <c r="I871" s="5">
        <v>3.0200000000000001E-2</v>
      </c>
      <c r="J871" s="2">
        <v>0.48</v>
      </c>
      <c r="K871" s="6">
        <v>1817.76</v>
      </c>
      <c r="L871" s="4">
        <v>253</v>
      </c>
      <c r="M871" s="2">
        <v>7.18</v>
      </c>
      <c r="N871" s="6">
        <v>36320.54</v>
      </c>
      <c r="O871" s="6">
        <f t="shared" si="66"/>
        <v>34502.78</v>
      </c>
      <c r="P871" s="6">
        <f t="shared" si="67"/>
        <v>18.980932576357713</v>
      </c>
      <c r="Q871" s="3">
        <v>19.98</v>
      </c>
      <c r="R871" t="str">
        <f t="shared" si="68"/>
        <v>High</v>
      </c>
      <c r="S871" t="str">
        <f t="shared" si="69"/>
        <v>Valid</v>
      </c>
    </row>
    <row r="872" spans="1:19" x14ac:dyDescent="0.25">
      <c r="A872" s="1">
        <v>45632</v>
      </c>
      <c r="B872" s="1" t="str">
        <f t="shared" si="65"/>
        <v>2024-12</v>
      </c>
      <c r="C872" t="s">
        <v>18</v>
      </c>
      <c r="D872" t="s">
        <v>21</v>
      </c>
      <c r="E872" t="s">
        <v>22</v>
      </c>
      <c r="F872" t="s">
        <v>17</v>
      </c>
      <c r="G872" s="4">
        <v>23883</v>
      </c>
      <c r="H872" s="4">
        <v>1332</v>
      </c>
      <c r="I872" s="5">
        <v>5.5800000000000002E-2</v>
      </c>
      <c r="J872" s="2">
        <v>1.56</v>
      </c>
      <c r="K872" s="6">
        <v>2077.92</v>
      </c>
      <c r="L872" s="4">
        <v>66</v>
      </c>
      <c r="M872" s="2">
        <v>31.48</v>
      </c>
      <c r="N872" s="6">
        <v>10903.46</v>
      </c>
      <c r="O872" s="6">
        <f t="shared" si="66"/>
        <v>8825.5399999999991</v>
      </c>
      <c r="P872" s="6">
        <f t="shared" si="67"/>
        <v>4.2472953722953717</v>
      </c>
      <c r="Q872" s="3">
        <v>5.25</v>
      </c>
      <c r="R872" t="str">
        <f t="shared" si="68"/>
        <v>High</v>
      </c>
      <c r="S872" t="str">
        <f t="shared" si="69"/>
        <v>Valid</v>
      </c>
    </row>
    <row r="873" spans="1:19" x14ac:dyDescent="0.25">
      <c r="A873" s="1">
        <v>45420</v>
      </c>
      <c r="B873" s="1" t="str">
        <f t="shared" si="65"/>
        <v>2024-05</v>
      </c>
      <c r="C873" t="s">
        <v>28</v>
      </c>
      <c r="D873" t="s">
        <v>24</v>
      </c>
      <c r="E873" t="s">
        <v>30</v>
      </c>
      <c r="F873" t="s">
        <v>26</v>
      </c>
      <c r="G873" s="4">
        <v>49864</v>
      </c>
      <c r="H873" s="4">
        <v>2074</v>
      </c>
      <c r="I873" s="5">
        <v>4.1599999999999998E-2</v>
      </c>
      <c r="J873" s="2">
        <v>1.75</v>
      </c>
      <c r="K873" s="6">
        <v>3629.5</v>
      </c>
      <c r="L873" s="4">
        <v>73</v>
      </c>
      <c r="M873" s="2">
        <v>49.72</v>
      </c>
      <c r="N873" s="6">
        <v>14018.44</v>
      </c>
      <c r="O873" s="6">
        <f t="shared" si="66"/>
        <v>10388.94</v>
      </c>
      <c r="P873" s="6">
        <f t="shared" si="67"/>
        <v>2.862361206777793</v>
      </c>
      <c r="Q873" s="3">
        <v>3.86</v>
      </c>
      <c r="R873" t="str">
        <f t="shared" si="68"/>
        <v>High</v>
      </c>
      <c r="S873" t="str">
        <f t="shared" si="69"/>
        <v>Valid</v>
      </c>
    </row>
    <row r="874" spans="1:19" x14ac:dyDescent="0.25">
      <c r="A874" s="1">
        <v>45500</v>
      </c>
      <c r="B874" s="1" t="str">
        <f t="shared" si="65"/>
        <v>2024-07</v>
      </c>
      <c r="C874" t="s">
        <v>14</v>
      </c>
      <c r="D874" t="s">
        <v>21</v>
      </c>
      <c r="E874" t="s">
        <v>25</v>
      </c>
      <c r="F874" t="s">
        <v>17</v>
      </c>
      <c r="G874" s="4">
        <v>190890</v>
      </c>
      <c r="H874" s="4">
        <v>7616</v>
      </c>
      <c r="I874" s="5">
        <v>3.9899999999999998E-2</v>
      </c>
      <c r="J874" s="2">
        <v>1.1599999999999999</v>
      </c>
      <c r="K874" s="6">
        <v>8834.56</v>
      </c>
      <c r="L874" s="4">
        <v>141</v>
      </c>
      <c r="M874" s="2">
        <v>62.66</v>
      </c>
      <c r="N874" s="6">
        <v>25751.07</v>
      </c>
      <c r="O874" s="6">
        <f t="shared" si="66"/>
        <v>16916.510000000002</v>
      </c>
      <c r="P874" s="6">
        <f t="shared" si="67"/>
        <v>1.9148106979860913</v>
      </c>
      <c r="Q874" s="3">
        <v>2.91</v>
      </c>
      <c r="R874" t="str">
        <f t="shared" si="68"/>
        <v>Medium</v>
      </c>
      <c r="S874" t="str">
        <f t="shared" si="69"/>
        <v>Valid</v>
      </c>
    </row>
    <row r="875" spans="1:19" x14ac:dyDescent="0.25">
      <c r="A875" s="1">
        <v>45598</v>
      </c>
      <c r="B875" s="1" t="str">
        <f t="shared" si="65"/>
        <v>2024-11</v>
      </c>
      <c r="C875" t="s">
        <v>14</v>
      </c>
      <c r="D875" t="s">
        <v>29</v>
      </c>
      <c r="E875" t="s">
        <v>19</v>
      </c>
      <c r="F875" t="s">
        <v>20</v>
      </c>
      <c r="G875" s="4">
        <v>146295</v>
      </c>
      <c r="H875" s="4">
        <v>3394</v>
      </c>
      <c r="I875" s="5">
        <v>2.3199999999999998E-2</v>
      </c>
      <c r="J875" s="2">
        <v>3.41</v>
      </c>
      <c r="K875" s="6">
        <v>11573.54</v>
      </c>
      <c r="L875" s="4">
        <v>195</v>
      </c>
      <c r="M875" s="2">
        <v>59.35</v>
      </c>
      <c r="N875" s="6">
        <v>49666.69</v>
      </c>
      <c r="O875" s="6">
        <f t="shared" si="66"/>
        <v>38093.15</v>
      </c>
      <c r="P875" s="6">
        <f t="shared" si="67"/>
        <v>3.2914000383633701</v>
      </c>
      <c r="Q875" s="3">
        <v>4.29</v>
      </c>
      <c r="R875" t="str">
        <f t="shared" si="68"/>
        <v>High</v>
      </c>
      <c r="S875" t="str">
        <f t="shared" si="69"/>
        <v>Valid</v>
      </c>
    </row>
    <row r="876" spans="1:19" x14ac:dyDescent="0.25">
      <c r="A876" s="1">
        <v>45558</v>
      </c>
      <c r="B876" s="1" t="str">
        <f t="shared" si="65"/>
        <v>2024-09</v>
      </c>
      <c r="C876" t="s">
        <v>28</v>
      </c>
      <c r="D876" t="s">
        <v>15</v>
      </c>
      <c r="E876" t="s">
        <v>25</v>
      </c>
      <c r="F876" t="s">
        <v>31</v>
      </c>
      <c r="G876" s="4">
        <v>29343</v>
      </c>
      <c r="H876" s="4">
        <v>346</v>
      </c>
      <c r="I876" s="5">
        <v>1.18E-2</v>
      </c>
      <c r="J876" s="2">
        <v>2.0099999999999998</v>
      </c>
      <c r="K876" s="6">
        <v>695.46</v>
      </c>
      <c r="L876" s="4">
        <v>7</v>
      </c>
      <c r="M876" s="2">
        <v>99.35</v>
      </c>
      <c r="N876" s="6">
        <v>672.01</v>
      </c>
      <c r="O876" s="6">
        <f t="shared" si="66"/>
        <v>-23.450000000000045</v>
      </c>
      <c r="P876" s="6">
        <f t="shared" si="67"/>
        <v>-3.3718689788054014E-2</v>
      </c>
      <c r="Q876" s="3">
        <v>0.97</v>
      </c>
      <c r="R876" t="str">
        <f t="shared" si="68"/>
        <v>Low</v>
      </c>
      <c r="S876" t="str">
        <f t="shared" si="69"/>
        <v>Valid</v>
      </c>
    </row>
    <row r="877" spans="1:19" x14ac:dyDescent="0.25">
      <c r="A877" s="1">
        <v>45560</v>
      </c>
      <c r="B877" s="1" t="str">
        <f t="shared" si="65"/>
        <v>2024-09</v>
      </c>
      <c r="C877" t="s">
        <v>18</v>
      </c>
      <c r="D877" t="s">
        <v>29</v>
      </c>
      <c r="E877" t="s">
        <v>19</v>
      </c>
      <c r="F877" t="s">
        <v>32</v>
      </c>
      <c r="G877" s="4">
        <v>154712</v>
      </c>
      <c r="H877" s="4">
        <v>10288</v>
      </c>
      <c r="I877" s="5">
        <v>6.6500000000000004E-2</v>
      </c>
      <c r="J877" s="2">
        <v>1.08</v>
      </c>
      <c r="K877" s="6">
        <v>11111.04</v>
      </c>
      <c r="L877" s="4">
        <v>439</v>
      </c>
      <c r="M877" s="2">
        <v>25.31</v>
      </c>
      <c r="N877" s="6">
        <v>80440.02</v>
      </c>
      <c r="O877" s="6">
        <f t="shared" si="66"/>
        <v>69328.98000000001</v>
      </c>
      <c r="P877" s="6">
        <f t="shared" si="67"/>
        <v>6.239648133748056</v>
      </c>
      <c r="Q877" s="3">
        <v>7.24</v>
      </c>
      <c r="R877" t="str">
        <f t="shared" si="68"/>
        <v>High</v>
      </c>
      <c r="S877" t="str">
        <f t="shared" si="69"/>
        <v>Valid</v>
      </c>
    </row>
    <row r="878" spans="1:19" x14ac:dyDescent="0.25">
      <c r="A878" s="1">
        <v>45388</v>
      </c>
      <c r="B878" s="1" t="str">
        <f t="shared" si="65"/>
        <v>2024-04</v>
      </c>
      <c r="C878" t="s">
        <v>18</v>
      </c>
      <c r="D878" t="s">
        <v>21</v>
      </c>
      <c r="E878" t="s">
        <v>19</v>
      </c>
      <c r="F878" t="s">
        <v>26</v>
      </c>
      <c r="G878" s="4">
        <v>60438</v>
      </c>
      <c r="H878" s="4">
        <v>5554</v>
      </c>
      <c r="I878" s="5">
        <v>9.1899999999999996E-2</v>
      </c>
      <c r="J878" s="2">
        <v>1.44</v>
      </c>
      <c r="K878" s="6">
        <v>7997.76</v>
      </c>
      <c r="L878" s="4">
        <v>286</v>
      </c>
      <c r="M878" s="2">
        <v>27.96</v>
      </c>
      <c r="N878" s="6">
        <v>35506.6</v>
      </c>
      <c r="O878" s="6">
        <f t="shared" si="66"/>
        <v>27508.839999999997</v>
      </c>
      <c r="P878" s="6">
        <f t="shared" si="67"/>
        <v>3.4395680790621368</v>
      </c>
      <c r="Q878" s="3">
        <v>4.4400000000000004</v>
      </c>
      <c r="R878" t="str">
        <f t="shared" si="68"/>
        <v>High</v>
      </c>
      <c r="S878" t="str">
        <f t="shared" si="69"/>
        <v>Valid</v>
      </c>
    </row>
    <row r="879" spans="1:19" x14ac:dyDescent="0.25">
      <c r="A879" s="1">
        <v>45444</v>
      </c>
      <c r="B879" s="1" t="str">
        <f t="shared" si="65"/>
        <v>2024-06</v>
      </c>
      <c r="C879" t="s">
        <v>14</v>
      </c>
      <c r="D879" t="s">
        <v>24</v>
      </c>
      <c r="E879" t="s">
        <v>19</v>
      </c>
      <c r="F879" t="s">
        <v>32</v>
      </c>
      <c r="G879" s="4">
        <v>18149</v>
      </c>
      <c r="H879" s="4">
        <v>918</v>
      </c>
      <c r="I879" s="5">
        <v>5.0599999999999999E-2</v>
      </c>
      <c r="J879" s="2">
        <v>1.62</v>
      </c>
      <c r="K879" s="6">
        <v>1487.16</v>
      </c>
      <c r="L879" s="4">
        <v>14</v>
      </c>
      <c r="M879" s="2">
        <v>106.23</v>
      </c>
      <c r="N879" s="6">
        <v>3557.93</v>
      </c>
      <c r="O879" s="6">
        <f t="shared" si="66"/>
        <v>2070.7699999999995</v>
      </c>
      <c r="P879" s="6">
        <f t="shared" si="67"/>
        <v>1.3924325560128026</v>
      </c>
      <c r="Q879" s="3">
        <v>2.39</v>
      </c>
      <c r="R879" t="str">
        <f t="shared" si="68"/>
        <v>Medium</v>
      </c>
      <c r="S879" t="str">
        <f t="shared" si="69"/>
        <v>Valid</v>
      </c>
    </row>
    <row r="880" spans="1:19" x14ac:dyDescent="0.25">
      <c r="A880" s="1">
        <v>45567</v>
      </c>
      <c r="B880" s="1" t="str">
        <f t="shared" si="65"/>
        <v>2024-10</v>
      </c>
      <c r="C880" t="s">
        <v>18</v>
      </c>
      <c r="D880" t="s">
        <v>24</v>
      </c>
      <c r="E880" t="s">
        <v>25</v>
      </c>
      <c r="F880" t="s">
        <v>26</v>
      </c>
      <c r="G880" s="4">
        <v>39626</v>
      </c>
      <c r="H880" s="4">
        <v>1172</v>
      </c>
      <c r="I880" s="5">
        <v>2.9600000000000001E-2</v>
      </c>
      <c r="J880" s="2">
        <v>0.57999999999999996</v>
      </c>
      <c r="K880" s="6">
        <v>679.76</v>
      </c>
      <c r="L880" s="4">
        <v>22</v>
      </c>
      <c r="M880" s="2">
        <v>30.9</v>
      </c>
      <c r="N880" s="6">
        <v>1100.5899999999999</v>
      </c>
      <c r="O880" s="6">
        <f t="shared" si="66"/>
        <v>420.82999999999993</v>
      </c>
      <c r="P880" s="6">
        <f t="shared" si="67"/>
        <v>0.61908614805225359</v>
      </c>
      <c r="Q880" s="3">
        <v>1.62</v>
      </c>
      <c r="R880" t="str">
        <f t="shared" si="68"/>
        <v>Medium</v>
      </c>
      <c r="S880" t="str">
        <f t="shared" si="69"/>
        <v>Valid</v>
      </c>
    </row>
    <row r="881" spans="1:19" x14ac:dyDescent="0.25">
      <c r="A881" s="1">
        <v>45402</v>
      </c>
      <c r="B881" s="1" t="str">
        <f t="shared" si="65"/>
        <v>2024-04</v>
      </c>
      <c r="C881" t="s">
        <v>18</v>
      </c>
      <c r="D881" t="s">
        <v>24</v>
      </c>
      <c r="E881" t="s">
        <v>30</v>
      </c>
      <c r="F881" t="s">
        <v>17</v>
      </c>
      <c r="G881" s="4">
        <v>103730</v>
      </c>
      <c r="H881" s="4">
        <v>4335</v>
      </c>
      <c r="I881" s="5">
        <v>4.1799999999999997E-2</v>
      </c>
      <c r="J881" s="2">
        <v>1.48</v>
      </c>
      <c r="K881" s="6">
        <v>6415.8</v>
      </c>
      <c r="L881" s="4">
        <v>104</v>
      </c>
      <c r="M881" s="2">
        <v>61.69</v>
      </c>
      <c r="N881" s="6">
        <v>27379.91</v>
      </c>
      <c r="O881" s="6">
        <f t="shared" si="66"/>
        <v>20964.11</v>
      </c>
      <c r="P881" s="6">
        <f t="shared" si="67"/>
        <v>3.2675753608279559</v>
      </c>
      <c r="Q881" s="3">
        <v>4.2699999999999996</v>
      </c>
      <c r="R881" t="str">
        <f t="shared" si="68"/>
        <v>High</v>
      </c>
      <c r="S881" t="str">
        <f t="shared" si="69"/>
        <v>Valid</v>
      </c>
    </row>
    <row r="882" spans="1:19" x14ac:dyDescent="0.25">
      <c r="A882" s="1">
        <v>45472</v>
      </c>
      <c r="B882" s="1" t="str">
        <f t="shared" si="65"/>
        <v>2024-06</v>
      </c>
      <c r="C882" t="s">
        <v>14</v>
      </c>
      <c r="D882" t="s">
        <v>29</v>
      </c>
      <c r="E882" t="s">
        <v>22</v>
      </c>
      <c r="F882" t="s">
        <v>23</v>
      </c>
      <c r="G882" s="4">
        <v>35346</v>
      </c>
      <c r="H882" s="4">
        <v>1279</v>
      </c>
      <c r="I882" s="5">
        <v>3.6200000000000003E-2</v>
      </c>
      <c r="J882" s="2">
        <v>2.54</v>
      </c>
      <c r="K882" s="6">
        <v>3248.66</v>
      </c>
      <c r="L882" s="4">
        <v>48</v>
      </c>
      <c r="M882" s="2">
        <v>67.680000000000007</v>
      </c>
      <c r="N882" s="6">
        <v>1649.56</v>
      </c>
      <c r="O882" s="6">
        <f t="shared" si="66"/>
        <v>-1599.1</v>
      </c>
      <c r="P882" s="6">
        <f t="shared" si="67"/>
        <v>-0.49223372098034268</v>
      </c>
      <c r="Q882" s="3">
        <v>0.51</v>
      </c>
      <c r="R882" t="str">
        <f t="shared" si="68"/>
        <v>Low</v>
      </c>
      <c r="S882" t="str">
        <f t="shared" si="69"/>
        <v>Valid</v>
      </c>
    </row>
    <row r="883" spans="1:19" x14ac:dyDescent="0.25">
      <c r="A883" s="1">
        <v>45321</v>
      </c>
      <c r="B883" s="1" t="str">
        <f t="shared" si="65"/>
        <v>2024-01</v>
      </c>
      <c r="C883" t="s">
        <v>28</v>
      </c>
      <c r="D883" t="s">
        <v>21</v>
      </c>
      <c r="E883" t="s">
        <v>22</v>
      </c>
      <c r="F883" t="s">
        <v>32</v>
      </c>
      <c r="G883" s="4">
        <v>57776</v>
      </c>
      <c r="H883" s="4">
        <v>1490</v>
      </c>
      <c r="I883" s="5">
        <v>2.58E-2</v>
      </c>
      <c r="J883" s="2">
        <v>1.18</v>
      </c>
      <c r="K883" s="6">
        <v>1758.2</v>
      </c>
      <c r="L883" s="4">
        <v>107</v>
      </c>
      <c r="M883" s="2">
        <v>16.43</v>
      </c>
      <c r="N883" s="6">
        <v>22435.51</v>
      </c>
      <c r="O883" s="6">
        <f t="shared" si="66"/>
        <v>20677.309999999998</v>
      </c>
      <c r="P883" s="6">
        <f t="shared" si="67"/>
        <v>11.760499374360139</v>
      </c>
      <c r="Q883" s="3">
        <v>12.76</v>
      </c>
      <c r="R883" t="str">
        <f t="shared" si="68"/>
        <v>High</v>
      </c>
      <c r="S883" t="str">
        <f t="shared" si="69"/>
        <v>Valid</v>
      </c>
    </row>
    <row r="884" spans="1:19" x14ac:dyDescent="0.25">
      <c r="A884" s="1">
        <v>45560</v>
      </c>
      <c r="B884" s="1" t="str">
        <f t="shared" si="65"/>
        <v>2024-09</v>
      </c>
      <c r="C884" t="s">
        <v>28</v>
      </c>
      <c r="D884" t="s">
        <v>24</v>
      </c>
      <c r="E884" t="s">
        <v>25</v>
      </c>
      <c r="F884" t="s">
        <v>17</v>
      </c>
      <c r="G884" s="4">
        <v>178916</v>
      </c>
      <c r="H884" s="4">
        <v>4723</v>
      </c>
      <c r="I884" s="5">
        <v>2.64E-2</v>
      </c>
      <c r="J884" s="2">
        <v>1.54</v>
      </c>
      <c r="K884" s="6">
        <v>7273.42</v>
      </c>
      <c r="L884" s="4">
        <v>147</v>
      </c>
      <c r="M884" s="2">
        <v>49.48</v>
      </c>
      <c r="N884" s="6">
        <v>29612.74</v>
      </c>
      <c r="O884" s="6">
        <f t="shared" si="66"/>
        <v>22339.32</v>
      </c>
      <c r="P884" s="6">
        <f t="shared" si="67"/>
        <v>3.0713639525835164</v>
      </c>
      <c r="Q884" s="3">
        <v>4.07</v>
      </c>
      <c r="R884" t="str">
        <f t="shared" si="68"/>
        <v>High</v>
      </c>
      <c r="S884" t="str">
        <f t="shared" si="69"/>
        <v>Valid</v>
      </c>
    </row>
    <row r="885" spans="1:19" x14ac:dyDescent="0.25">
      <c r="A885" s="1">
        <v>45641</v>
      </c>
      <c r="B885" s="1" t="str">
        <f t="shared" si="65"/>
        <v>2024-12</v>
      </c>
      <c r="C885" t="s">
        <v>28</v>
      </c>
      <c r="D885" t="s">
        <v>15</v>
      </c>
      <c r="E885" t="s">
        <v>16</v>
      </c>
      <c r="F885" t="s">
        <v>27</v>
      </c>
      <c r="G885" s="4">
        <v>34778</v>
      </c>
      <c r="H885" s="4">
        <v>705</v>
      </c>
      <c r="I885" s="5">
        <v>2.0299999999999999E-2</v>
      </c>
      <c r="J885" s="2">
        <v>1.56</v>
      </c>
      <c r="K885" s="6">
        <v>1099.8</v>
      </c>
      <c r="L885" s="4">
        <v>35</v>
      </c>
      <c r="M885" s="2">
        <v>31.42</v>
      </c>
      <c r="N885" s="6">
        <v>2280.29</v>
      </c>
      <c r="O885" s="6">
        <f t="shared" si="66"/>
        <v>1180.49</v>
      </c>
      <c r="P885" s="6">
        <f t="shared" si="67"/>
        <v>1.0733678850700128</v>
      </c>
      <c r="Q885" s="3">
        <v>2.0699999999999998</v>
      </c>
      <c r="R885" t="str">
        <f t="shared" si="68"/>
        <v>Medium</v>
      </c>
      <c r="S885" t="str">
        <f t="shared" si="69"/>
        <v>Valid</v>
      </c>
    </row>
    <row r="886" spans="1:19" x14ac:dyDescent="0.25">
      <c r="A886" s="1">
        <v>45448</v>
      </c>
      <c r="B886" s="1" t="str">
        <f t="shared" si="65"/>
        <v>2024-06</v>
      </c>
      <c r="C886" t="s">
        <v>18</v>
      </c>
      <c r="D886" t="s">
        <v>15</v>
      </c>
      <c r="E886" t="s">
        <v>16</v>
      </c>
      <c r="F886" t="s">
        <v>32</v>
      </c>
      <c r="G886" s="4">
        <v>179120</v>
      </c>
      <c r="H886" s="4">
        <v>8794</v>
      </c>
      <c r="I886" s="5">
        <v>4.9099999999999998E-2</v>
      </c>
      <c r="J886" s="2">
        <v>0.96</v>
      </c>
      <c r="K886" s="6">
        <v>8442.24</v>
      </c>
      <c r="L886" s="4">
        <v>646</v>
      </c>
      <c r="M886" s="2">
        <v>13.07</v>
      </c>
      <c r="N886" s="6">
        <v>31918.959999999999</v>
      </c>
      <c r="O886" s="6">
        <f t="shared" si="66"/>
        <v>23476.720000000001</v>
      </c>
      <c r="P886" s="6">
        <f t="shared" si="67"/>
        <v>2.7808638465620499</v>
      </c>
      <c r="Q886" s="3">
        <v>3.78</v>
      </c>
      <c r="R886" t="str">
        <f t="shared" si="68"/>
        <v>High</v>
      </c>
      <c r="S886" t="str">
        <f t="shared" si="69"/>
        <v>Valid</v>
      </c>
    </row>
    <row r="887" spans="1:19" x14ac:dyDescent="0.25">
      <c r="A887" s="1">
        <v>45462</v>
      </c>
      <c r="B887" s="1" t="str">
        <f t="shared" si="65"/>
        <v>2024-06</v>
      </c>
      <c r="C887" t="s">
        <v>28</v>
      </c>
      <c r="D887" t="s">
        <v>29</v>
      </c>
      <c r="E887" t="s">
        <v>16</v>
      </c>
      <c r="F887" t="s">
        <v>17</v>
      </c>
      <c r="G887" s="4">
        <v>91706</v>
      </c>
      <c r="H887" s="4">
        <v>1650</v>
      </c>
      <c r="I887" s="5">
        <v>1.7999999999999999E-2</v>
      </c>
      <c r="J887" s="2">
        <v>1.68</v>
      </c>
      <c r="K887" s="6">
        <v>2772</v>
      </c>
      <c r="L887" s="4">
        <v>80</v>
      </c>
      <c r="M887" s="2">
        <v>34.65</v>
      </c>
      <c r="N887" s="6">
        <v>8391.32</v>
      </c>
      <c r="O887" s="6">
        <f t="shared" si="66"/>
        <v>5619.32</v>
      </c>
      <c r="P887" s="6">
        <f t="shared" si="67"/>
        <v>2.0271717171717172</v>
      </c>
      <c r="Q887" s="3">
        <v>3.03</v>
      </c>
      <c r="R887" t="str">
        <f t="shared" si="68"/>
        <v>High</v>
      </c>
      <c r="S887" t="str">
        <f t="shared" si="69"/>
        <v>Valid</v>
      </c>
    </row>
    <row r="888" spans="1:19" x14ac:dyDescent="0.25">
      <c r="A888" s="1">
        <v>45551</v>
      </c>
      <c r="B888" s="1" t="str">
        <f t="shared" si="65"/>
        <v>2024-09</v>
      </c>
      <c r="C888" t="s">
        <v>28</v>
      </c>
      <c r="D888" t="s">
        <v>29</v>
      </c>
      <c r="E888" t="s">
        <v>19</v>
      </c>
      <c r="F888" t="s">
        <v>26</v>
      </c>
      <c r="G888" s="4">
        <v>7056</v>
      </c>
      <c r="H888" s="4">
        <v>227</v>
      </c>
      <c r="I888" s="5">
        <v>3.2199999999999999E-2</v>
      </c>
      <c r="J888" s="2">
        <v>0.82</v>
      </c>
      <c r="K888" s="6">
        <v>186.14</v>
      </c>
      <c r="L888" s="4">
        <v>6</v>
      </c>
      <c r="M888" s="2">
        <v>31.02</v>
      </c>
      <c r="N888" s="6">
        <v>1653.16</v>
      </c>
      <c r="O888" s="6">
        <f t="shared" si="66"/>
        <v>1467.02</v>
      </c>
      <c r="P888" s="6">
        <f t="shared" si="67"/>
        <v>7.8812721607392291</v>
      </c>
      <c r="Q888" s="3">
        <v>8.8800000000000008</v>
      </c>
      <c r="R888" t="str">
        <f t="shared" si="68"/>
        <v>High</v>
      </c>
      <c r="S888" t="str">
        <f t="shared" si="69"/>
        <v>Valid</v>
      </c>
    </row>
    <row r="889" spans="1:19" x14ac:dyDescent="0.25">
      <c r="A889" s="1">
        <v>45312</v>
      </c>
      <c r="B889" s="1" t="str">
        <f t="shared" si="65"/>
        <v>2024-01</v>
      </c>
      <c r="C889" t="s">
        <v>28</v>
      </c>
      <c r="D889" t="s">
        <v>29</v>
      </c>
      <c r="E889" t="s">
        <v>30</v>
      </c>
      <c r="F889" t="s">
        <v>26</v>
      </c>
      <c r="G889" s="4">
        <v>161646</v>
      </c>
      <c r="H889" s="4">
        <v>5253</v>
      </c>
      <c r="I889" s="5">
        <v>3.2500000000000001E-2</v>
      </c>
      <c r="J889" s="2">
        <v>1</v>
      </c>
      <c r="K889" s="6">
        <v>5253</v>
      </c>
      <c r="L889" s="4">
        <v>228</v>
      </c>
      <c r="M889" s="2">
        <v>23.04</v>
      </c>
      <c r="N889" s="6">
        <v>43732.39</v>
      </c>
      <c r="O889" s="6">
        <f t="shared" si="66"/>
        <v>38479.39</v>
      </c>
      <c r="P889" s="6">
        <f t="shared" si="67"/>
        <v>7.3252217780316009</v>
      </c>
      <c r="Q889" s="3">
        <v>8.33</v>
      </c>
      <c r="R889" t="str">
        <f t="shared" si="68"/>
        <v>High</v>
      </c>
      <c r="S889" t="str">
        <f t="shared" si="69"/>
        <v>Valid</v>
      </c>
    </row>
    <row r="890" spans="1:19" x14ac:dyDescent="0.25">
      <c r="A890" s="1">
        <v>45387</v>
      </c>
      <c r="B890" s="1" t="str">
        <f t="shared" si="65"/>
        <v>2024-04</v>
      </c>
      <c r="C890" t="s">
        <v>14</v>
      </c>
      <c r="D890" t="s">
        <v>21</v>
      </c>
      <c r="E890" t="s">
        <v>25</v>
      </c>
      <c r="F890" t="s">
        <v>27</v>
      </c>
      <c r="G890" s="4">
        <v>177115</v>
      </c>
      <c r="H890" s="4">
        <v>8005</v>
      </c>
      <c r="I890" s="5">
        <v>4.5199999999999997E-2</v>
      </c>
      <c r="J890" s="2">
        <v>2.9</v>
      </c>
      <c r="K890" s="6">
        <v>23214.5</v>
      </c>
      <c r="L890" s="4">
        <v>460</v>
      </c>
      <c r="M890" s="2">
        <v>50.47</v>
      </c>
      <c r="N890" s="6">
        <v>108688.43</v>
      </c>
      <c r="O890" s="6">
        <f t="shared" si="66"/>
        <v>85473.93</v>
      </c>
      <c r="P890" s="6">
        <f t="shared" si="67"/>
        <v>3.6819199207391931</v>
      </c>
      <c r="Q890" s="3">
        <v>4.68</v>
      </c>
      <c r="R890" t="str">
        <f t="shared" si="68"/>
        <v>High</v>
      </c>
      <c r="S890" t="str">
        <f t="shared" si="69"/>
        <v>Valid</v>
      </c>
    </row>
    <row r="891" spans="1:19" x14ac:dyDescent="0.25">
      <c r="A891" s="1">
        <v>45568</v>
      </c>
      <c r="B891" s="1" t="str">
        <f t="shared" si="65"/>
        <v>2024-10</v>
      </c>
      <c r="C891" t="s">
        <v>18</v>
      </c>
      <c r="D891" t="s">
        <v>15</v>
      </c>
      <c r="E891" t="s">
        <v>22</v>
      </c>
      <c r="F891" t="s">
        <v>32</v>
      </c>
      <c r="G891" s="4">
        <v>141087</v>
      </c>
      <c r="H891" s="4">
        <v>10609</v>
      </c>
      <c r="I891" s="5">
        <v>7.5200000000000003E-2</v>
      </c>
      <c r="J891" s="2">
        <v>0.44</v>
      </c>
      <c r="K891" s="6">
        <v>4667.96</v>
      </c>
      <c r="L891" s="4">
        <v>737</v>
      </c>
      <c r="M891" s="2">
        <v>6.33</v>
      </c>
      <c r="N891" s="6">
        <v>190244.62</v>
      </c>
      <c r="O891" s="6">
        <f t="shared" si="66"/>
        <v>185576.66</v>
      </c>
      <c r="P891" s="6">
        <f t="shared" si="67"/>
        <v>39.75540921516037</v>
      </c>
      <c r="Q891" s="3">
        <v>40.76</v>
      </c>
      <c r="R891" t="str">
        <f t="shared" si="68"/>
        <v>High</v>
      </c>
      <c r="S891" t="str">
        <f t="shared" si="69"/>
        <v>Valid</v>
      </c>
    </row>
    <row r="892" spans="1:19" x14ac:dyDescent="0.25">
      <c r="A892" s="1">
        <v>45599</v>
      </c>
      <c r="B892" s="1" t="str">
        <f t="shared" si="65"/>
        <v>2024-11</v>
      </c>
      <c r="C892" t="s">
        <v>18</v>
      </c>
      <c r="D892" t="s">
        <v>21</v>
      </c>
      <c r="E892" t="s">
        <v>25</v>
      </c>
      <c r="F892" t="s">
        <v>32</v>
      </c>
      <c r="G892" s="4">
        <v>184745</v>
      </c>
      <c r="H892" s="4">
        <v>12451</v>
      </c>
      <c r="I892" s="5">
        <v>6.7400000000000002E-2</v>
      </c>
      <c r="J892" s="2">
        <v>1.67</v>
      </c>
      <c r="K892" s="6">
        <v>20793.169999999998</v>
      </c>
      <c r="L892" s="4">
        <v>404</v>
      </c>
      <c r="M892" s="2">
        <v>51.47</v>
      </c>
      <c r="N892" s="6">
        <v>23357.33</v>
      </c>
      <c r="O892" s="6">
        <f t="shared" si="66"/>
        <v>2564.1600000000035</v>
      </c>
      <c r="P892" s="6">
        <f t="shared" si="67"/>
        <v>0.12331741624773922</v>
      </c>
      <c r="Q892" s="3">
        <v>1.1200000000000001</v>
      </c>
      <c r="R892" t="str">
        <f t="shared" si="68"/>
        <v>Medium</v>
      </c>
      <c r="S892" t="str">
        <f t="shared" si="69"/>
        <v>Valid</v>
      </c>
    </row>
    <row r="893" spans="1:19" x14ac:dyDescent="0.25">
      <c r="A893" s="1">
        <v>45545</v>
      </c>
      <c r="B893" s="1" t="str">
        <f t="shared" si="65"/>
        <v>2024-09</v>
      </c>
      <c r="C893" t="s">
        <v>14</v>
      </c>
      <c r="D893" t="s">
        <v>24</v>
      </c>
      <c r="E893" t="s">
        <v>30</v>
      </c>
      <c r="F893" t="s">
        <v>17</v>
      </c>
      <c r="G893" s="4">
        <v>104969</v>
      </c>
      <c r="H893" s="4">
        <v>5773</v>
      </c>
      <c r="I893" s="5">
        <v>5.5E-2</v>
      </c>
      <c r="J893" s="2">
        <v>1.42</v>
      </c>
      <c r="K893" s="6">
        <v>8197.66</v>
      </c>
      <c r="L893" s="4">
        <v>142</v>
      </c>
      <c r="M893" s="2">
        <v>57.73</v>
      </c>
      <c r="N893" s="6">
        <v>24245.52</v>
      </c>
      <c r="O893" s="6">
        <f t="shared" si="66"/>
        <v>16047.86</v>
      </c>
      <c r="P893" s="6">
        <f t="shared" si="67"/>
        <v>1.9576147339606669</v>
      </c>
      <c r="Q893" s="3">
        <v>2.96</v>
      </c>
      <c r="R893" t="str">
        <f t="shared" si="68"/>
        <v>Medium</v>
      </c>
      <c r="S893" t="str">
        <f t="shared" si="69"/>
        <v>Valid</v>
      </c>
    </row>
    <row r="894" spans="1:19" x14ac:dyDescent="0.25">
      <c r="A894" s="1">
        <v>45446</v>
      </c>
      <c r="B894" s="1" t="str">
        <f t="shared" si="65"/>
        <v>2024-06</v>
      </c>
      <c r="C894" t="s">
        <v>18</v>
      </c>
      <c r="D894" t="s">
        <v>24</v>
      </c>
      <c r="E894" t="s">
        <v>16</v>
      </c>
      <c r="F894" t="s">
        <v>31</v>
      </c>
      <c r="G894" s="4">
        <v>80885</v>
      </c>
      <c r="H894" s="4">
        <v>3995</v>
      </c>
      <c r="I894" s="5">
        <v>4.9399999999999999E-2</v>
      </c>
      <c r="J894" s="2">
        <v>0.44</v>
      </c>
      <c r="K894" s="6">
        <v>1757.8</v>
      </c>
      <c r="L894" s="4">
        <v>79</v>
      </c>
      <c r="M894" s="2">
        <v>22.25</v>
      </c>
      <c r="N894" s="6">
        <v>10692.34</v>
      </c>
      <c r="O894" s="6">
        <f t="shared" si="66"/>
        <v>8934.5400000000009</v>
      </c>
      <c r="P894" s="6">
        <f t="shared" si="67"/>
        <v>5.0827966776652644</v>
      </c>
      <c r="Q894" s="3">
        <v>6.08</v>
      </c>
      <c r="R894" t="str">
        <f t="shared" si="68"/>
        <v>High</v>
      </c>
      <c r="S894" t="str">
        <f t="shared" si="69"/>
        <v>Valid</v>
      </c>
    </row>
    <row r="895" spans="1:19" x14ac:dyDescent="0.25">
      <c r="A895" s="1">
        <v>45397</v>
      </c>
      <c r="B895" s="1" t="str">
        <f t="shared" si="65"/>
        <v>2024-04</v>
      </c>
      <c r="C895" t="s">
        <v>14</v>
      </c>
      <c r="D895" t="s">
        <v>21</v>
      </c>
      <c r="E895" t="s">
        <v>30</v>
      </c>
      <c r="F895" t="s">
        <v>27</v>
      </c>
      <c r="G895" s="4">
        <v>33807</v>
      </c>
      <c r="H895" s="4">
        <v>807</v>
      </c>
      <c r="I895" s="5">
        <v>2.3900000000000001E-2</v>
      </c>
      <c r="J895" s="2">
        <v>2.0299999999999998</v>
      </c>
      <c r="K895" s="6">
        <v>1638.21</v>
      </c>
      <c r="L895" s="4">
        <v>25</v>
      </c>
      <c r="M895" s="2">
        <v>65.53</v>
      </c>
      <c r="N895" s="6">
        <v>5072.7700000000004</v>
      </c>
      <c r="O895" s="6">
        <f t="shared" si="66"/>
        <v>3434.5600000000004</v>
      </c>
      <c r="P895" s="6">
        <f t="shared" si="67"/>
        <v>2.0965321906226921</v>
      </c>
      <c r="Q895" s="3">
        <v>3.1</v>
      </c>
      <c r="R895" t="str">
        <f t="shared" si="68"/>
        <v>High</v>
      </c>
      <c r="S895" t="str">
        <f t="shared" si="69"/>
        <v>Valid</v>
      </c>
    </row>
    <row r="896" spans="1:19" x14ac:dyDescent="0.25">
      <c r="A896" s="1">
        <v>45372</v>
      </c>
      <c r="B896" s="1" t="str">
        <f t="shared" si="65"/>
        <v>2024-03</v>
      </c>
      <c r="C896" t="s">
        <v>28</v>
      </c>
      <c r="D896" t="s">
        <v>15</v>
      </c>
      <c r="E896" t="s">
        <v>25</v>
      </c>
      <c r="F896" t="s">
        <v>31</v>
      </c>
      <c r="G896" s="4">
        <v>198074</v>
      </c>
      <c r="H896" s="4">
        <v>5783</v>
      </c>
      <c r="I896" s="5">
        <v>2.92E-2</v>
      </c>
      <c r="J896" s="2">
        <v>0.61</v>
      </c>
      <c r="K896" s="6">
        <v>3527.63</v>
      </c>
      <c r="L896" s="4">
        <v>263</v>
      </c>
      <c r="M896" s="2">
        <v>13.41</v>
      </c>
      <c r="N896" s="6">
        <v>60037.86</v>
      </c>
      <c r="O896" s="6">
        <f t="shared" si="66"/>
        <v>56510.23</v>
      </c>
      <c r="P896" s="6">
        <f t="shared" si="67"/>
        <v>16.019318919501195</v>
      </c>
      <c r="Q896" s="3">
        <v>17.02</v>
      </c>
      <c r="R896" t="str">
        <f t="shared" si="68"/>
        <v>High</v>
      </c>
      <c r="S896" t="str">
        <f t="shared" si="69"/>
        <v>Valid</v>
      </c>
    </row>
    <row r="897" spans="1:19" x14ac:dyDescent="0.25">
      <c r="A897" s="1">
        <v>45613</v>
      </c>
      <c r="B897" s="1" t="str">
        <f t="shared" si="65"/>
        <v>2024-11</v>
      </c>
      <c r="C897" t="s">
        <v>14</v>
      </c>
      <c r="D897" t="s">
        <v>15</v>
      </c>
      <c r="E897" t="s">
        <v>19</v>
      </c>
      <c r="F897" t="s">
        <v>20</v>
      </c>
      <c r="G897" s="4">
        <v>115282</v>
      </c>
      <c r="H897" s="4">
        <v>4876</v>
      </c>
      <c r="I897" s="5">
        <v>4.2299999999999997E-2</v>
      </c>
      <c r="J897" s="2">
        <v>3.76</v>
      </c>
      <c r="K897" s="6">
        <v>18333.759999999998</v>
      </c>
      <c r="L897" s="4">
        <v>77</v>
      </c>
      <c r="M897" s="2">
        <v>238.1</v>
      </c>
      <c r="N897" s="6">
        <v>2427.15</v>
      </c>
      <c r="O897" s="6">
        <f t="shared" si="66"/>
        <v>-15906.609999999999</v>
      </c>
      <c r="P897" s="6">
        <f t="shared" si="67"/>
        <v>-0.86761308100466028</v>
      </c>
      <c r="Q897" s="3">
        <v>0.13</v>
      </c>
      <c r="R897" t="str">
        <f t="shared" si="68"/>
        <v>Low</v>
      </c>
      <c r="S897" t="str">
        <f t="shared" si="69"/>
        <v>Valid</v>
      </c>
    </row>
    <row r="898" spans="1:19" x14ac:dyDescent="0.25">
      <c r="A898" s="1">
        <v>45349</v>
      </c>
      <c r="B898" s="1" t="str">
        <f t="shared" si="65"/>
        <v>2024-02</v>
      </c>
      <c r="C898" t="s">
        <v>14</v>
      </c>
      <c r="D898" t="s">
        <v>29</v>
      </c>
      <c r="E898" t="s">
        <v>22</v>
      </c>
      <c r="F898" t="s">
        <v>23</v>
      </c>
      <c r="G898" s="4">
        <v>45880</v>
      </c>
      <c r="H898" s="4">
        <v>2817</v>
      </c>
      <c r="I898" s="5">
        <v>6.1400000000000003E-2</v>
      </c>
      <c r="J898" s="2">
        <v>1.1399999999999999</v>
      </c>
      <c r="K898" s="6">
        <v>3211.38</v>
      </c>
      <c r="L898" s="4">
        <v>62</v>
      </c>
      <c r="M898" s="2">
        <v>51.8</v>
      </c>
      <c r="N898" s="6">
        <v>2770.83</v>
      </c>
      <c r="O898" s="6">
        <f t="shared" si="66"/>
        <v>-440.55000000000018</v>
      </c>
      <c r="P898" s="6">
        <f t="shared" si="67"/>
        <v>-0.13718401434897151</v>
      </c>
      <c r="Q898" s="3">
        <v>0.86</v>
      </c>
      <c r="R898" t="str">
        <f t="shared" si="68"/>
        <v>Low</v>
      </c>
      <c r="S898" t="str">
        <f t="shared" si="69"/>
        <v>Valid</v>
      </c>
    </row>
    <row r="899" spans="1:19" x14ac:dyDescent="0.25">
      <c r="A899" s="1">
        <v>45433</v>
      </c>
      <c r="B899" s="1" t="str">
        <f t="shared" ref="B899:B962" si="70">TEXT(A899, "yyyy-mm")</f>
        <v>2024-05</v>
      </c>
      <c r="C899" t="s">
        <v>28</v>
      </c>
      <c r="D899" t="s">
        <v>15</v>
      </c>
      <c r="E899" t="s">
        <v>22</v>
      </c>
      <c r="F899" t="s">
        <v>26</v>
      </c>
      <c r="G899" s="4">
        <v>20993</v>
      </c>
      <c r="H899" s="4">
        <v>583</v>
      </c>
      <c r="I899" s="5">
        <v>2.7799999999999998E-2</v>
      </c>
      <c r="J899" s="2">
        <v>1.28</v>
      </c>
      <c r="K899" s="6">
        <v>746.24</v>
      </c>
      <c r="L899" s="4">
        <v>45</v>
      </c>
      <c r="M899" s="2">
        <v>16.579999999999998</v>
      </c>
      <c r="N899" s="6">
        <v>4493.83</v>
      </c>
      <c r="O899" s="6">
        <f t="shared" ref="O899:O962" si="71">N899-K899</f>
        <v>3747.59</v>
      </c>
      <c r="P899" s="6">
        <f t="shared" ref="P899:P962" si="72">IFERROR(O899/K899, "")</f>
        <v>5.0219634433962268</v>
      </c>
      <c r="Q899" s="3">
        <v>6.02</v>
      </c>
      <c r="R899" t="str">
        <f t="shared" ref="R899:R962" si="73">IF(Q899 &gt;= 3, "High", IF(Q899&gt;=1, "Medium", "Low"))</f>
        <v>High</v>
      </c>
      <c r="S899" t="str">
        <f t="shared" ref="S899:S962" si="74">IF(OR(G899=0, H899&gt;G899, L899&gt;H899), "Invalid", "Valid")</f>
        <v>Valid</v>
      </c>
    </row>
    <row r="900" spans="1:19" x14ac:dyDescent="0.25">
      <c r="A900" s="1">
        <v>45362</v>
      </c>
      <c r="B900" s="1" t="str">
        <f t="shared" si="70"/>
        <v>2024-03</v>
      </c>
      <c r="C900" t="s">
        <v>14</v>
      </c>
      <c r="D900" t="s">
        <v>21</v>
      </c>
      <c r="E900" t="s">
        <v>25</v>
      </c>
      <c r="F900" t="s">
        <v>27</v>
      </c>
      <c r="G900" s="4">
        <v>183448</v>
      </c>
      <c r="H900" s="4">
        <v>8053</v>
      </c>
      <c r="I900" s="5">
        <v>4.3900000000000002E-2</v>
      </c>
      <c r="J900" s="2">
        <v>2.08</v>
      </c>
      <c r="K900" s="6">
        <v>16750.240000000002</v>
      </c>
      <c r="L900" s="4">
        <v>351</v>
      </c>
      <c r="M900" s="2">
        <v>47.72</v>
      </c>
      <c r="N900" s="6">
        <v>74979.38</v>
      </c>
      <c r="O900" s="6">
        <f t="shared" si="71"/>
        <v>58229.14</v>
      </c>
      <c r="P900" s="6">
        <f t="shared" si="72"/>
        <v>3.4763167572524329</v>
      </c>
      <c r="Q900" s="3">
        <v>4.4800000000000004</v>
      </c>
      <c r="R900" t="str">
        <f t="shared" si="73"/>
        <v>High</v>
      </c>
      <c r="S900" t="str">
        <f t="shared" si="74"/>
        <v>Valid</v>
      </c>
    </row>
    <row r="901" spans="1:19" x14ac:dyDescent="0.25">
      <c r="A901" s="1">
        <v>45312</v>
      </c>
      <c r="B901" s="1" t="str">
        <f t="shared" si="70"/>
        <v>2024-01</v>
      </c>
      <c r="C901" t="s">
        <v>18</v>
      </c>
      <c r="D901" t="s">
        <v>24</v>
      </c>
      <c r="E901" t="s">
        <v>19</v>
      </c>
      <c r="F901" t="s">
        <v>17</v>
      </c>
      <c r="G901" s="4">
        <v>119944</v>
      </c>
      <c r="H901" s="4">
        <v>9331</v>
      </c>
      <c r="I901" s="5">
        <v>7.7799999999999994E-2</v>
      </c>
      <c r="J901" s="2">
        <v>0.61</v>
      </c>
      <c r="K901" s="6">
        <v>5691.91</v>
      </c>
      <c r="L901" s="4">
        <v>717</v>
      </c>
      <c r="M901" s="2">
        <v>7.94</v>
      </c>
      <c r="N901" s="6">
        <v>101587.49</v>
      </c>
      <c r="O901" s="6">
        <f t="shared" si="71"/>
        <v>95895.58</v>
      </c>
      <c r="P901" s="6">
        <f t="shared" si="72"/>
        <v>16.847697872945989</v>
      </c>
      <c r="Q901" s="3">
        <v>17.850000000000001</v>
      </c>
      <c r="R901" t="str">
        <f t="shared" si="73"/>
        <v>High</v>
      </c>
      <c r="S901" t="str">
        <f t="shared" si="74"/>
        <v>Valid</v>
      </c>
    </row>
    <row r="902" spans="1:19" x14ac:dyDescent="0.25">
      <c r="A902" s="1">
        <v>45318</v>
      </c>
      <c r="B902" s="1" t="str">
        <f t="shared" si="70"/>
        <v>2024-01</v>
      </c>
      <c r="C902" t="s">
        <v>18</v>
      </c>
      <c r="D902" t="s">
        <v>15</v>
      </c>
      <c r="E902" t="s">
        <v>22</v>
      </c>
      <c r="F902" t="s">
        <v>27</v>
      </c>
      <c r="G902" s="4">
        <v>69198</v>
      </c>
      <c r="H902" s="4">
        <v>3529</v>
      </c>
      <c r="I902" s="5">
        <v>5.0999999999999997E-2</v>
      </c>
      <c r="J902" s="2">
        <v>0.55000000000000004</v>
      </c>
      <c r="K902" s="6">
        <v>1940.95</v>
      </c>
      <c r="L902" s="4">
        <v>256</v>
      </c>
      <c r="M902" s="2">
        <v>7.58</v>
      </c>
      <c r="N902" s="6">
        <v>15199.33</v>
      </c>
      <c r="O902" s="6">
        <f t="shared" si="71"/>
        <v>13258.38</v>
      </c>
      <c r="P902" s="6">
        <f t="shared" si="72"/>
        <v>6.8308714804605986</v>
      </c>
      <c r="Q902" s="3">
        <v>7.83</v>
      </c>
      <c r="R902" t="str">
        <f t="shared" si="73"/>
        <v>High</v>
      </c>
      <c r="S902" t="str">
        <f t="shared" si="74"/>
        <v>Valid</v>
      </c>
    </row>
    <row r="903" spans="1:19" x14ac:dyDescent="0.25">
      <c r="A903" s="1">
        <v>45634</v>
      </c>
      <c r="B903" s="1" t="str">
        <f t="shared" si="70"/>
        <v>2024-12</v>
      </c>
      <c r="C903" t="s">
        <v>28</v>
      </c>
      <c r="D903" t="s">
        <v>15</v>
      </c>
      <c r="E903" t="s">
        <v>22</v>
      </c>
      <c r="F903" t="s">
        <v>20</v>
      </c>
      <c r="G903" s="4">
        <v>46936</v>
      </c>
      <c r="H903" s="4">
        <v>2234</v>
      </c>
      <c r="I903" s="5">
        <v>4.7600000000000003E-2</v>
      </c>
      <c r="J903" s="2">
        <v>0.79</v>
      </c>
      <c r="K903" s="6">
        <v>1764.86</v>
      </c>
      <c r="L903" s="4">
        <v>55</v>
      </c>
      <c r="M903" s="2">
        <v>32.090000000000003</v>
      </c>
      <c r="N903" s="6">
        <v>5977.87</v>
      </c>
      <c r="O903" s="6">
        <f t="shared" si="71"/>
        <v>4213.01</v>
      </c>
      <c r="P903" s="6">
        <f t="shared" si="72"/>
        <v>2.3871638543567197</v>
      </c>
      <c r="Q903" s="3">
        <v>3.39</v>
      </c>
      <c r="R903" t="str">
        <f t="shared" si="73"/>
        <v>High</v>
      </c>
      <c r="S903" t="str">
        <f t="shared" si="74"/>
        <v>Valid</v>
      </c>
    </row>
    <row r="904" spans="1:19" x14ac:dyDescent="0.25">
      <c r="A904" s="1">
        <v>45477</v>
      </c>
      <c r="B904" s="1" t="str">
        <f t="shared" si="70"/>
        <v>2024-07</v>
      </c>
      <c r="C904" t="s">
        <v>18</v>
      </c>
      <c r="D904" t="s">
        <v>21</v>
      </c>
      <c r="E904" t="s">
        <v>19</v>
      </c>
      <c r="F904" t="s">
        <v>31</v>
      </c>
      <c r="G904" s="4">
        <v>21689</v>
      </c>
      <c r="H904" s="4">
        <v>895</v>
      </c>
      <c r="I904" s="5">
        <v>4.1300000000000003E-2</v>
      </c>
      <c r="J904" s="2">
        <v>0.95</v>
      </c>
      <c r="K904" s="6">
        <v>850.25</v>
      </c>
      <c r="L904" s="4">
        <v>22</v>
      </c>
      <c r="M904" s="2">
        <v>38.65</v>
      </c>
      <c r="N904" s="6">
        <v>4747.38</v>
      </c>
      <c r="O904" s="6">
        <f t="shared" si="71"/>
        <v>3897.13</v>
      </c>
      <c r="P904" s="6">
        <f t="shared" si="72"/>
        <v>4.583510732137607</v>
      </c>
      <c r="Q904" s="3">
        <v>5.58</v>
      </c>
      <c r="R904" t="str">
        <f t="shared" si="73"/>
        <v>High</v>
      </c>
      <c r="S904" t="str">
        <f t="shared" si="74"/>
        <v>Valid</v>
      </c>
    </row>
    <row r="905" spans="1:19" x14ac:dyDescent="0.25">
      <c r="A905" s="1">
        <v>45365</v>
      </c>
      <c r="B905" s="1" t="str">
        <f t="shared" si="70"/>
        <v>2024-03</v>
      </c>
      <c r="C905" t="s">
        <v>18</v>
      </c>
      <c r="D905" t="s">
        <v>15</v>
      </c>
      <c r="E905" t="s">
        <v>19</v>
      </c>
      <c r="F905" t="s">
        <v>31</v>
      </c>
      <c r="G905" s="4">
        <v>24504</v>
      </c>
      <c r="H905" s="4">
        <v>899</v>
      </c>
      <c r="I905" s="5">
        <v>3.6700000000000003E-2</v>
      </c>
      <c r="J905" s="2">
        <v>1.42</v>
      </c>
      <c r="K905" s="6">
        <v>1276.58</v>
      </c>
      <c r="L905" s="4">
        <v>41</v>
      </c>
      <c r="M905" s="2">
        <v>31.14</v>
      </c>
      <c r="N905" s="6">
        <v>3721.4</v>
      </c>
      <c r="O905" s="6">
        <f t="shared" si="71"/>
        <v>2444.8200000000002</v>
      </c>
      <c r="P905" s="6">
        <f t="shared" si="72"/>
        <v>1.9151326199689798</v>
      </c>
      <c r="Q905" s="3">
        <v>2.92</v>
      </c>
      <c r="R905" t="str">
        <f t="shared" si="73"/>
        <v>Medium</v>
      </c>
      <c r="S905" t="str">
        <f t="shared" si="74"/>
        <v>Valid</v>
      </c>
    </row>
    <row r="906" spans="1:19" x14ac:dyDescent="0.25">
      <c r="A906" s="1">
        <v>45398</v>
      </c>
      <c r="B906" s="1" t="str">
        <f t="shared" si="70"/>
        <v>2024-04</v>
      </c>
      <c r="C906" t="s">
        <v>28</v>
      </c>
      <c r="D906" t="s">
        <v>24</v>
      </c>
      <c r="E906" t="s">
        <v>30</v>
      </c>
      <c r="F906" t="s">
        <v>27</v>
      </c>
      <c r="G906" s="4">
        <v>119053</v>
      </c>
      <c r="H906" s="4">
        <v>4000</v>
      </c>
      <c r="I906" s="5">
        <v>3.3599999999999998E-2</v>
      </c>
      <c r="J906" s="2">
        <v>1.01</v>
      </c>
      <c r="K906" s="6">
        <v>4040</v>
      </c>
      <c r="L906" s="4">
        <v>152</v>
      </c>
      <c r="M906" s="2">
        <v>26.58</v>
      </c>
      <c r="N906" s="6">
        <v>25959.16</v>
      </c>
      <c r="O906" s="6">
        <f t="shared" si="71"/>
        <v>21919.16</v>
      </c>
      <c r="P906" s="6">
        <f t="shared" si="72"/>
        <v>5.4255346534653466</v>
      </c>
      <c r="Q906" s="3">
        <v>6.43</v>
      </c>
      <c r="R906" t="str">
        <f t="shared" si="73"/>
        <v>High</v>
      </c>
      <c r="S906" t="str">
        <f t="shared" si="74"/>
        <v>Valid</v>
      </c>
    </row>
    <row r="907" spans="1:19" x14ac:dyDescent="0.25">
      <c r="A907" s="1">
        <v>45312</v>
      </c>
      <c r="B907" s="1" t="str">
        <f t="shared" si="70"/>
        <v>2024-01</v>
      </c>
      <c r="C907" t="s">
        <v>18</v>
      </c>
      <c r="D907" t="s">
        <v>15</v>
      </c>
      <c r="E907" t="s">
        <v>22</v>
      </c>
      <c r="F907" t="s">
        <v>27</v>
      </c>
      <c r="G907" s="4">
        <v>160522</v>
      </c>
      <c r="H907" s="4">
        <v>5425</v>
      </c>
      <c r="I907" s="5">
        <v>3.3799999999999997E-2</v>
      </c>
      <c r="J907" s="2">
        <v>1.1100000000000001</v>
      </c>
      <c r="K907" s="6">
        <v>6021.75</v>
      </c>
      <c r="L907" s="4">
        <v>398</v>
      </c>
      <c r="M907" s="2">
        <v>15.13</v>
      </c>
      <c r="N907" s="6">
        <v>79057.929999999993</v>
      </c>
      <c r="O907" s="6">
        <f t="shared" si="71"/>
        <v>73036.179999999993</v>
      </c>
      <c r="P907" s="6">
        <f t="shared" si="72"/>
        <v>12.128730020342923</v>
      </c>
      <c r="Q907" s="3">
        <v>13.13</v>
      </c>
      <c r="R907" t="str">
        <f t="shared" si="73"/>
        <v>High</v>
      </c>
      <c r="S907" t="str">
        <f t="shared" si="74"/>
        <v>Valid</v>
      </c>
    </row>
    <row r="908" spans="1:19" x14ac:dyDescent="0.25">
      <c r="A908" s="1">
        <v>45508</v>
      </c>
      <c r="B908" s="1" t="str">
        <f t="shared" si="70"/>
        <v>2024-08</v>
      </c>
      <c r="C908" t="s">
        <v>14</v>
      </c>
      <c r="D908" t="s">
        <v>24</v>
      </c>
      <c r="E908" t="s">
        <v>19</v>
      </c>
      <c r="F908" t="s">
        <v>20</v>
      </c>
      <c r="G908" s="4">
        <v>158627</v>
      </c>
      <c r="H908" s="4">
        <v>7725</v>
      </c>
      <c r="I908" s="5">
        <v>4.87E-2</v>
      </c>
      <c r="J908" s="2">
        <v>2.88</v>
      </c>
      <c r="K908" s="6">
        <v>22248</v>
      </c>
      <c r="L908" s="4">
        <v>299</v>
      </c>
      <c r="M908" s="2">
        <v>74.41</v>
      </c>
      <c r="N908" s="6">
        <v>66700.13</v>
      </c>
      <c r="O908" s="6">
        <f t="shared" si="71"/>
        <v>44452.130000000005</v>
      </c>
      <c r="P908" s="6">
        <f t="shared" si="72"/>
        <v>1.9980281373606619</v>
      </c>
      <c r="Q908" s="3">
        <v>3</v>
      </c>
      <c r="R908" t="str">
        <f t="shared" si="73"/>
        <v>High</v>
      </c>
      <c r="S908" t="str">
        <f t="shared" si="74"/>
        <v>Valid</v>
      </c>
    </row>
    <row r="909" spans="1:19" x14ac:dyDescent="0.25">
      <c r="A909" s="1">
        <v>45469</v>
      </c>
      <c r="B909" s="1" t="str">
        <f t="shared" si="70"/>
        <v>2024-06</v>
      </c>
      <c r="C909" t="s">
        <v>28</v>
      </c>
      <c r="D909" t="s">
        <v>21</v>
      </c>
      <c r="E909" t="s">
        <v>25</v>
      </c>
      <c r="F909" t="s">
        <v>26</v>
      </c>
      <c r="G909" s="4">
        <v>157955</v>
      </c>
      <c r="H909" s="4">
        <v>2780</v>
      </c>
      <c r="I909" s="5">
        <v>1.7600000000000001E-2</v>
      </c>
      <c r="J909" s="2">
        <v>0.62</v>
      </c>
      <c r="K909" s="6">
        <v>1723.6</v>
      </c>
      <c r="L909" s="4">
        <v>202</v>
      </c>
      <c r="M909" s="2">
        <v>8.5299999999999994</v>
      </c>
      <c r="N909" s="6">
        <v>49191.360000000001</v>
      </c>
      <c r="O909" s="6">
        <f t="shared" si="71"/>
        <v>47467.76</v>
      </c>
      <c r="P909" s="6">
        <f t="shared" si="72"/>
        <v>27.539893246692969</v>
      </c>
      <c r="Q909" s="3">
        <v>28.54</v>
      </c>
      <c r="R909" t="str">
        <f t="shared" si="73"/>
        <v>High</v>
      </c>
      <c r="S909" t="str">
        <f t="shared" si="74"/>
        <v>Valid</v>
      </c>
    </row>
    <row r="910" spans="1:19" x14ac:dyDescent="0.25">
      <c r="A910" s="1">
        <v>45367</v>
      </c>
      <c r="B910" s="1" t="str">
        <f t="shared" si="70"/>
        <v>2024-03</v>
      </c>
      <c r="C910" t="s">
        <v>28</v>
      </c>
      <c r="D910" t="s">
        <v>24</v>
      </c>
      <c r="E910" t="s">
        <v>19</v>
      </c>
      <c r="F910" t="s">
        <v>23</v>
      </c>
      <c r="G910" s="4">
        <v>196112</v>
      </c>
      <c r="H910" s="4">
        <v>2647</v>
      </c>
      <c r="I910" s="5">
        <v>1.35E-2</v>
      </c>
      <c r="J910" s="2">
        <v>1.51</v>
      </c>
      <c r="K910" s="6">
        <v>3996.97</v>
      </c>
      <c r="L910" s="4">
        <v>187</v>
      </c>
      <c r="M910" s="2">
        <v>21.37</v>
      </c>
      <c r="N910" s="6">
        <v>16387.669999999998</v>
      </c>
      <c r="O910" s="6">
        <f t="shared" si="71"/>
        <v>12390.699999999999</v>
      </c>
      <c r="P910" s="6">
        <f t="shared" si="72"/>
        <v>3.1000232676252262</v>
      </c>
      <c r="Q910" s="3">
        <v>4.0999999999999996</v>
      </c>
      <c r="R910" t="str">
        <f t="shared" si="73"/>
        <v>High</v>
      </c>
      <c r="S910" t="str">
        <f t="shared" si="74"/>
        <v>Valid</v>
      </c>
    </row>
    <row r="911" spans="1:19" x14ac:dyDescent="0.25">
      <c r="A911" s="1">
        <v>45337</v>
      </c>
      <c r="B911" s="1" t="str">
        <f t="shared" si="70"/>
        <v>2024-02</v>
      </c>
      <c r="C911" t="s">
        <v>28</v>
      </c>
      <c r="D911" t="s">
        <v>29</v>
      </c>
      <c r="E911" t="s">
        <v>19</v>
      </c>
      <c r="F911" t="s">
        <v>26</v>
      </c>
      <c r="G911" s="4">
        <v>67167</v>
      </c>
      <c r="H911" s="4">
        <v>1907</v>
      </c>
      <c r="I911" s="5">
        <v>2.8400000000000002E-2</v>
      </c>
      <c r="J911" s="2">
        <v>1.43</v>
      </c>
      <c r="K911" s="6">
        <v>2727.01</v>
      </c>
      <c r="L911" s="4">
        <v>114</v>
      </c>
      <c r="M911" s="2">
        <v>23.92</v>
      </c>
      <c r="N911" s="6">
        <v>20596.75</v>
      </c>
      <c r="O911" s="6">
        <f t="shared" si="71"/>
        <v>17869.739999999998</v>
      </c>
      <c r="P911" s="6">
        <f t="shared" si="72"/>
        <v>6.5528692597386868</v>
      </c>
      <c r="Q911" s="3">
        <v>7.55</v>
      </c>
      <c r="R911" t="str">
        <f t="shared" si="73"/>
        <v>High</v>
      </c>
      <c r="S911" t="str">
        <f t="shared" si="74"/>
        <v>Valid</v>
      </c>
    </row>
    <row r="912" spans="1:19" x14ac:dyDescent="0.25">
      <c r="A912" s="1">
        <v>45511</v>
      </c>
      <c r="B912" s="1" t="str">
        <f t="shared" si="70"/>
        <v>2024-08</v>
      </c>
      <c r="C912" t="s">
        <v>14</v>
      </c>
      <c r="D912" t="s">
        <v>29</v>
      </c>
      <c r="E912" t="s">
        <v>22</v>
      </c>
      <c r="F912" t="s">
        <v>31</v>
      </c>
      <c r="G912" s="4">
        <v>90550</v>
      </c>
      <c r="H912" s="4">
        <v>3966</v>
      </c>
      <c r="I912" s="5">
        <v>4.3799999999999999E-2</v>
      </c>
      <c r="J912" s="2">
        <v>2.76</v>
      </c>
      <c r="K912" s="6">
        <v>10946.16</v>
      </c>
      <c r="L912" s="4">
        <v>207</v>
      </c>
      <c r="M912" s="2">
        <v>52.88</v>
      </c>
      <c r="N912" s="6">
        <v>7960.57</v>
      </c>
      <c r="O912" s="6">
        <f t="shared" si="71"/>
        <v>-2985.59</v>
      </c>
      <c r="P912" s="6">
        <f t="shared" si="72"/>
        <v>-0.27275227111608091</v>
      </c>
      <c r="Q912" s="3">
        <v>0.73</v>
      </c>
      <c r="R912" t="str">
        <f t="shared" si="73"/>
        <v>Low</v>
      </c>
      <c r="S912" t="str">
        <f t="shared" si="74"/>
        <v>Valid</v>
      </c>
    </row>
    <row r="913" spans="1:19" x14ac:dyDescent="0.25">
      <c r="A913" s="1">
        <v>45542</v>
      </c>
      <c r="B913" s="1" t="str">
        <f t="shared" si="70"/>
        <v>2024-09</v>
      </c>
      <c r="C913" t="s">
        <v>14</v>
      </c>
      <c r="D913" t="s">
        <v>24</v>
      </c>
      <c r="E913" t="s">
        <v>19</v>
      </c>
      <c r="F913" t="s">
        <v>23</v>
      </c>
      <c r="G913" s="4">
        <v>91150</v>
      </c>
      <c r="H913" s="4">
        <v>4119</v>
      </c>
      <c r="I913" s="5">
        <v>4.5199999999999997E-2</v>
      </c>
      <c r="J913" s="2">
        <v>3.83</v>
      </c>
      <c r="K913" s="6">
        <v>15775.77</v>
      </c>
      <c r="L913" s="4">
        <v>98</v>
      </c>
      <c r="M913" s="2">
        <v>160.97999999999999</v>
      </c>
      <c r="N913" s="6">
        <v>4547.95</v>
      </c>
      <c r="O913" s="6">
        <f t="shared" si="71"/>
        <v>-11227.82</v>
      </c>
      <c r="P913" s="6">
        <f t="shared" si="72"/>
        <v>-0.71171296234668735</v>
      </c>
      <c r="Q913" s="3">
        <v>0.28999999999999998</v>
      </c>
      <c r="R913" t="str">
        <f t="shared" si="73"/>
        <v>Low</v>
      </c>
      <c r="S913" t="str">
        <f t="shared" si="74"/>
        <v>Valid</v>
      </c>
    </row>
    <row r="914" spans="1:19" x14ac:dyDescent="0.25">
      <c r="A914" s="1">
        <v>45402</v>
      </c>
      <c r="B914" s="1" t="str">
        <f t="shared" si="70"/>
        <v>2024-04</v>
      </c>
      <c r="C914" t="s">
        <v>14</v>
      </c>
      <c r="D914" t="s">
        <v>29</v>
      </c>
      <c r="E914" t="s">
        <v>16</v>
      </c>
      <c r="F914" t="s">
        <v>31</v>
      </c>
      <c r="G914" s="4">
        <v>157832</v>
      </c>
      <c r="H914" s="4">
        <v>4072</v>
      </c>
      <c r="I914" s="5">
        <v>2.58E-2</v>
      </c>
      <c r="J914" s="2">
        <v>2.38</v>
      </c>
      <c r="K914" s="6">
        <v>9691.36</v>
      </c>
      <c r="L914" s="4">
        <v>124</v>
      </c>
      <c r="M914" s="2">
        <v>78.16</v>
      </c>
      <c r="N914" s="6">
        <v>34560.39</v>
      </c>
      <c r="O914" s="6">
        <f t="shared" si="71"/>
        <v>24869.03</v>
      </c>
      <c r="P914" s="6">
        <f t="shared" si="72"/>
        <v>2.5661032094566703</v>
      </c>
      <c r="Q914" s="3">
        <v>3.57</v>
      </c>
      <c r="R914" t="str">
        <f t="shared" si="73"/>
        <v>High</v>
      </c>
      <c r="S914" t="str">
        <f t="shared" si="74"/>
        <v>Valid</v>
      </c>
    </row>
    <row r="915" spans="1:19" x14ac:dyDescent="0.25">
      <c r="A915" s="1">
        <v>45562</v>
      </c>
      <c r="B915" s="1" t="str">
        <f t="shared" si="70"/>
        <v>2024-09</v>
      </c>
      <c r="C915" t="s">
        <v>14</v>
      </c>
      <c r="D915" t="s">
        <v>21</v>
      </c>
      <c r="E915" t="s">
        <v>16</v>
      </c>
      <c r="F915" t="s">
        <v>31</v>
      </c>
      <c r="G915" s="4">
        <v>28958</v>
      </c>
      <c r="H915" s="4">
        <v>1355</v>
      </c>
      <c r="I915" s="5">
        <v>4.6800000000000001E-2</v>
      </c>
      <c r="J915" s="2">
        <v>2.87</v>
      </c>
      <c r="K915" s="6">
        <v>3888.85</v>
      </c>
      <c r="L915" s="4">
        <v>49</v>
      </c>
      <c r="M915" s="2">
        <v>79.36</v>
      </c>
      <c r="N915" s="6">
        <v>13909.3</v>
      </c>
      <c r="O915" s="6">
        <f t="shared" si="71"/>
        <v>10020.449999999999</v>
      </c>
      <c r="P915" s="6">
        <f t="shared" si="72"/>
        <v>2.5767129099862425</v>
      </c>
      <c r="Q915" s="3">
        <v>3.58</v>
      </c>
      <c r="R915" t="str">
        <f t="shared" si="73"/>
        <v>High</v>
      </c>
      <c r="S915" t="str">
        <f t="shared" si="74"/>
        <v>Valid</v>
      </c>
    </row>
    <row r="916" spans="1:19" x14ac:dyDescent="0.25">
      <c r="A916" s="1">
        <v>45605</v>
      </c>
      <c r="B916" s="1" t="str">
        <f t="shared" si="70"/>
        <v>2024-11</v>
      </c>
      <c r="C916" t="s">
        <v>28</v>
      </c>
      <c r="D916" t="s">
        <v>24</v>
      </c>
      <c r="E916" t="s">
        <v>19</v>
      </c>
      <c r="F916" t="s">
        <v>17</v>
      </c>
      <c r="G916" s="4">
        <v>8487</v>
      </c>
      <c r="H916" s="4">
        <v>271</v>
      </c>
      <c r="I916" s="5">
        <v>3.2000000000000001E-2</v>
      </c>
      <c r="J916" s="2">
        <v>0.91</v>
      </c>
      <c r="K916" s="6">
        <v>246.61</v>
      </c>
      <c r="L916" s="4">
        <v>14</v>
      </c>
      <c r="M916" s="2">
        <v>17.62</v>
      </c>
      <c r="N916" s="6">
        <v>4179.96</v>
      </c>
      <c r="O916" s="6">
        <f t="shared" si="71"/>
        <v>3933.35</v>
      </c>
      <c r="P916" s="6">
        <f t="shared" si="72"/>
        <v>15.949677628644418</v>
      </c>
      <c r="Q916" s="3">
        <v>16.95</v>
      </c>
      <c r="R916" t="str">
        <f t="shared" si="73"/>
        <v>High</v>
      </c>
      <c r="S916" t="str">
        <f t="shared" si="74"/>
        <v>Valid</v>
      </c>
    </row>
    <row r="917" spans="1:19" x14ac:dyDescent="0.25">
      <c r="A917" s="1">
        <v>45295</v>
      </c>
      <c r="B917" s="1" t="str">
        <f t="shared" si="70"/>
        <v>2024-01</v>
      </c>
      <c r="C917" t="s">
        <v>28</v>
      </c>
      <c r="D917" t="s">
        <v>24</v>
      </c>
      <c r="E917" t="s">
        <v>22</v>
      </c>
      <c r="F917" t="s">
        <v>27</v>
      </c>
      <c r="G917" s="4">
        <v>91284</v>
      </c>
      <c r="H917" s="4">
        <v>2126</v>
      </c>
      <c r="I917" s="5">
        <v>2.3300000000000001E-2</v>
      </c>
      <c r="J917" s="2">
        <v>0.92</v>
      </c>
      <c r="K917" s="6">
        <v>1955.92</v>
      </c>
      <c r="L917" s="4">
        <v>132</v>
      </c>
      <c r="M917" s="2">
        <v>14.82</v>
      </c>
      <c r="N917" s="6">
        <v>23916.94</v>
      </c>
      <c r="O917" s="6">
        <f t="shared" si="71"/>
        <v>21961.019999999997</v>
      </c>
      <c r="P917" s="6">
        <f t="shared" si="72"/>
        <v>11.227974559286677</v>
      </c>
      <c r="Q917" s="3">
        <v>12.23</v>
      </c>
      <c r="R917" t="str">
        <f t="shared" si="73"/>
        <v>High</v>
      </c>
      <c r="S917" t="str">
        <f t="shared" si="74"/>
        <v>Valid</v>
      </c>
    </row>
    <row r="918" spans="1:19" x14ac:dyDescent="0.25">
      <c r="A918" s="1">
        <v>45373</v>
      </c>
      <c r="B918" s="1" t="str">
        <f t="shared" si="70"/>
        <v>2024-03</v>
      </c>
      <c r="C918" t="s">
        <v>28</v>
      </c>
      <c r="D918" t="s">
        <v>21</v>
      </c>
      <c r="E918" t="s">
        <v>16</v>
      </c>
      <c r="F918" t="s">
        <v>26</v>
      </c>
      <c r="G918" s="4">
        <v>84737</v>
      </c>
      <c r="H918" s="4">
        <v>1415</v>
      </c>
      <c r="I918" s="5">
        <v>1.67E-2</v>
      </c>
      <c r="J918" s="2">
        <v>0.61</v>
      </c>
      <c r="K918" s="6">
        <v>863.15</v>
      </c>
      <c r="L918" s="4">
        <v>67</v>
      </c>
      <c r="M918" s="2">
        <v>12.88</v>
      </c>
      <c r="N918" s="6">
        <v>10044.57</v>
      </c>
      <c r="O918" s="6">
        <f t="shared" si="71"/>
        <v>9181.42</v>
      </c>
      <c r="P918" s="6">
        <f t="shared" si="72"/>
        <v>10.637108266234144</v>
      </c>
      <c r="Q918" s="3">
        <v>11.64</v>
      </c>
      <c r="R918" t="str">
        <f t="shared" si="73"/>
        <v>High</v>
      </c>
      <c r="S918" t="str">
        <f t="shared" si="74"/>
        <v>Valid</v>
      </c>
    </row>
    <row r="919" spans="1:19" x14ac:dyDescent="0.25">
      <c r="A919" s="1">
        <v>45622</v>
      </c>
      <c r="B919" s="1" t="str">
        <f t="shared" si="70"/>
        <v>2024-11</v>
      </c>
      <c r="C919" t="s">
        <v>28</v>
      </c>
      <c r="D919" t="s">
        <v>15</v>
      </c>
      <c r="E919" t="s">
        <v>19</v>
      </c>
      <c r="F919" t="s">
        <v>32</v>
      </c>
      <c r="G919" s="4">
        <v>31547</v>
      </c>
      <c r="H919" s="4">
        <v>772</v>
      </c>
      <c r="I919" s="5">
        <v>2.4500000000000001E-2</v>
      </c>
      <c r="J919" s="2">
        <v>1.99</v>
      </c>
      <c r="K919" s="6">
        <v>1536.28</v>
      </c>
      <c r="L919" s="4">
        <v>15</v>
      </c>
      <c r="M919" s="2">
        <v>102.42</v>
      </c>
      <c r="N919" s="6">
        <v>4188.5</v>
      </c>
      <c r="O919" s="6">
        <f t="shared" si="71"/>
        <v>2652.2200000000003</v>
      </c>
      <c r="P919" s="6">
        <f t="shared" si="72"/>
        <v>1.7263910224698624</v>
      </c>
      <c r="Q919" s="3">
        <v>2.73</v>
      </c>
      <c r="R919" t="str">
        <f t="shared" si="73"/>
        <v>Medium</v>
      </c>
      <c r="S919" t="str">
        <f t="shared" si="74"/>
        <v>Valid</v>
      </c>
    </row>
    <row r="920" spans="1:19" x14ac:dyDescent="0.25">
      <c r="A920" s="1">
        <v>45655</v>
      </c>
      <c r="B920" s="1" t="str">
        <f t="shared" si="70"/>
        <v>2024-12</v>
      </c>
      <c r="C920" t="s">
        <v>28</v>
      </c>
      <c r="D920" t="s">
        <v>21</v>
      </c>
      <c r="E920" t="s">
        <v>25</v>
      </c>
      <c r="F920" t="s">
        <v>27</v>
      </c>
      <c r="G920" s="4">
        <v>162038</v>
      </c>
      <c r="H920" s="4">
        <v>2722</v>
      </c>
      <c r="I920" s="5">
        <v>1.6799999999999999E-2</v>
      </c>
      <c r="J920" s="2">
        <v>0.77</v>
      </c>
      <c r="K920" s="6">
        <v>2095.94</v>
      </c>
      <c r="L920" s="4">
        <v>71</v>
      </c>
      <c r="M920" s="2">
        <v>29.52</v>
      </c>
      <c r="N920" s="6">
        <v>16951.259999999998</v>
      </c>
      <c r="O920" s="6">
        <f t="shared" si="71"/>
        <v>14855.319999999998</v>
      </c>
      <c r="P920" s="6">
        <f t="shared" si="72"/>
        <v>7.0876647232268084</v>
      </c>
      <c r="Q920" s="3">
        <v>8.09</v>
      </c>
      <c r="R920" t="str">
        <f t="shared" si="73"/>
        <v>High</v>
      </c>
      <c r="S920" t="str">
        <f t="shared" si="74"/>
        <v>Valid</v>
      </c>
    </row>
    <row r="921" spans="1:19" x14ac:dyDescent="0.25">
      <c r="A921" s="1">
        <v>45532</v>
      </c>
      <c r="B921" s="1" t="str">
        <f t="shared" si="70"/>
        <v>2024-08</v>
      </c>
      <c r="C921" t="s">
        <v>14</v>
      </c>
      <c r="D921" t="s">
        <v>21</v>
      </c>
      <c r="E921" t="s">
        <v>19</v>
      </c>
      <c r="F921" t="s">
        <v>17</v>
      </c>
      <c r="G921" s="4">
        <v>145119</v>
      </c>
      <c r="H921" s="4">
        <v>9998</v>
      </c>
      <c r="I921" s="5">
        <v>6.8900000000000003E-2</v>
      </c>
      <c r="J921" s="2">
        <v>1.46</v>
      </c>
      <c r="K921" s="6">
        <v>14597.08</v>
      </c>
      <c r="L921" s="4">
        <v>233</v>
      </c>
      <c r="M921" s="2">
        <v>62.65</v>
      </c>
      <c r="N921" s="6">
        <v>60859.85</v>
      </c>
      <c r="O921" s="6">
        <f t="shared" si="71"/>
        <v>46262.77</v>
      </c>
      <c r="P921" s="6">
        <f t="shared" si="72"/>
        <v>3.1693167400603408</v>
      </c>
      <c r="Q921" s="3">
        <v>4.17</v>
      </c>
      <c r="R921" t="str">
        <f t="shared" si="73"/>
        <v>High</v>
      </c>
      <c r="S921" t="str">
        <f t="shared" si="74"/>
        <v>Valid</v>
      </c>
    </row>
    <row r="922" spans="1:19" x14ac:dyDescent="0.25">
      <c r="A922" s="1">
        <v>45422</v>
      </c>
      <c r="B922" s="1" t="str">
        <f t="shared" si="70"/>
        <v>2024-05</v>
      </c>
      <c r="C922" t="s">
        <v>18</v>
      </c>
      <c r="D922" t="s">
        <v>29</v>
      </c>
      <c r="E922" t="s">
        <v>22</v>
      </c>
      <c r="F922" t="s">
        <v>27</v>
      </c>
      <c r="G922" s="4">
        <v>92601</v>
      </c>
      <c r="H922" s="4">
        <v>4065</v>
      </c>
      <c r="I922" s="5">
        <v>4.3900000000000002E-2</v>
      </c>
      <c r="J922" s="2">
        <v>0.52</v>
      </c>
      <c r="K922" s="6">
        <v>2113.8000000000002</v>
      </c>
      <c r="L922" s="4">
        <v>324</v>
      </c>
      <c r="M922" s="2">
        <v>6.52</v>
      </c>
      <c r="N922" s="6">
        <v>24076.73</v>
      </c>
      <c r="O922" s="6">
        <f t="shared" si="71"/>
        <v>21962.93</v>
      </c>
      <c r="P922" s="6">
        <f t="shared" si="72"/>
        <v>10.390259248746332</v>
      </c>
      <c r="Q922" s="3">
        <v>11.39</v>
      </c>
      <c r="R922" t="str">
        <f t="shared" si="73"/>
        <v>High</v>
      </c>
      <c r="S922" t="str">
        <f t="shared" si="74"/>
        <v>Valid</v>
      </c>
    </row>
    <row r="923" spans="1:19" x14ac:dyDescent="0.25">
      <c r="A923" s="1">
        <v>45656</v>
      </c>
      <c r="B923" s="1" t="str">
        <f t="shared" si="70"/>
        <v>2024-12</v>
      </c>
      <c r="C923" t="s">
        <v>14</v>
      </c>
      <c r="D923" t="s">
        <v>24</v>
      </c>
      <c r="E923" t="s">
        <v>22</v>
      </c>
      <c r="F923" t="s">
        <v>27</v>
      </c>
      <c r="G923" s="4">
        <v>148041</v>
      </c>
      <c r="H923" s="4">
        <v>8053</v>
      </c>
      <c r="I923" s="5">
        <v>5.4399999999999997E-2</v>
      </c>
      <c r="J923" s="2">
        <v>3.47</v>
      </c>
      <c r="K923" s="6">
        <v>27943.91</v>
      </c>
      <c r="L923" s="4">
        <v>98</v>
      </c>
      <c r="M923" s="2">
        <v>285.14</v>
      </c>
      <c r="N923" s="6">
        <v>4146.07</v>
      </c>
      <c r="O923" s="6">
        <f t="shared" si="71"/>
        <v>-23797.84</v>
      </c>
      <c r="P923" s="6">
        <f t="shared" si="72"/>
        <v>-0.85162885222576223</v>
      </c>
      <c r="Q923" s="3">
        <v>0.15</v>
      </c>
      <c r="R923" t="str">
        <f t="shared" si="73"/>
        <v>Low</v>
      </c>
      <c r="S923" t="str">
        <f t="shared" si="74"/>
        <v>Valid</v>
      </c>
    </row>
    <row r="924" spans="1:19" x14ac:dyDescent="0.25">
      <c r="A924" s="1">
        <v>45560</v>
      </c>
      <c r="B924" s="1" t="str">
        <f t="shared" si="70"/>
        <v>2024-09</v>
      </c>
      <c r="C924" t="s">
        <v>14</v>
      </c>
      <c r="D924" t="s">
        <v>29</v>
      </c>
      <c r="E924" t="s">
        <v>30</v>
      </c>
      <c r="F924" t="s">
        <v>20</v>
      </c>
      <c r="G924" s="4">
        <v>25195</v>
      </c>
      <c r="H924" s="4">
        <v>738</v>
      </c>
      <c r="I924" s="5">
        <v>2.93E-2</v>
      </c>
      <c r="J924" s="2">
        <v>2.61</v>
      </c>
      <c r="K924" s="6">
        <v>1926.18</v>
      </c>
      <c r="L924" s="4">
        <v>12</v>
      </c>
      <c r="M924" s="2">
        <v>160.52000000000001</v>
      </c>
      <c r="N924" s="6">
        <v>432.4</v>
      </c>
      <c r="O924" s="6">
        <f t="shared" si="71"/>
        <v>-1493.7800000000002</v>
      </c>
      <c r="P924" s="6">
        <f t="shared" si="72"/>
        <v>-0.77551423023808785</v>
      </c>
      <c r="Q924" s="3">
        <v>0.22</v>
      </c>
      <c r="R924" t="str">
        <f t="shared" si="73"/>
        <v>Low</v>
      </c>
      <c r="S924" t="str">
        <f t="shared" si="74"/>
        <v>Valid</v>
      </c>
    </row>
    <row r="925" spans="1:19" x14ac:dyDescent="0.25">
      <c r="A925" s="1">
        <v>45312</v>
      </c>
      <c r="B925" s="1" t="str">
        <f t="shared" si="70"/>
        <v>2024-01</v>
      </c>
      <c r="C925" t="s">
        <v>14</v>
      </c>
      <c r="D925" t="s">
        <v>29</v>
      </c>
      <c r="E925" t="s">
        <v>19</v>
      </c>
      <c r="F925" t="s">
        <v>32</v>
      </c>
      <c r="G925" s="4">
        <v>186465</v>
      </c>
      <c r="H925" s="4">
        <v>8689</v>
      </c>
      <c r="I925" s="5">
        <v>4.6600000000000003E-2</v>
      </c>
      <c r="J925" s="2">
        <v>2.42</v>
      </c>
      <c r="K925" s="6">
        <v>21027.38</v>
      </c>
      <c r="L925" s="4">
        <v>367</v>
      </c>
      <c r="M925" s="2">
        <v>57.3</v>
      </c>
      <c r="N925" s="6">
        <v>57833.06</v>
      </c>
      <c r="O925" s="6">
        <f t="shared" si="71"/>
        <v>36805.679999999993</v>
      </c>
      <c r="P925" s="6">
        <f t="shared" si="72"/>
        <v>1.7503692804334154</v>
      </c>
      <c r="Q925" s="3">
        <v>2.75</v>
      </c>
      <c r="R925" t="str">
        <f t="shared" si="73"/>
        <v>Medium</v>
      </c>
      <c r="S925" t="str">
        <f t="shared" si="74"/>
        <v>Valid</v>
      </c>
    </row>
    <row r="926" spans="1:19" x14ac:dyDescent="0.25">
      <c r="A926" s="1">
        <v>45541</v>
      </c>
      <c r="B926" s="1" t="str">
        <f t="shared" si="70"/>
        <v>2024-09</v>
      </c>
      <c r="C926" t="s">
        <v>14</v>
      </c>
      <c r="D926" t="s">
        <v>24</v>
      </c>
      <c r="E926" t="s">
        <v>16</v>
      </c>
      <c r="F926" t="s">
        <v>32</v>
      </c>
      <c r="G926" s="4">
        <v>136960</v>
      </c>
      <c r="H926" s="4">
        <v>5382</v>
      </c>
      <c r="I926" s="5">
        <v>3.9300000000000002E-2</v>
      </c>
      <c r="J926" s="2">
        <v>1.42</v>
      </c>
      <c r="K926" s="6">
        <v>7642.44</v>
      </c>
      <c r="L926" s="4">
        <v>230</v>
      </c>
      <c r="M926" s="2">
        <v>33.229999999999997</v>
      </c>
      <c r="N926" s="6">
        <v>39826.629999999997</v>
      </c>
      <c r="O926" s="6">
        <f t="shared" si="71"/>
        <v>32184.19</v>
      </c>
      <c r="P926" s="6">
        <f t="shared" si="72"/>
        <v>4.2112453614290724</v>
      </c>
      <c r="Q926" s="3">
        <v>5.21</v>
      </c>
      <c r="R926" t="str">
        <f t="shared" si="73"/>
        <v>High</v>
      </c>
      <c r="S926" t="str">
        <f t="shared" si="74"/>
        <v>Valid</v>
      </c>
    </row>
    <row r="927" spans="1:19" x14ac:dyDescent="0.25">
      <c r="A927" s="1">
        <v>45403</v>
      </c>
      <c r="B927" s="1" t="str">
        <f t="shared" si="70"/>
        <v>2024-04</v>
      </c>
      <c r="C927" t="s">
        <v>14</v>
      </c>
      <c r="D927" t="s">
        <v>21</v>
      </c>
      <c r="E927" t="s">
        <v>19</v>
      </c>
      <c r="F927" t="s">
        <v>23</v>
      </c>
      <c r="G927" s="4">
        <v>193405</v>
      </c>
      <c r="H927" s="4">
        <v>7852</v>
      </c>
      <c r="I927" s="5">
        <v>4.0599999999999997E-2</v>
      </c>
      <c r="J927" s="2">
        <v>0.96</v>
      </c>
      <c r="K927" s="6">
        <v>7537.92</v>
      </c>
      <c r="L927" s="4">
        <v>459</v>
      </c>
      <c r="M927" s="2">
        <v>16.420000000000002</v>
      </c>
      <c r="N927" s="6">
        <v>79715.61</v>
      </c>
      <c r="O927" s="6">
        <f t="shared" si="71"/>
        <v>72177.69</v>
      </c>
      <c r="P927" s="6">
        <f t="shared" si="72"/>
        <v>9.5752793874172184</v>
      </c>
      <c r="Q927" s="3">
        <v>10.58</v>
      </c>
      <c r="R927" t="str">
        <f t="shared" si="73"/>
        <v>High</v>
      </c>
      <c r="S927" t="str">
        <f t="shared" si="74"/>
        <v>Valid</v>
      </c>
    </row>
    <row r="928" spans="1:19" x14ac:dyDescent="0.25">
      <c r="A928" s="1">
        <v>45448</v>
      </c>
      <c r="B928" s="1" t="str">
        <f t="shared" si="70"/>
        <v>2024-06</v>
      </c>
      <c r="C928" t="s">
        <v>28</v>
      </c>
      <c r="D928" t="s">
        <v>21</v>
      </c>
      <c r="E928" t="s">
        <v>22</v>
      </c>
      <c r="F928" t="s">
        <v>23</v>
      </c>
      <c r="G928" s="4">
        <v>118591</v>
      </c>
      <c r="H928" s="4">
        <v>4043</v>
      </c>
      <c r="I928" s="5">
        <v>3.4099999999999998E-2</v>
      </c>
      <c r="J928" s="2">
        <v>1.1499999999999999</v>
      </c>
      <c r="K928" s="6">
        <v>4649.45</v>
      </c>
      <c r="L928" s="4">
        <v>303</v>
      </c>
      <c r="M928" s="2">
        <v>15.34</v>
      </c>
      <c r="N928" s="6">
        <v>36581.129999999997</v>
      </c>
      <c r="O928" s="6">
        <f t="shared" si="71"/>
        <v>31931.679999999997</v>
      </c>
      <c r="P928" s="6">
        <f t="shared" si="72"/>
        <v>6.8678402821839137</v>
      </c>
      <c r="Q928" s="3">
        <v>7.87</v>
      </c>
      <c r="R928" t="str">
        <f t="shared" si="73"/>
        <v>High</v>
      </c>
      <c r="S928" t="str">
        <f t="shared" si="74"/>
        <v>Valid</v>
      </c>
    </row>
    <row r="929" spans="1:19" x14ac:dyDescent="0.25">
      <c r="A929" s="1">
        <v>45329</v>
      </c>
      <c r="B929" s="1" t="str">
        <f t="shared" si="70"/>
        <v>2024-02</v>
      </c>
      <c r="C929" t="s">
        <v>14</v>
      </c>
      <c r="D929" t="s">
        <v>15</v>
      </c>
      <c r="E929" t="s">
        <v>16</v>
      </c>
      <c r="F929" t="s">
        <v>26</v>
      </c>
      <c r="G929" s="4">
        <v>163349</v>
      </c>
      <c r="H929" s="4">
        <v>7906</v>
      </c>
      <c r="I929" s="5">
        <v>4.8399999999999999E-2</v>
      </c>
      <c r="J929" s="2">
        <v>2.68</v>
      </c>
      <c r="K929" s="6">
        <v>21188.080000000002</v>
      </c>
      <c r="L929" s="4">
        <v>360</v>
      </c>
      <c r="M929" s="2">
        <v>58.86</v>
      </c>
      <c r="N929" s="6">
        <v>44353.83</v>
      </c>
      <c r="O929" s="6">
        <f t="shared" si="71"/>
        <v>23165.75</v>
      </c>
      <c r="P929" s="6">
        <f t="shared" si="72"/>
        <v>1.0933388018168706</v>
      </c>
      <c r="Q929" s="3">
        <v>2.09</v>
      </c>
      <c r="R929" t="str">
        <f t="shared" si="73"/>
        <v>Medium</v>
      </c>
      <c r="S929" t="str">
        <f t="shared" si="74"/>
        <v>Valid</v>
      </c>
    </row>
    <row r="930" spans="1:19" x14ac:dyDescent="0.25">
      <c r="A930" s="1">
        <v>45535</v>
      </c>
      <c r="B930" s="1" t="str">
        <f t="shared" si="70"/>
        <v>2024-08</v>
      </c>
      <c r="C930" t="s">
        <v>14</v>
      </c>
      <c r="D930" t="s">
        <v>21</v>
      </c>
      <c r="E930" t="s">
        <v>22</v>
      </c>
      <c r="F930" t="s">
        <v>23</v>
      </c>
      <c r="G930" s="4">
        <v>166957</v>
      </c>
      <c r="H930" s="4">
        <v>5476</v>
      </c>
      <c r="I930" s="5">
        <v>3.2800000000000003E-2</v>
      </c>
      <c r="J930" s="2">
        <v>1.22</v>
      </c>
      <c r="K930" s="6">
        <v>6680.72</v>
      </c>
      <c r="L930" s="4">
        <v>137</v>
      </c>
      <c r="M930" s="2">
        <v>48.76</v>
      </c>
      <c r="N930" s="6">
        <v>35345.21</v>
      </c>
      <c r="O930" s="6">
        <f t="shared" si="71"/>
        <v>28664.489999999998</v>
      </c>
      <c r="P930" s="6">
        <f t="shared" si="72"/>
        <v>4.2906288543749769</v>
      </c>
      <c r="Q930" s="3">
        <v>5.29</v>
      </c>
      <c r="R930" t="str">
        <f t="shared" si="73"/>
        <v>High</v>
      </c>
      <c r="S930" t="str">
        <f t="shared" si="74"/>
        <v>Valid</v>
      </c>
    </row>
    <row r="931" spans="1:19" x14ac:dyDescent="0.25">
      <c r="A931" s="1">
        <v>45471</v>
      </c>
      <c r="B931" s="1" t="str">
        <f t="shared" si="70"/>
        <v>2024-06</v>
      </c>
      <c r="C931" t="s">
        <v>28</v>
      </c>
      <c r="D931" t="s">
        <v>29</v>
      </c>
      <c r="E931" t="s">
        <v>25</v>
      </c>
      <c r="F931" t="s">
        <v>20</v>
      </c>
      <c r="G931" s="4">
        <v>169818</v>
      </c>
      <c r="H931" s="4">
        <v>4992</v>
      </c>
      <c r="I931" s="5">
        <v>2.9399999999999999E-2</v>
      </c>
      <c r="J931" s="2">
        <v>1.9</v>
      </c>
      <c r="K931" s="6">
        <v>9484.7999999999993</v>
      </c>
      <c r="L931" s="4">
        <v>146</v>
      </c>
      <c r="M931" s="2">
        <v>64.959999999999994</v>
      </c>
      <c r="N931" s="6">
        <v>26864.23</v>
      </c>
      <c r="O931" s="6">
        <f t="shared" si="71"/>
        <v>17379.43</v>
      </c>
      <c r="P931" s="6">
        <f t="shared" si="72"/>
        <v>1.8323454369095817</v>
      </c>
      <c r="Q931" s="3">
        <v>2.83</v>
      </c>
      <c r="R931" t="str">
        <f t="shared" si="73"/>
        <v>Medium</v>
      </c>
      <c r="S931" t="str">
        <f t="shared" si="74"/>
        <v>Valid</v>
      </c>
    </row>
    <row r="932" spans="1:19" x14ac:dyDescent="0.25">
      <c r="A932" s="1">
        <v>45600</v>
      </c>
      <c r="B932" s="1" t="str">
        <f t="shared" si="70"/>
        <v>2024-11</v>
      </c>
      <c r="C932" t="s">
        <v>14</v>
      </c>
      <c r="D932" t="s">
        <v>29</v>
      </c>
      <c r="E932" t="s">
        <v>19</v>
      </c>
      <c r="F932" t="s">
        <v>31</v>
      </c>
      <c r="G932" s="4">
        <v>158441</v>
      </c>
      <c r="H932" s="4">
        <v>3976</v>
      </c>
      <c r="I932" s="5">
        <v>2.5100000000000001E-2</v>
      </c>
      <c r="J932" s="2">
        <v>2.72</v>
      </c>
      <c r="K932" s="6">
        <v>10814.72</v>
      </c>
      <c r="L932" s="4">
        <v>300</v>
      </c>
      <c r="M932" s="2">
        <v>36.049999999999997</v>
      </c>
      <c r="N932" s="6">
        <v>51868.85</v>
      </c>
      <c r="O932" s="6">
        <f t="shared" si="71"/>
        <v>41054.129999999997</v>
      </c>
      <c r="P932" s="6">
        <f t="shared" si="72"/>
        <v>3.7961343428216359</v>
      </c>
      <c r="Q932" s="3">
        <v>4.8</v>
      </c>
      <c r="R932" t="str">
        <f t="shared" si="73"/>
        <v>High</v>
      </c>
      <c r="S932" t="str">
        <f t="shared" si="74"/>
        <v>Valid</v>
      </c>
    </row>
    <row r="933" spans="1:19" x14ac:dyDescent="0.25">
      <c r="A933" s="1">
        <v>45651</v>
      </c>
      <c r="B933" s="1" t="str">
        <f t="shared" si="70"/>
        <v>2024-12</v>
      </c>
      <c r="C933" t="s">
        <v>14</v>
      </c>
      <c r="D933" t="s">
        <v>29</v>
      </c>
      <c r="E933" t="s">
        <v>30</v>
      </c>
      <c r="F933" t="s">
        <v>20</v>
      </c>
      <c r="G933" s="4">
        <v>10380</v>
      </c>
      <c r="H933" s="4">
        <v>503</v>
      </c>
      <c r="I933" s="5">
        <v>4.8500000000000001E-2</v>
      </c>
      <c r="J933" s="2">
        <v>2</v>
      </c>
      <c r="K933" s="6">
        <v>1006</v>
      </c>
      <c r="L933" s="4">
        <v>15</v>
      </c>
      <c r="M933" s="2">
        <v>67.069999999999993</v>
      </c>
      <c r="N933" s="6">
        <v>1306.45</v>
      </c>
      <c r="O933" s="6">
        <f t="shared" si="71"/>
        <v>300.45000000000005</v>
      </c>
      <c r="P933" s="6">
        <f t="shared" si="72"/>
        <v>0.29865805168986087</v>
      </c>
      <c r="Q933" s="3">
        <v>1.3</v>
      </c>
      <c r="R933" t="str">
        <f t="shared" si="73"/>
        <v>Medium</v>
      </c>
      <c r="S933" t="str">
        <f t="shared" si="74"/>
        <v>Valid</v>
      </c>
    </row>
    <row r="934" spans="1:19" x14ac:dyDescent="0.25">
      <c r="A934" s="1">
        <v>45556</v>
      </c>
      <c r="B934" s="1" t="str">
        <f t="shared" si="70"/>
        <v>2024-09</v>
      </c>
      <c r="C934" t="s">
        <v>14</v>
      </c>
      <c r="D934" t="s">
        <v>24</v>
      </c>
      <c r="E934" t="s">
        <v>25</v>
      </c>
      <c r="F934" t="s">
        <v>32</v>
      </c>
      <c r="G934" s="4">
        <v>27791</v>
      </c>
      <c r="H934" s="4">
        <v>930</v>
      </c>
      <c r="I934" s="5">
        <v>3.3500000000000002E-2</v>
      </c>
      <c r="J934" s="2">
        <v>1.49</v>
      </c>
      <c r="K934" s="6">
        <v>1385.7</v>
      </c>
      <c r="L934" s="4">
        <v>73</v>
      </c>
      <c r="M934" s="2">
        <v>18.98</v>
      </c>
      <c r="N934" s="6">
        <v>10712.26</v>
      </c>
      <c r="O934" s="6">
        <f t="shared" si="71"/>
        <v>9326.56</v>
      </c>
      <c r="P934" s="6">
        <f t="shared" si="72"/>
        <v>6.7305766038825139</v>
      </c>
      <c r="Q934" s="3">
        <v>7.73</v>
      </c>
      <c r="R934" t="str">
        <f t="shared" si="73"/>
        <v>High</v>
      </c>
      <c r="S934" t="str">
        <f t="shared" si="74"/>
        <v>Valid</v>
      </c>
    </row>
    <row r="935" spans="1:19" x14ac:dyDescent="0.25">
      <c r="A935" s="1">
        <v>45379</v>
      </c>
      <c r="B935" s="1" t="str">
        <f t="shared" si="70"/>
        <v>2024-03</v>
      </c>
      <c r="C935" t="s">
        <v>28</v>
      </c>
      <c r="D935" t="s">
        <v>24</v>
      </c>
      <c r="E935" t="s">
        <v>30</v>
      </c>
      <c r="F935" t="s">
        <v>32</v>
      </c>
      <c r="G935" s="4">
        <v>124870</v>
      </c>
      <c r="H935" s="4">
        <v>2622</v>
      </c>
      <c r="I935" s="5">
        <v>2.1000000000000001E-2</v>
      </c>
      <c r="J935" s="2">
        <v>1.68</v>
      </c>
      <c r="K935" s="6">
        <v>4404.96</v>
      </c>
      <c r="L935" s="4">
        <v>140</v>
      </c>
      <c r="M935" s="2">
        <v>31.46</v>
      </c>
      <c r="N935" s="6">
        <v>13095.31</v>
      </c>
      <c r="O935" s="6">
        <f t="shared" si="71"/>
        <v>8690.3499999999985</v>
      </c>
      <c r="P935" s="6">
        <f t="shared" si="72"/>
        <v>1.9728555991427841</v>
      </c>
      <c r="Q935" s="3">
        <v>2.97</v>
      </c>
      <c r="R935" t="str">
        <f t="shared" si="73"/>
        <v>Medium</v>
      </c>
      <c r="S935" t="str">
        <f t="shared" si="74"/>
        <v>Valid</v>
      </c>
    </row>
    <row r="936" spans="1:19" x14ac:dyDescent="0.25">
      <c r="A936" s="1">
        <v>45534</v>
      </c>
      <c r="B936" s="1" t="str">
        <f t="shared" si="70"/>
        <v>2024-08</v>
      </c>
      <c r="C936" t="s">
        <v>28</v>
      </c>
      <c r="D936" t="s">
        <v>29</v>
      </c>
      <c r="E936" t="s">
        <v>22</v>
      </c>
      <c r="F936" t="s">
        <v>32</v>
      </c>
      <c r="G936" s="4">
        <v>137053</v>
      </c>
      <c r="H936" s="4">
        <v>5550</v>
      </c>
      <c r="I936" s="5">
        <v>4.0500000000000001E-2</v>
      </c>
      <c r="J936" s="2">
        <v>1.52</v>
      </c>
      <c r="K936" s="6">
        <v>8436</v>
      </c>
      <c r="L936" s="4">
        <v>381</v>
      </c>
      <c r="M936" s="2">
        <v>22.14</v>
      </c>
      <c r="N936" s="6">
        <v>43644.89</v>
      </c>
      <c r="O936" s="6">
        <f t="shared" si="71"/>
        <v>35208.89</v>
      </c>
      <c r="P936" s="6">
        <f t="shared" si="72"/>
        <v>4.1736474632527267</v>
      </c>
      <c r="Q936" s="3">
        <v>5.17</v>
      </c>
      <c r="R936" t="str">
        <f t="shared" si="73"/>
        <v>High</v>
      </c>
      <c r="S936" t="str">
        <f t="shared" si="74"/>
        <v>Valid</v>
      </c>
    </row>
    <row r="937" spans="1:19" x14ac:dyDescent="0.25">
      <c r="A937" s="1">
        <v>45403</v>
      </c>
      <c r="B937" s="1" t="str">
        <f t="shared" si="70"/>
        <v>2024-04</v>
      </c>
      <c r="C937" t="s">
        <v>28</v>
      </c>
      <c r="D937" t="s">
        <v>15</v>
      </c>
      <c r="E937" t="s">
        <v>30</v>
      </c>
      <c r="F937" t="s">
        <v>17</v>
      </c>
      <c r="G937" s="4">
        <v>43062</v>
      </c>
      <c r="H937" s="4">
        <v>1322</v>
      </c>
      <c r="I937" s="5">
        <v>3.0700000000000002E-2</v>
      </c>
      <c r="J937" s="2">
        <v>0.7</v>
      </c>
      <c r="K937" s="6">
        <v>925.4</v>
      </c>
      <c r="L937" s="4">
        <v>23</v>
      </c>
      <c r="M937" s="2">
        <v>40.229999999999997</v>
      </c>
      <c r="N937" s="6">
        <v>2104.08</v>
      </c>
      <c r="O937" s="6">
        <f t="shared" si="71"/>
        <v>1178.6799999999998</v>
      </c>
      <c r="P937" s="6">
        <f t="shared" si="72"/>
        <v>1.2736978603846985</v>
      </c>
      <c r="Q937" s="3">
        <v>2.27</v>
      </c>
      <c r="R937" t="str">
        <f t="shared" si="73"/>
        <v>Medium</v>
      </c>
      <c r="S937" t="str">
        <f t="shared" si="74"/>
        <v>Valid</v>
      </c>
    </row>
    <row r="938" spans="1:19" x14ac:dyDescent="0.25">
      <c r="A938" s="1">
        <v>45538</v>
      </c>
      <c r="B938" s="1" t="str">
        <f t="shared" si="70"/>
        <v>2024-09</v>
      </c>
      <c r="C938" t="s">
        <v>14</v>
      </c>
      <c r="D938" t="s">
        <v>21</v>
      </c>
      <c r="E938" t="s">
        <v>25</v>
      </c>
      <c r="F938" t="s">
        <v>23</v>
      </c>
      <c r="G938" s="4">
        <v>177472</v>
      </c>
      <c r="H938" s="4">
        <v>9210</v>
      </c>
      <c r="I938" s="5">
        <v>5.1900000000000002E-2</v>
      </c>
      <c r="J938" s="2">
        <v>2.0299999999999998</v>
      </c>
      <c r="K938" s="6">
        <v>18696.3</v>
      </c>
      <c r="L938" s="4">
        <v>410</v>
      </c>
      <c r="M938" s="2">
        <v>45.6</v>
      </c>
      <c r="N938" s="6">
        <v>45066.38</v>
      </c>
      <c r="O938" s="6">
        <f t="shared" si="71"/>
        <v>26370.079999999998</v>
      </c>
      <c r="P938" s="6">
        <f t="shared" si="72"/>
        <v>1.4104437776458443</v>
      </c>
      <c r="Q938" s="3">
        <v>2.41</v>
      </c>
      <c r="R938" t="str">
        <f t="shared" si="73"/>
        <v>Medium</v>
      </c>
      <c r="S938" t="str">
        <f t="shared" si="74"/>
        <v>Valid</v>
      </c>
    </row>
    <row r="939" spans="1:19" x14ac:dyDescent="0.25">
      <c r="A939" s="1">
        <v>45438</v>
      </c>
      <c r="B939" s="1" t="str">
        <f t="shared" si="70"/>
        <v>2024-05</v>
      </c>
      <c r="C939" t="s">
        <v>14</v>
      </c>
      <c r="D939" t="s">
        <v>29</v>
      </c>
      <c r="E939" t="s">
        <v>22</v>
      </c>
      <c r="F939" t="s">
        <v>32</v>
      </c>
      <c r="G939" s="4">
        <v>25967</v>
      </c>
      <c r="H939" s="4">
        <v>656</v>
      </c>
      <c r="I939" s="5">
        <v>2.53E-2</v>
      </c>
      <c r="J939" s="2">
        <v>2.69</v>
      </c>
      <c r="K939" s="6">
        <v>1764.64</v>
      </c>
      <c r="L939" s="4">
        <v>24</v>
      </c>
      <c r="M939" s="2">
        <v>73.53</v>
      </c>
      <c r="N939" s="6">
        <v>1078.6199999999999</v>
      </c>
      <c r="O939" s="6">
        <f t="shared" si="71"/>
        <v>-686.02000000000021</v>
      </c>
      <c r="P939" s="6">
        <f t="shared" si="72"/>
        <v>-0.38875918034273288</v>
      </c>
      <c r="Q939" s="3">
        <v>0.61</v>
      </c>
      <c r="R939" t="str">
        <f t="shared" si="73"/>
        <v>Low</v>
      </c>
      <c r="S939" t="str">
        <f t="shared" si="74"/>
        <v>Valid</v>
      </c>
    </row>
    <row r="940" spans="1:19" x14ac:dyDescent="0.25">
      <c r="A940" s="1">
        <v>45560</v>
      </c>
      <c r="B940" s="1" t="str">
        <f t="shared" si="70"/>
        <v>2024-09</v>
      </c>
      <c r="C940" t="s">
        <v>18</v>
      </c>
      <c r="D940" t="s">
        <v>24</v>
      </c>
      <c r="E940" t="s">
        <v>25</v>
      </c>
      <c r="F940" t="s">
        <v>27</v>
      </c>
      <c r="G940" s="4">
        <v>139162</v>
      </c>
      <c r="H940" s="4">
        <v>7152</v>
      </c>
      <c r="I940" s="5">
        <v>5.1400000000000001E-2</v>
      </c>
      <c r="J940" s="2">
        <v>1.39</v>
      </c>
      <c r="K940" s="6">
        <v>9941.2800000000007</v>
      </c>
      <c r="L940" s="4">
        <v>137</v>
      </c>
      <c r="M940" s="2">
        <v>72.56</v>
      </c>
      <c r="N940" s="6">
        <v>29124.09</v>
      </c>
      <c r="O940" s="6">
        <f t="shared" si="71"/>
        <v>19182.809999999998</v>
      </c>
      <c r="P940" s="6">
        <f t="shared" si="72"/>
        <v>1.9296116797836895</v>
      </c>
      <c r="Q940" s="3">
        <v>2.93</v>
      </c>
      <c r="R940" t="str">
        <f t="shared" si="73"/>
        <v>Medium</v>
      </c>
      <c r="S940" t="str">
        <f t="shared" si="74"/>
        <v>Valid</v>
      </c>
    </row>
    <row r="941" spans="1:19" x14ac:dyDescent="0.25">
      <c r="A941" s="1">
        <v>45648</v>
      </c>
      <c r="B941" s="1" t="str">
        <f t="shared" si="70"/>
        <v>2024-12</v>
      </c>
      <c r="C941" t="s">
        <v>14</v>
      </c>
      <c r="D941" t="s">
        <v>29</v>
      </c>
      <c r="E941" t="s">
        <v>16</v>
      </c>
      <c r="F941" t="s">
        <v>20</v>
      </c>
      <c r="G941" s="4">
        <v>45364</v>
      </c>
      <c r="H941" s="4">
        <v>1628</v>
      </c>
      <c r="I941" s="5">
        <v>3.5900000000000001E-2</v>
      </c>
      <c r="J941" s="2">
        <v>1.23</v>
      </c>
      <c r="K941" s="6">
        <v>2002.44</v>
      </c>
      <c r="L941" s="4">
        <v>113</v>
      </c>
      <c r="M941" s="2">
        <v>17.72</v>
      </c>
      <c r="N941" s="6">
        <v>10930.4</v>
      </c>
      <c r="O941" s="6">
        <f t="shared" si="71"/>
        <v>8927.9599999999991</v>
      </c>
      <c r="P941" s="6">
        <f t="shared" si="72"/>
        <v>4.4585405804917997</v>
      </c>
      <c r="Q941" s="3">
        <v>5.46</v>
      </c>
      <c r="R941" t="str">
        <f t="shared" si="73"/>
        <v>High</v>
      </c>
      <c r="S941" t="str">
        <f t="shared" si="74"/>
        <v>Valid</v>
      </c>
    </row>
    <row r="942" spans="1:19" x14ac:dyDescent="0.25">
      <c r="A942" s="1">
        <v>45306</v>
      </c>
      <c r="B942" s="1" t="str">
        <f t="shared" si="70"/>
        <v>2024-01</v>
      </c>
      <c r="C942" t="s">
        <v>14</v>
      </c>
      <c r="D942" t="s">
        <v>29</v>
      </c>
      <c r="E942" t="s">
        <v>30</v>
      </c>
      <c r="F942" t="s">
        <v>20</v>
      </c>
      <c r="G942" s="4">
        <v>62320</v>
      </c>
      <c r="H942" s="4">
        <v>3857</v>
      </c>
      <c r="I942" s="5">
        <v>6.1899999999999997E-2</v>
      </c>
      <c r="J942" s="2">
        <v>1.01</v>
      </c>
      <c r="K942" s="6">
        <v>3895.57</v>
      </c>
      <c r="L942" s="4">
        <v>158</v>
      </c>
      <c r="M942" s="2">
        <v>24.66</v>
      </c>
      <c r="N942" s="6">
        <v>17905.2</v>
      </c>
      <c r="O942" s="6">
        <f t="shared" si="71"/>
        <v>14009.630000000001</v>
      </c>
      <c r="P942" s="6">
        <f t="shared" si="72"/>
        <v>3.5962978460148323</v>
      </c>
      <c r="Q942" s="3">
        <v>4.5999999999999996</v>
      </c>
      <c r="R942" t="str">
        <f t="shared" si="73"/>
        <v>High</v>
      </c>
      <c r="S942" t="str">
        <f t="shared" si="74"/>
        <v>Valid</v>
      </c>
    </row>
    <row r="943" spans="1:19" x14ac:dyDescent="0.25">
      <c r="A943" s="1">
        <v>45611</v>
      </c>
      <c r="B943" s="1" t="str">
        <f t="shared" si="70"/>
        <v>2024-11</v>
      </c>
      <c r="C943" t="s">
        <v>28</v>
      </c>
      <c r="D943" t="s">
        <v>24</v>
      </c>
      <c r="E943" t="s">
        <v>25</v>
      </c>
      <c r="F943" t="s">
        <v>27</v>
      </c>
      <c r="G943" s="4">
        <v>141436</v>
      </c>
      <c r="H943" s="4">
        <v>3026</v>
      </c>
      <c r="I943" s="5">
        <v>2.1399999999999999E-2</v>
      </c>
      <c r="J943" s="2">
        <v>1.84</v>
      </c>
      <c r="K943" s="6">
        <v>5567.84</v>
      </c>
      <c r="L943" s="4">
        <v>108</v>
      </c>
      <c r="M943" s="2">
        <v>51.55</v>
      </c>
      <c r="N943" s="6">
        <v>24540.41</v>
      </c>
      <c r="O943" s="6">
        <f t="shared" si="71"/>
        <v>18972.57</v>
      </c>
      <c r="P943" s="6">
        <f t="shared" si="72"/>
        <v>3.4075278743642059</v>
      </c>
      <c r="Q943" s="3">
        <v>4.41</v>
      </c>
      <c r="R943" t="str">
        <f t="shared" si="73"/>
        <v>High</v>
      </c>
      <c r="S943" t="str">
        <f t="shared" si="74"/>
        <v>Valid</v>
      </c>
    </row>
    <row r="944" spans="1:19" x14ac:dyDescent="0.25">
      <c r="A944" s="1">
        <v>45583</v>
      </c>
      <c r="B944" s="1" t="str">
        <f t="shared" si="70"/>
        <v>2024-10</v>
      </c>
      <c r="C944" t="s">
        <v>28</v>
      </c>
      <c r="D944" t="s">
        <v>21</v>
      </c>
      <c r="E944" t="s">
        <v>19</v>
      </c>
      <c r="F944" t="s">
        <v>26</v>
      </c>
      <c r="G944" s="4">
        <v>152318</v>
      </c>
      <c r="H944" s="4">
        <v>4554</v>
      </c>
      <c r="I944" s="5">
        <v>2.9899999999999999E-2</v>
      </c>
      <c r="J944" s="2">
        <v>1.08</v>
      </c>
      <c r="K944" s="6">
        <v>4918.32</v>
      </c>
      <c r="L944" s="4">
        <v>296</v>
      </c>
      <c r="M944" s="2">
        <v>16.62</v>
      </c>
      <c r="N944" s="6">
        <v>64805.54</v>
      </c>
      <c r="O944" s="6">
        <f t="shared" si="71"/>
        <v>59887.22</v>
      </c>
      <c r="P944" s="6">
        <f t="shared" si="72"/>
        <v>12.176356967419771</v>
      </c>
      <c r="Q944" s="3">
        <v>13.18</v>
      </c>
      <c r="R944" t="str">
        <f t="shared" si="73"/>
        <v>High</v>
      </c>
      <c r="S944" t="str">
        <f t="shared" si="74"/>
        <v>Valid</v>
      </c>
    </row>
    <row r="945" spans="1:19" x14ac:dyDescent="0.25">
      <c r="A945" s="1">
        <v>45536</v>
      </c>
      <c r="B945" s="1" t="str">
        <f t="shared" si="70"/>
        <v>2024-09</v>
      </c>
      <c r="C945" t="s">
        <v>14</v>
      </c>
      <c r="D945" t="s">
        <v>15</v>
      </c>
      <c r="E945" t="s">
        <v>25</v>
      </c>
      <c r="F945" t="s">
        <v>23</v>
      </c>
      <c r="G945" s="4">
        <v>27778</v>
      </c>
      <c r="H945" s="4">
        <v>1902</v>
      </c>
      <c r="I945" s="5">
        <v>6.8500000000000005E-2</v>
      </c>
      <c r="J945" s="2">
        <v>1.55</v>
      </c>
      <c r="K945" s="6">
        <v>2948.1</v>
      </c>
      <c r="L945" s="4">
        <v>125</v>
      </c>
      <c r="M945" s="2">
        <v>23.58</v>
      </c>
      <c r="N945" s="6">
        <v>15444.21</v>
      </c>
      <c r="O945" s="6">
        <f t="shared" si="71"/>
        <v>12496.109999999999</v>
      </c>
      <c r="P945" s="6">
        <f t="shared" si="72"/>
        <v>4.2386995013737661</v>
      </c>
      <c r="Q945" s="3">
        <v>5.24</v>
      </c>
      <c r="R945" t="str">
        <f t="shared" si="73"/>
        <v>High</v>
      </c>
      <c r="S945" t="str">
        <f t="shared" si="74"/>
        <v>Valid</v>
      </c>
    </row>
    <row r="946" spans="1:19" x14ac:dyDescent="0.25">
      <c r="A946" s="1">
        <v>45523</v>
      </c>
      <c r="B946" s="1" t="str">
        <f t="shared" si="70"/>
        <v>2024-08</v>
      </c>
      <c r="C946" t="s">
        <v>18</v>
      </c>
      <c r="D946" t="s">
        <v>21</v>
      </c>
      <c r="E946" t="s">
        <v>30</v>
      </c>
      <c r="F946" t="s">
        <v>20</v>
      </c>
      <c r="G946" s="4">
        <v>82400</v>
      </c>
      <c r="H946" s="4">
        <v>3708</v>
      </c>
      <c r="I946" s="5">
        <v>4.4999999999999998E-2</v>
      </c>
      <c r="J946" s="2">
        <v>0.8</v>
      </c>
      <c r="K946" s="6">
        <v>2966.4</v>
      </c>
      <c r="L946" s="4">
        <v>139</v>
      </c>
      <c r="M946" s="2">
        <v>21.34</v>
      </c>
      <c r="N946" s="6">
        <v>31548.51</v>
      </c>
      <c r="O946" s="6">
        <f t="shared" si="71"/>
        <v>28582.109999999997</v>
      </c>
      <c r="P946" s="6">
        <f t="shared" si="72"/>
        <v>9.6352851941747559</v>
      </c>
      <c r="Q946" s="3">
        <v>10.64</v>
      </c>
      <c r="R946" t="str">
        <f t="shared" si="73"/>
        <v>High</v>
      </c>
      <c r="S946" t="str">
        <f t="shared" si="74"/>
        <v>Valid</v>
      </c>
    </row>
    <row r="947" spans="1:19" x14ac:dyDescent="0.25">
      <c r="A947" s="1">
        <v>45625</v>
      </c>
      <c r="B947" s="1" t="str">
        <f t="shared" si="70"/>
        <v>2024-11</v>
      </c>
      <c r="C947" t="s">
        <v>14</v>
      </c>
      <c r="D947" t="s">
        <v>15</v>
      </c>
      <c r="E947" t="s">
        <v>22</v>
      </c>
      <c r="F947" t="s">
        <v>20</v>
      </c>
      <c r="G947" s="4">
        <v>195606</v>
      </c>
      <c r="H947" s="4">
        <v>10817</v>
      </c>
      <c r="I947" s="5">
        <v>5.5300000000000002E-2</v>
      </c>
      <c r="J947" s="2">
        <v>3.53</v>
      </c>
      <c r="K947" s="6">
        <v>38184.01</v>
      </c>
      <c r="L947" s="4">
        <v>122</v>
      </c>
      <c r="M947" s="2">
        <v>312.98</v>
      </c>
      <c r="N947" s="6">
        <v>7355.91</v>
      </c>
      <c r="O947" s="6">
        <f t="shared" si="71"/>
        <v>-30828.100000000002</v>
      </c>
      <c r="P947" s="6">
        <f t="shared" si="72"/>
        <v>-0.80735627295299783</v>
      </c>
      <c r="Q947" s="3">
        <v>0.19</v>
      </c>
      <c r="R947" t="str">
        <f t="shared" si="73"/>
        <v>Low</v>
      </c>
      <c r="S947" t="str">
        <f t="shared" si="74"/>
        <v>Valid</v>
      </c>
    </row>
    <row r="948" spans="1:19" x14ac:dyDescent="0.25">
      <c r="A948" s="1">
        <v>45616</v>
      </c>
      <c r="B948" s="1" t="str">
        <f t="shared" si="70"/>
        <v>2024-11</v>
      </c>
      <c r="C948" t="s">
        <v>18</v>
      </c>
      <c r="D948" t="s">
        <v>24</v>
      </c>
      <c r="E948" t="s">
        <v>16</v>
      </c>
      <c r="F948" t="s">
        <v>27</v>
      </c>
      <c r="G948" s="4">
        <v>18181</v>
      </c>
      <c r="H948" s="4">
        <v>1179</v>
      </c>
      <c r="I948" s="5">
        <v>6.4899999999999999E-2</v>
      </c>
      <c r="J948" s="2">
        <v>0.64</v>
      </c>
      <c r="K948" s="6">
        <v>754.56</v>
      </c>
      <c r="L948" s="4">
        <v>24</v>
      </c>
      <c r="M948" s="2">
        <v>31.44</v>
      </c>
      <c r="N948" s="6">
        <v>4581.7</v>
      </c>
      <c r="O948" s="6">
        <f t="shared" si="71"/>
        <v>3827.14</v>
      </c>
      <c r="P948" s="6">
        <f t="shared" si="72"/>
        <v>5.0720154792196777</v>
      </c>
      <c r="Q948" s="3">
        <v>6.07</v>
      </c>
      <c r="R948" t="str">
        <f t="shared" si="73"/>
        <v>High</v>
      </c>
      <c r="S948" t="str">
        <f t="shared" si="74"/>
        <v>Valid</v>
      </c>
    </row>
    <row r="949" spans="1:19" x14ac:dyDescent="0.25">
      <c r="A949" s="1">
        <v>45408</v>
      </c>
      <c r="B949" s="1" t="str">
        <f t="shared" si="70"/>
        <v>2024-04</v>
      </c>
      <c r="C949" t="s">
        <v>14</v>
      </c>
      <c r="D949" t="s">
        <v>21</v>
      </c>
      <c r="E949" t="s">
        <v>25</v>
      </c>
      <c r="F949" t="s">
        <v>23</v>
      </c>
      <c r="G949" s="4">
        <v>86560</v>
      </c>
      <c r="H949" s="4">
        <v>5323</v>
      </c>
      <c r="I949" s="5">
        <v>6.1499999999999999E-2</v>
      </c>
      <c r="J949" s="2">
        <v>0.91</v>
      </c>
      <c r="K949" s="6">
        <v>4843.93</v>
      </c>
      <c r="L949" s="4">
        <v>94</v>
      </c>
      <c r="M949" s="2">
        <v>51.53</v>
      </c>
      <c r="N949" s="6">
        <v>8283.6200000000008</v>
      </c>
      <c r="O949" s="6">
        <f t="shared" si="71"/>
        <v>3439.6900000000005</v>
      </c>
      <c r="P949" s="6">
        <f t="shared" si="72"/>
        <v>0.7101031600374077</v>
      </c>
      <c r="Q949" s="3">
        <v>1.71</v>
      </c>
      <c r="R949" t="str">
        <f t="shared" si="73"/>
        <v>Medium</v>
      </c>
      <c r="S949" t="str">
        <f t="shared" si="74"/>
        <v>Valid</v>
      </c>
    </row>
    <row r="950" spans="1:19" x14ac:dyDescent="0.25">
      <c r="A950" s="1">
        <v>45362</v>
      </c>
      <c r="B950" s="1" t="str">
        <f t="shared" si="70"/>
        <v>2024-03</v>
      </c>
      <c r="C950" t="s">
        <v>14</v>
      </c>
      <c r="D950" t="s">
        <v>21</v>
      </c>
      <c r="E950" t="s">
        <v>16</v>
      </c>
      <c r="F950" t="s">
        <v>23</v>
      </c>
      <c r="G950" s="4">
        <v>89845</v>
      </c>
      <c r="H950" s="4">
        <v>2605</v>
      </c>
      <c r="I950" s="5">
        <v>2.9000000000000001E-2</v>
      </c>
      <c r="J950" s="2">
        <v>1.74</v>
      </c>
      <c r="K950" s="6">
        <v>4532.7</v>
      </c>
      <c r="L950" s="4">
        <v>155</v>
      </c>
      <c r="M950" s="2">
        <v>29.24</v>
      </c>
      <c r="N950" s="6">
        <v>14107.55</v>
      </c>
      <c r="O950" s="6">
        <f t="shared" si="71"/>
        <v>9574.8499999999985</v>
      </c>
      <c r="P950" s="6">
        <f t="shared" si="72"/>
        <v>2.1123943786264254</v>
      </c>
      <c r="Q950" s="3">
        <v>3.11</v>
      </c>
      <c r="R950" t="str">
        <f t="shared" si="73"/>
        <v>High</v>
      </c>
      <c r="S950" t="str">
        <f t="shared" si="74"/>
        <v>Valid</v>
      </c>
    </row>
    <row r="951" spans="1:19" x14ac:dyDescent="0.25">
      <c r="A951" s="1">
        <v>45451</v>
      </c>
      <c r="B951" s="1" t="str">
        <f t="shared" si="70"/>
        <v>2024-06</v>
      </c>
      <c r="C951" t="s">
        <v>28</v>
      </c>
      <c r="D951" t="s">
        <v>24</v>
      </c>
      <c r="E951" t="s">
        <v>16</v>
      </c>
      <c r="F951" t="s">
        <v>26</v>
      </c>
      <c r="G951" s="4">
        <v>194121</v>
      </c>
      <c r="H951" s="4">
        <v>6270</v>
      </c>
      <c r="I951" s="5">
        <v>3.2300000000000002E-2</v>
      </c>
      <c r="J951" s="2">
        <v>0.69</v>
      </c>
      <c r="K951" s="6">
        <v>4326.3</v>
      </c>
      <c r="L951" s="4">
        <v>133</v>
      </c>
      <c r="M951" s="2">
        <v>32.53</v>
      </c>
      <c r="N951" s="6">
        <v>11409.44</v>
      </c>
      <c r="O951" s="6">
        <f t="shared" si="71"/>
        <v>7083.14</v>
      </c>
      <c r="P951" s="6">
        <f t="shared" si="72"/>
        <v>1.6372281164043179</v>
      </c>
      <c r="Q951" s="3">
        <v>2.64</v>
      </c>
      <c r="R951" t="str">
        <f t="shared" si="73"/>
        <v>Medium</v>
      </c>
      <c r="S951" t="str">
        <f t="shared" si="74"/>
        <v>Valid</v>
      </c>
    </row>
    <row r="952" spans="1:19" x14ac:dyDescent="0.25">
      <c r="A952" s="1">
        <v>45588</v>
      </c>
      <c r="B952" s="1" t="str">
        <f t="shared" si="70"/>
        <v>2024-10</v>
      </c>
      <c r="C952" t="s">
        <v>28</v>
      </c>
      <c r="D952" t="s">
        <v>21</v>
      </c>
      <c r="E952" t="s">
        <v>25</v>
      </c>
      <c r="F952" t="s">
        <v>27</v>
      </c>
      <c r="G952" s="4">
        <v>81313</v>
      </c>
      <c r="H952" s="4">
        <v>1089</v>
      </c>
      <c r="I952" s="5">
        <v>1.34E-2</v>
      </c>
      <c r="J952" s="2">
        <v>1.43</v>
      </c>
      <c r="K952" s="6">
        <v>1557.27</v>
      </c>
      <c r="L952" s="4">
        <v>77</v>
      </c>
      <c r="M952" s="2">
        <v>20.22</v>
      </c>
      <c r="N952" s="6">
        <v>3549.91</v>
      </c>
      <c r="O952" s="6">
        <f t="shared" si="71"/>
        <v>1992.6399999999999</v>
      </c>
      <c r="P952" s="6">
        <f t="shared" si="72"/>
        <v>1.2795725853577093</v>
      </c>
      <c r="Q952" s="3">
        <v>2.2799999999999998</v>
      </c>
      <c r="R952" t="str">
        <f t="shared" si="73"/>
        <v>Medium</v>
      </c>
      <c r="S952" t="str">
        <f t="shared" si="74"/>
        <v>Valid</v>
      </c>
    </row>
    <row r="953" spans="1:19" x14ac:dyDescent="0.25">
      <c r="A953" s="1">
        <v>45519</v>
      </c>
      <c r="B953" s="1" t="str">
        <f t="shared" si="70"/>
        <v>2024-08</v>
      </c>
      <c r="C953" t="s">
        <v>14</v>
      </c>
      <c r="D953" t="s">
        <v>29</v>
      </c>
      <c r="E953" t="s">
        <v>22</v>
      </c>
      <c r="F953" t="s">
        <v>23</v>
      </c>
      <c r="G953" s="4">
        <v>95153</v>
      </c>
      <c r="H953" s="4">
        <v>5404</v>
      </c>
      <c r="I953" s="5">
        <v>5.6800000000000003E-2</v>
      </c>
      <c r="J953" s="2">
        <v>1.7</v>
      </c>
      <c r="K953" s="6">
        <v>9186.7999999999993</v>
      </c>
      <c r="L953" s="4">
        <v>74</v>
      </c>
      <c r="M953" s="2">
        <v>124.15</v>
      </c>
      <c r="N953" s="6">
        <v>20688.95</v>
      </c>
      <c r="O953" s="6">
        <f t="shared" si="71"/>
        <v>11502.150000000001</v>
      </c>
      <c r="P953" s="6">
        <f t="shared" si="72"/>
        <v>1.2520300866460576</v>
      </c>
      <c r="Q953" s="3">
        <v>2.25</v>
      </c>
      <c r="R953" t="str">
        <f t="shared" si="73"/>
        <v>Medium</v>
      </c>
      <c r="S953" t="str">
        <f t="shared" si="74"/>
        <v>Valid</v>
      </c>
    </row>
    <row r="954" spans="1:19" x14ac:dyDescent="0.25">
      <c r="A954" s="1">
        <v>45339</v>
      </c>
      <c r="B954" s="1" t="str">
        <f t="shared" si="70"/>
        <v>2024-02</v>
      </c>
      <c r="C954" t="s">
        <v>28</v>
      </c>
      <c r="D954" t="s">
        <v>29</v>
      </c>
      <c r="E954" t="s">
        <v>16</v>
      </c>
      <c r="F954" t="s">
        <v>26</v>
      </c>
      <c r="G954" s="4">
        <v>104926</v>
      </c>
      <c r="H954" s="4">
        <v>3273</v>
      </c>
      <c r="I954" s="5">
        <v>3.1199999999999999E-2</v>
      </c>
      <c r="J954" s="2">
        <v>1.48</v>
      </c>
      <c r="K954" s="6">
        <v>4844.04</v>
      </c>
      <c r="L954" s="4">
        <v>65</v>
      </c>
      <c r="M954" s="2">
        <v>74.52</v>
      </c>
      <c r="N954" s="6">
        <v>12449.27</v>
      </c>
      <c r="O954" s="6">
        <f t="shared" si="71"/>
        <v>7605.2300000000005</v>
      </c>
      <c r="P954" s="6">
        <f t="shared" si="72"/>
        <v>1.570018001502878</v>
      </c>
      <c r="Q954" s="3">
        <v>2.57</v>
      </c>
      <c r="R954" t="str">
        <f t="shared" si="73"/>
        <v>Medium</v>
      </c>
      <c r="S954" t="str">
        <f t="shared" si="74"/>
        <v>Valid</v>
      </c>
    </row>
    <row r="955" spans="1:19" x14ac:dyDescent="0.25">
      <c r="A955" s="1">
        <v>45632</v>
      </c>
      <c r="B955" s="1" t="str">
        <f t="shared" si="70"/>
        <v>2024-12</v>
      </c>
      <c r="C955" t="s">
        <v>28</v>
      </c>
      <c r="D955" t="s">
        <v>24</v>
      </c>
      <c r="E955" t="s">
        <v>25</v>
      </c>
      <c r="F955" t="s">
        <v>26</v>
      </c>
      <c r="G955" s="4">
        <v>16093</v>
      </c>
      <c r="H955" s="4">
        <v>466</v>
      </c>
      <c r="I955" s="5">
        <v>2.9000000000000001E-2</v>
      </c>
      <c r="J955" s="2">
        <v>0.83</v>
      </c>
      <c r="K955" s="6">
        <v>386.78</v>
      </c>
      <c r="L955" s="4">
        <v>28</v>
      </c>
      <c r="M955" s="2">
        <v>13.81</v>
      </c>
      <c r="N955" s="6">
        <v>5468.73</v>
      </c>
      <c r="O955" s="6">
        <f t="shared" si="71"/>
        <v>5081.95</v>
      </c>
      <c r="P955" s="6">
        <f t="shared" si="72"/>
        <v>13.139123015667822</v>
      </c>
      <c r="Q955" s="3">
        <v>14.14</v>
      </c>
      <c r="R955" t="str">
        <f t="shared" si="73"/>
        <v>High</v>
      </c>
      <c r="S955" t="str">
        <f t="shared" si="74"/>
        <v>Valid</v>
      </c>
    </row>
    <row r="956" spans="1:19" x14ac:dyDescent="0.25">
      <c r="A956" s="1">
        <v>45623</v>
      </c>
      <c r="B956" s="1" t="str">
        <f t="shared" si="70"/>
        <v>2024-11</v>
      </c>
      <c r="C956" t="s">
        <v>14</v>
      </c>
      <c r="D956" t="s">
        <v>24</v>
      </c>
      <c r="E956" t="s">
        <v>19</v>
      </c>
      <c r="F956" t="s">
        <v>27</v>
      </c>
      <c r="G956" s="4">
        <v>155338</v>
      </c>
      <c r="H956" s="4">
        <v>10718</v>
      </c>
      <c r="I956" s="5">
        <v>6.9000000000000006E-2</v>
      </c>
      <c r="J956" s="2">
        <v>1.86</v>
      </c>
      <c r="K956" s="6">
        <v>19935.48</v>
      </c>
      <c r="L956" s="4">
        <v>411</v>
      </c>
      <c r="M956" s="2">
        <v>48.5</v>
      </c>
      <c r="N956" s="6">
        <v>112821.78</v>
      </c>
      <c r="O956" s="6">
        <f t="shared" si="71"/>
        <v>92886.3</v>
      </c>
      <c r="P956" s="6">
        <f t="shared" si="72"/>
        <v>4.6593460503584563</v>
      </c>
      <c r="Q956" s="3">
        <v>5.66</v>
      </c>
      <c r="R956" t="str">
        <f t="shared" si="73"/>
        <v>High</v>
      </c>
      <c r="S956" t="str">
        <f t="shared" si="74"/>
        <v>Valid</v>
      </c>
    </row>
    <row r="957" spans="1:19" x14ac:dyDescent="0.25">
      <c r="A957" s="1">
        <v>45609</v>
      </c>
      <c r="B957" s="1" t="str">
        <f t="shared" si="70"/>
        <v>2024-11</v>
      </c>
      <c r="C957" t="s">
        <v>14</v>
      </c>
      <c r="D957" t="s">
        <v>21</v>
      </c>
      <c r="E957" t="s">
        <v>19</v>
      </c>
      <c r="F957" t="s">
        <v>27</v>
      </c>
      <c r="G957" s="4">
        <v>179877</v>
      </c>
      <c r="H957" s="4">
        <v>4317</v>
      </c>
      <c r="I957" s="5">
        <v>2.4E-2</v>
      </c>
      <c r="J957" s="2">
        <v>2.54</v>
      </c>
      <c r="K957" s="6">
        <v>10965.18</v>
      </c>
      <c r="L957" s="4">
        <v>215</v>
      </c>
      <c r="M957" s="2">
        <v>51</v>
      </c>
      <c r="N957" s="6">
        <v>13004.03</v>
      </c>
      <c r="O957" s="6">
        <f t="shared" si="71"/>
        <v>2038.8500000000004</v>
      </c>
      <c r="P957" s="6">
        <f t="shared" si="72"/>
        <v>0.18593858012362774</v>
      </c>
      <c r="Q957" s="3">
        <v>1.19</v>
      </c>
      <c r="R957" t="str">
        <f t="shared" si="73"/>
        <v>Medium</v>
      </c>
      <c r="S957" t="str">
        <f t="shared" si="74"/>
        <v>Valid</v>
      </c>
    </row>
    <row r="958" spans="1:19" x14ac:dyDescent="0.25">
      <c r="A958" s="1">
        <v>45528</v>
      </c>
      <c r="B958" s="1" t="str">
        <f t="shared" si="70"/>
        <v>2024-08</v>
      </c>
      <c r="C958" t="s">
        <v>18</v>
      </c>
      <c r="D958" t="s">
        <v>21</v>
      </c>
      <c r="E958" t="s">
        <v>30</v>
      </c>
      <c r="F958" t="s">
        <v>32</v>
      </c>
      <c r="G958" s="4">
        <v>185510</v>
      </c>
      <c r="H958" s="4">
        <v>9739</v>
      </c>
      <c r="I958" s="5">
        <v>5.2499999999999998E-2</v>
      </c>
      <c r="J958" s="2">
        <v>2.0499999999999998</v>
      </c>
      <c r="K958" s="6">
        <v>19964.95</v>
      </c>
      <c r="L958" s="4">
        <v>461</v>
      </c>
      <c r="M958" s="2">
        <v>43.31</v>
      </c>
      <c r="N958" s="6">
        <v>116711.4</v>
      </c>
      <c r="O958" s="6">
        <f t="shared" si="71"/>
        <v>96746.45</v>
      </c>
      <c r="P958" s="6">
        <f t="shared" si="72"/>
        <v>4.8458147904202109</v>
      </c>
      <c r="Q958" s="3">
        <v>5.85</v>
      </c>
      <c r="R958" t="str">
        <f t="shared" si="73"/>
        <v>High</v>
      </c>
      <c r="S958" t="str">
        <f t="shared" si="74"/>
        <v>Valid</v>
      </c>
    </row>
    <row r="959" spans="1:19" x14ac:dyDescent="0.25">
      <c r="A959" s="1">
        <v>45524</v>
      </c>
      <c r="B959" s="1" t="str">
        <f t="shared" si="70"/>
        <v>2024-08</v>
      </c>
      <c r="C959" t="s">
        <v>18</v>
      </c>
      <c r="D959" t="s">
        <v>15</v>
      </c>
      <c r="E959" t="s">
        <v>19</v>
      </c>
      <c r="F959" t="s">
        <v>26</v>
      </c>
      <c r="G959" s="4">
        <v>135992</v>
      </c>
      <c r="H959" s="4">
        <v>8023</v>
      </c>
      <c r="I959" s="5">
        <v>5.8999999999999997E-2</v>
      </c>
      <c r="J959" s="2">
        <v>0.4</v>
      </c>
      <c r="K959" s="6">
        <v>3209.2</v>
      </c>
      <c r="L959" s="4">
        <v>640</v>
      </c>
      <c r="M959" s="2">
        <v>5.01</v>
      </c>
      <c r="N959" s="6">
        <v>50560.98</v>
      </c>
      <c r="O959" s="6">
        <f t="shared" si="71"/>
        <v>47351.780000000006</v>
      </c>
      <c r="P959" s="6">
        <f t="shared" si="72"/>
        <v>14.755010594540698</v>
      </c>
      <c r="Q959" s="3">
        <v>15.76</v>
      </c>
      <c r="R959" t="str">
        <f t="shared" si="73"/>
        <v>High</v>
      </c>
      <c r="S959" t="str">
        <f t="shared" si="74"/>
        <v>Valid</v>
      </c>
    </row>
    <row r="960" spans="1:19" x14ac:dyDescent="0.25">
      <c r="A960" s="1">
        <v>45307</v>
      </c>
      <c r="B960" s="1" t="str">
        <f t="shared" si="70"/>
        <v>2024-01</v>
      </c>
      <c r="C960" t="s">
        <v>14</v>
      </c>
      <c r="D960" t="s">
        <v>15</v>
      </c>
      <c r="E960" t="s">
        <v>19</v>
      </c>
      <c r="F960" t="s">
        <v>26</v>
      </c>
      <c r="G960" s="4">
        <v>192593</v>
      </c>
      <c r="H960" s="4">
        <v>4949</v>
      </c>
      <c r="I960" s="5">
        <v>2.5700000000000001E-2</v>
      </c>
      <c r="J960" s="2">
        <v>1.83</v>
      </c>
      <c r="K960" s="6">
        <v>9056.67</v>
      </c>
      <c r="L960" s="4">
        <v>172</v>
      </c>
      <c r="M960" s="2">
        <v>52.66</v>
      </c>
      <c r="N960" s="6">
        <v>20836.16</v>
      </c>
      <c r="O960" s="6">
        <f t="shared" si="71"/>
        <v>11779.49</v>
      </c>
      <c r="P960" s="6">
        <f t="shared" si="72"/>
        <v>1.3006425098849799</v>
      </c>
      <c r="Q960" s="3">
        <v>2.2999999999999998</v>
      </c>
      <c r="R960" t="str">
        <f t="shared" si="73"/>
        <v>Medium</v>
      </c>
      <c r="S960" t="str">
        <f t="shared" si="74"/>
        <v>Valid</v>
      </c>
    </row>
    <row r="961" spans="1:19" x14ac:dyDescent="0.25">
      <c r="A961" s="1">
        <v>45656</v>
      </c>
      <c r="B961" s="1" t="str">
        <f t="shared" si="70"/>
        <v>2024-12</v>
      </c>
      <c r="C961" t="s">
        <v>28</v>
      </c>
      <c r="D961" t="s">
        <v>15</v>
      </c>
      <c r="E961" t="s">
        <v>19</v>
      </c>
      <c r="F961" t="s">
        <v>17</v>
      </c>
      <c r="G961" s="4">
        <v>18487</v>
      </c>
      <c r="H961" s="4">
        <v>693</v>
      </c>
      <c r="I961" s="5">
        <v>3.7499999999999999E-2</v>
      </c>
      <c r="J961" s="2">
        <v>0.49</v>
      </c>
      <c r="K961" s="6">
        <v>339.57</v>
      </c>
      <c r="L961" s="4">
        <v>36</v>
      </c>
      <c r="M961" s="2">
        <v>9.43</v>
      </c>
      <c r="N961" s="6">
        <v>7765.15</v>
      </c>
      <c r="O961" s="6">
        <f t="shared" si="71"/>
        <v>7425.58</v>
      </c>
      <c r="P961" s="6">
        <f t="shared" si="72"/>
        <v>21.867597255352358</v>
      </c>
      <c r="Q961" s="3">
        <v>22.87</v>
      </c>
      <c r="R961" t="str">
        <f t="shared" si="73"/>
        <v>High</v>
      </c>
      <c r="S961" t="str">
        <f t="shared" si="74"/>
        <v>Valid</v>
      </c>
    </row>
    <row r="962" spans="1:19" x14ac:dyDescent="0.25">
      <c r="A962" s="1">
        <v>45620</v>
      </c>
      <c r="B962" s="1" t="str">
        <f t="shared" si="70"/>
        <v>2024-11</v>
      </c>
      <c r="C962" t="s">
        <v>28</v>
      </c>
      <c r="D962" t="s">
        <v>21</v>
      </c>
      <c r="E962" t="s">
        <v>19</v>
      </c>
      <c r="F962" t="s">
        <v>20</v>
      </c>
      <c r="G962" s="4">
        <v>88452</v>
      </c>
      <c r="H962" s="4">
        <v>3361</v>
      </c>
      <c r="I962" s="5">
        <v>3.7999999999999999E-2</v>
      </c>
      <c r="J962" s="2">
        <v>1.63</v>
      </c>
      <c r="K962" s="6">
        <v>5478.43</v>
      </c>
      <c r="L962" s="4">
        <v>180</v>
      </c>
      <c r="M962" s="2">
        <v>30.44</v>
      </c>
      <c r="N962" s="6">
        <v>8119.45</v>
      </c>
      <c r="O962" s="6">
        <f t="shared" si="71"/>
        <v>2641.0199999999995</v>
      </c>
      <c r="P962" s="6">
        <f t="shared" si="72"/>
        <v>0.48207606923881463</v>
      </c>
      <c r="Q962" s="3">
        <v>1.48</v>
      </c>
      <c r="R962" t="str">
        <f t="shared" si="73"/>
        <v>Medium</v>
      </c>
      <c r="S962" t="str">
        <f t="shared" si="74"/>
        <v>Valid</v>
      </c>
    </row>
    <row r="963" spans="1:19" x14ac:dyDescent="0.25">
      <c r="A963" s="1">
        <v>45581</v>
      </c>
      <c r="B963" s="1" t="str">
        <f t="shared" ref="B963:B1026" si="75">TEXT(A963, "yyyy-mm")</f>
        <v>2024-10</v>
      </c>
      <c r="C963" t="s">
        <v>18</v>
      </c>
      <c r="D963" t="s">
        <v>29</v>
      </c>
      <c r="E963" t="s">
        <v>16</v>
      </c>
      <c r="F963" t="s">
        <v>23</v>
      </c>
      <c r="G963" s="4">
        <v>178714</v>
      </c>
      <c r="H963" s="4">
        <v>7559</v>
      </c>
      <c r="I963" s="5">
        <v>4.2299999999999997E-2</v>
      </c>
      <c r="J963" s="2">
        <v>1.1399999999999999</v>
      </c>
      <c r="K963" s="6">
        <v>8617.26</v>
      </c>
      <c r="L963" s="4">
        <v>312</v>
      </c>
      <c r="M963" s="2">
        <v>27.62</v>
      </c>
      <c r="N963" s="6">
        <v>39985.980000000003</v>
      </c>
      <c r="O963" s="6">
        <f t="shared" ref="O963:O1026" si="76">N963-K963</f>
        <v>31368.720000000001</v>
      </c>
      <c r="P963" s="6">
        <f t="shared" ref="P963:P1026" si="77">IFERROR(O963/K963, "")</f>
        <v>3.64021974502336</v>
      </c>
      <c r="Q963" s="3">
        <v>4.6399999999999997</v>
      </c>
      <c r="R963" t="str">
        <f t="shared" ref="R963:R1026" si="78">IF(Q963 &gt;= 3, "High", IF(Q963&gt;=1, "Medium", "Low"))</f>
        <v>High</v>
      </c>
      <c r="S963" t="str">
        <f t="shared" ref="S963:S1026" si="79">IF(OR(G963=0, H963&gt;G963, L963&gt;H963), "Invalid", "Valid")</f>
        <v>Valid</v>
      </c>
    </row>
    <row r="964" spans="1:19" x14ac:dyDescent="0.25">
      <c r="A964" s="1">
        <v>45478</v>
      </c>
      <c r="B964" s="1" t="str">
        <f t="shared" si="75"/>
        <v>2024-07</v>
      </c>
      <c r="C964" t="s">
        <v>18</v>
      </c>
      <c r="D964" t="s">
        <v>29</v>
      </c>
      <c r="E964" t="s">
        <v>25</v>
      </c>
      <c r="F964" t="s">
        <v>20</v>
      </c>
      <c r="G964" s="4">
        <v>113190</v>
      </c>
      <c r="H964" s="4">
        <v>3984</v>
      </c>
      <c r="I964" s="5">
        <v>3.5200000000000002E-2</v>
      </c>
      <c r="J964" s="2">
        <v>1.41</v>
      </c>
      <c r="K964" s="6">
        <v>5617.44</v>
      </c>
      <c r="L964" s="4">
        <v>172</v>
      </c>
      <c r="M964" s="2">
        <v>32.659999999999997</v>
      </c>
      <c r="N964" s="6">
        <v>10269.39</v>
      </c>
      <c r="O964" s="6">
        <f t="shared" si="76"/>
        <v>4651.95</v>
      </c>
      <c r="P964" s="6">
        <f t="shared" si="77"/>
        <v>0.82812633512774503</v>
      </c>
      <c r="Q964" s="3">
        <v>1.83</v>
      </c>
      <c r="R964" t="str">
        <f t="shared" si="78"/>
        <v>Medium</v>
      </c>
      <c r="S964" t="str">
        <f t="shared" si="79"/>
        <v>Valid</v>
      </c>
    </row>
    <row r="965" spans="1:19" x14ac:dyDescent="0.25">
      <c r="A965" s="1">
        <v>45395</v>
      </c>
      <c r="B965" s="1" t="str">
        <f t="shared" si="75"/>
        <v>2024-04</v>
      </c>
      <c r="C965" t="s">
        <v>28</v>
      </c>
      <c r="D965" t="s">
        <v>21</v>
      </c>
      <c r="E965" t="s">
        <v>30</v>
      </c>
      <c r="F965" t="s">
        <v>32</v>
      </c>
      <c r="G965" s="4">
        <v>126103</v>
      </c>
      <c r="H965" s="4">
        <v>4300</v>
      </c>
      <c r="I965" s="5">
        <v>3.4099999999999998E-2</v>
      </c>
      <c r="J965" s="2">
        <v>1.0900000000000001</v>
      </c>
      <c r="K965" s="6">
        <v>4687</v>
      </c>
      <c r="L965" s="4">
        <v>313</v>
      </c>
      <c r="M965" s="2">
        <v>14.97</v>
      </c>
      <c r="N965" s="6">
        <v>18027.88</v>
      </c>
      <c r="O965" s="6">
        <f t="shared" si="76"/>
        <v>13340.880000000001</v>
      </c>
      <c r="P965" s="6">
        <f t="shared" si="77"/>
        <v>2.8463580115212292</v>
      </c>
      <c r="Q965" s="3">
        <v>3.85</v>
      </c>
      <c r="R965" t="str">
        <f t="shared" si="78"/>
        <v>High</v>
      </c>
      <c r="S965" t="str">
        <f t="shared" si="79"/>
        <v>Valid</v>
      </c>
    </row>
    <row r="966" spans="1:19" x14ac:dyDescent="0.25">
      <c r="A966" s="1">
        <v>45647</v>
      </c>
      <c r="B966" s="1" t="str">
        <f t="shared" si="75"/>
        <v>2024-12</v>
      </c>
      <c r="C966" t="s">
        <v>14</v>
      </c>
      <c r="D966" t="s">
        <v>15</v>
      </c>
      <c r="E966" t="s">
        <v>22</v>
      </c>
      <c r="F966" t="s">
        <v>31</v>
      </c>
      <c r="G966" s="4">
        <v>101355</v>
      </c>
      <c r="H966" s="4">
        <v>4459</v>
      </c>
      <c r="I966" s="5">
        <v>4.3999999999999997E-2</v>
      </c>
      <c r="J966" s="2">
        <v>2.5499999999999998</v>
      </c>
      <c r="K966" s="6">
        <v>11370.45</v>
      </c>
      <c r="L966" s="4">
        <v>122</v>
      </c>
      <c r="M966" s="2">
        <v>93.2</v>
      </c>
      <c r="N966" s="6">
        <v>10455.25</v>
      </c>
      <c r="O966" s="6">
        <f t="shared" si="76"/>
        <v>-915.20000000000073</v>
      </c>
      <c r="P966" s="6">
        <f t="shared" si="77"/>
        <v>-8.0489338592579951E-2</v>
      </c>
      <c r="Q966" s="3">
        <v>0.92</v>
      </c>
      <c r="R966" t="str">
        <f t="shared" si="78"/>
        <v>Low</v>
      </c>
      <c r="S966" t="str">
        <f t="shared" si="79"/>
        <v>Valid</v>
      </c>
    </row>
    <row r="967" spans="1:19" x14ac:dyDescent="0.25">
      <c r="A967" s="1">
        <v>45338</v>
      </c>
      <c r="B967" s="1" t="str">
        <f t="shared" si="75"/>
        <v>2024-02</v>
      </c>
      <c r="C967" t="s">
        <v>14</v>
      </c>
      <c r="D967" t="s">
        <v>29</v>
      </c>
      <c r="E967" t="s">
        <v>19</v>
      </c>
      <c r="F967" t="s">
        <v>27</v>
      </c>
      <c r="G967" s="4">
        <v>197974</v>
      </c>
      <c r="H967" s="4">
        <v>4375</v>
      </c>
      <c r="I967" s="5">
        <v>2.2100000000000002E-2</v>
      </c>
      <c r="J967" s="2">
        <v>2.4300000000000002</v>
      </c>
      <c r="K967" s="6">
        <v>10631.25</v>
      </c>
      <c r="L967" s="4">
        <v>347</v>
      </c>
      <c r="M967" s="2">
        <v>30.64</v>
      </c>
      <c r="N967" s="6">
        <v>73971.789999999994</v>
      </c>
      <c r="O967" s="6">
        <f t="shared" si="76"/>
        <v>63340.539999999994</v>
      </c>
      <c r="P967" s="6">
        <f t="shared" si="77"/>
        <v>5.9579579071134621</v>
      </c>
      <c r="Q967" s="3">
        <v>6.96</v>
      </c>
      <c r="R967" t="str">
        <f t="shared" si="78"/>
        <v>High</v>
      </c>
      <c r="S967" t="str">
        <f t="shared" si="79"/>
        <v>Valid</v>
      </c>
    </row>
    <row r="968" spans="1:19" x14ac:dyDescent="0.25">
      <c r="A968" s="1">
        <v>45389</v>
      </c>
      <c r="B968" s="1" t="str">
        <f t="shared" si="75"/>
        <v>2024-04</v>
      </c>
      <c r="C968" t="s">
        <v>28</v>
      </c>
      <c r="D968" t="s">
        <v>24</v>
      </c>
      <c r="E968" t="s">
        <v>16</v>
      </c>
      <c r="F968" t="s">
        <v>20</v>
      </c>
      <c r="G968" s="4">
        <v>49261</v>
      </c>
      <c r="H968" s="4">
        <v>724</v>
      </c>
      <c r="I968" s="5">
        <v>1.47E-2</v>
      </c>
      <c r="J968" s="2">
        <v>0.62</v>
      </c>
      <c r="K968" s="6">
        <v>448.88</v>
      </c>
      <c r="L968" s="4">
        <v>31</v>
      </c>
      <c r="M968" s="2">
        <v>14.48</v>
      </c>
      <c r="N968" s="6">
        <v>1397.37</v>
      </c>
      <c r="O968" s="6">
        <f t="shared" si="76"/>
        <v>948.4899999999999</v>
      </c>
      <c r="P968" s="6">
        <f t="shared" si="77"/>
        <v>2.1130146141507749</v>
      </c>
      <c r="Q968" s="3">
        <v>3.11</v>
      </c>
      <c r="R968" t="str">
        <f t="shared" si="78"/>
        <v>High</v>
      </c>
      <c r="S968" t="str">
        <f t="shared" si="79"/>
        <v>Valid</v>
      </c>
    </row>
    <row r="969" spans="1:19" x14ac:dyDescent="0.25">
      <c r="A969" s="1">
        <v>45322</v>
      </c>
      <c r="B969" s="1" t="str">
        <f t="shared" si="75"/>
        <v>2024-01</v>
      </c>
      <c r="C969" t="s">
        <v>18</v>
      </c>
      <c r="D969" t="s">
        <v>24</v>
      </c>
      <c r="E969" t="s">
        <v>25</v>
      </c>
      <c r="F969" t="s">
        <v>31</v>
      </c>
      <c r="G969" s="4">
        <v>174668</v>
      </c>
      <c r="H969" s="4">
        <v>10916</v>
      </c>
      <c r="I969" s="5">
        <v>6.25E-2</v>
      </c>
      <c r="J969" s="2">
        <v>0.63</v>
      </c>
      <c r="K969" s="6">
        <v>6877.08</v>
      </c>
      <c r="L969" s="4">
        <v>310</v>
      </c>
      <c r="M969" s="2">
        <v>22.18</v>
      </c>
      <c r="N969" s="6">
        <v>37599.64</v>
      </c>
      <c r="O969" s="6">
        <f t="shared" si="76"/>
        <v>30722.559999999998</v>
      </c>
      <c r="P969" s="6">
        <f t="shared" si="77"/>
        <v>4.467384413152093</v>
      </c>
      <c r="Q969" s="3">
        <v>5.47</v>
      </c>
      <c r="R969" t="str">
        <f t="shared" si="78"/>
        <v>High</v>
      </c>
      <c r="S969" t="str">
        <f t="shared" si="79"/>
        <v>Valid</v>
      </c>
    </row>
    <row r="970" spans="1:19" x14ac:dyDescent="0.25">
      <c r="A970" s="1">
        <v>45581</v>
      </c>
      <c r="B970" s="1" t="str">
        <f t="shared" si="75"/>
        <v>2024-10</v>
      </c>
      <c r="C970" t="s">
        <v>14</v>
      </c>
      <c r="D970" t="s">
        <v>24</v>
      </c>
      <c r="E970" t="s">
        <v>16</v>
      </c>
      <c r="F970" t="s">
        <v>23</v>
      </c>
      <c r="G970" s="4">
        <v>163178</v>
      </c>
      <c r="H970" s="4">
        <v>5172</v>
      </c>
      <c r="I970" s="5">
        <v>3.1699999999999999E-2</v>
      </c>
      <c r="J970" s="2">
        <v>2.21</v>
      </c>
      <c r="K970" s="6">
        <v>11430.12</v>
      </c>
      <c r="L970" s="4">
        <v>325</v>
      </c>
      <c r="M970" s="2">
        <v>35.17</v>
      </c>
      <c r="N970" s="6">
        <v>14305.21</v>
      </c>
      <c r="O970" s="6">
        <f t="shared" si="76"/>
        <v>2875.0899999999983</v>
      </c>
      <c r="P970" s="6">
        <f t="shared" si="77"/>
        <v>0.25153629183245652</v>
      </c>
      <c r="Q970" s="3">
        <v>1.25</v>
      </c>
      <c r="R970" t="str">
        <f t="shared" si="78"/>
        <v>Medium</v>
      </c>
      <c r="S970" t="str">
        <f t="shared" si="79"/>
        <v>Valid</v>
      </c>
    </row>
    <row r="971" spans="1:19" x14ac:dyDescent="0.25">
      <c r="A971" s="1">
        <v>45613</v>
      </c>
      <c r="B971" s="1" t="str">
        <f t="shared" si="75"/>
        <v>2024-11</v>
      </c>
      <c r="C971" t="s">
        <v>18</v>
      </c>
      <c r="D971" t="s">
        <v>15</v>
      </c>
      <c r="E971" t="s">
        <v>19</v>
      </c>
      <c r="F971" t="s">
        <v>23</v>
      </c>
      <c r="G971" s="4">
        <v>105726</v>
      </c>
      <c r="H971" s="4">
        <v>8542</v>
      </c>
      <c r="I971" s="5">
        <v>8.0799999999999997E-2</v>
      </c>
      <c r="J971" s="2">
        <v>1.4</v>
      </c>
      <c r="K971" s="6">
        <v>11958.8</v>
      </c>
      <c r="L971" s="4">
        <v>662</v>
      </c>
      <c r="M971" s="2">
        <v>18.059999999999999</v>
      </c>
      <c r="N971" s="6">
        <v>104498.78</v>
      </c>
      <c r="O971" s="6">
        <f t="shared" si="76"/>
        <v>92539.98</v>
      </c>
      <c r="P971" s="6">
        <f t="shared" si="77"/>
        <v>7.7382329330702078</v>
      </c>
      <c r="Q971" s="3">
        <v>8.74</v>
      </c>
      <c r="R971" t="str">
        <f t="shared" si="78"/>
        <v>High</v>
      </c>
      <c r="S971" t="str">
        <f t="shared" si="79"/>
        <v>Valid</v>
      </c>
    </row>
    <row r="972" spans="1:19" x14ac:dyDescent="0.25">
      <c r="A972" s="1">
        <v>45334</v>
      </c>
      <c r="B972" s="1" t="str">
        <f t="shared" si="75"/>
        <v>2024-02</v>
      </c>
      <c r="C972" t="s">
        <v>18</v>
      </c>
      <c r="D972" t="s">
        <v>29</v>
      </c>
      <c r="E972" t="s">
        <v>22</v>
      </c>
      <c r="F972" t="s">
        <v>17</v>
      </c>
      <c r="G972" s="4">
        <v>74285</v>
      </c>
      <c r="H972" s="4">
        <v>2094</v>
      </c>
      <c r="I972" s="5">
        <v>2.8199999999999999E-2</v>
      </c>
      <c r="J972" s="2">
        <v>0.63</v>
      </c>
      <c r="K972" s="6">
        <v>1319.22</v>
      </c>
      <c r="L972" s="4">
        <v>92</v>
      </c>
      <c r="M972" s="2">
        <v>14.34</v>
      </c>
      <c r="N972" s="6">
        <v>18972.8</v>
      </c>
      <c r="O972" s="6">
        <f t="shared" si="76"/>
        <v>17653.579999999998</v>
      </c>
      <c r="P972" s="6">
        <f t="shared" si="77"/>
        <v>13.381831688421945</v>
      </c>
      <c r="Q972" s="3">
        <v>14.38</v>
      </c>
      <c r="R972" t="str">
        <f t="shared" si="78"/>
        <v>High</v>
      </c>
      <c r="S972" t="str">
        <f t="shared" si="79"/>
        <v>Valid</v>
      </c>
    </row>
    <row r="973" spans="1:19" x14ac:dyDescent="0.25">
      <c r="A973" s="1">
        <v>45320</v>
      </c>
      <c r="B973" s="1" t="str">
        <f t="shared" si="75"/>
        <v>2024-01</v>
      </c>
      <c r="C973" t="s">
        <v>14</v>
      </c>
      <c r="D973" t="s">
        <v>29</v>
      </c>
      <c r="E973" t="s">
        <v>19</v>
      </c>
      <c r="F973" t="s">
        <v>23</v>
      </c>
      <c r="G973" s="4">
        <v>168471</v>
      </c>
      <c r="H973" s="4">
        <v>6014</v>
      </c>
      <c r="I973" s="5">
        <v>3.5700000000000003E-2</v>
      </c>
      <c r="J973" s="2">
        <v>0.97</v>
      </c>
      <c r="K973" s="6">
        <v>5833.58</v>
      </c>
      <c r="L973" s="4">
        <v>117</v>
      </c>
      <c r="M973" s="2">
        <v>49.86</v>
      </c>
      <c r="N973" s="6">
        <v>25231.33</v>
      </c>
      <c r="O973" s="6">
        <f t="shared" si="76"/>
        <v>19397.75</v>
      </c>
      <c r="P973" s="6">
        <f t="shared" si="77"/>
        <v>3.3251879634804014</v>
      </c>
      <c r="Q973" s="3">
        <v>4.33</v>
      </c>
      <c r="R973" t="str">
        <f t="shared" si="78"/>
        <v>High</v>
      </c>
      <c r="S973" t="str">
        <f t="shared" si="79"/>
        <v>Valid</v>
      </c>
    </row>
    <row r="974" spans="1:19" x14ac:dyDescent="0.25">
      <c r="A974" s="1">
        <v>45574</v>
      </c>
      <c r="B974" s="1" t="str">
        <f t="shared" si="75"/>
        <v>2024-10</v>
      </c>
      <c r="C974" t="s">
        <v>18</v>
      </c>
      <c r="D974" t="s">
        <v>15</v>
      </c>
      <c r="E974" t="s">
        <v>30</v>
      </c>
      <c r="F974" t="s">
        <v>20</v>
      </c>
      <c r="G974" s="4">
        <v>128295</v>
      </c>
      <c r="H974" s="4">
        <v>4695</v>
      </c>
      <c r="I974" s="5">
        <v>3.6600000000000001E-2</v>
      </c>
      <c r="J974" s="2">
        <v>0.84</v>
      </c>
      <c r="K974" s="6">
        <v>3943.8</v>
      </c>
      <c r="L974" s="4">
        <v>276</v>
      </c>
      <c r="M974" s="2">
        <v>14.29</v>
      </c>
      <c r="N974" s="6">
        <v>42279.01</v>
      </c>
      <c r="O974" s="6">
        <f t="shared" si="76"/>
        <v>38335.21</v>
      </c>
      <c r="P974" s="6">
        <f t="shared" si="77"/>
        <v>9.7203737512044217</v>
      </c>
      <c r="Q974" s="3">
        <v>10.72</v>
      </c>
      <c r="R974" t="str">
        <f t="shared" si="78"/>
        <v>High</v>
      </c>
      <c r="S974" t="str">
        <f t="shared" si="79"/>
        <v>Valid</v>
      </c>
    </row>
    <row r="975" spans="1:19" x14ac:dyDescent="0.25">
      <c r="A975" s="1">
        <v>45622</v>
      </c>
      <c r="B975" s="1" t="str">
        <f t="shared" si="75"/>
        <v>2024-11</v>
      </c>
      <c r="C975" t="s">
        <v>28</v>
      </c>
      <c r="D975" t="s">
        <v>15</v>
      </c>
      <c r="E975" t="s">
        <v>22</v>
      </c>
      <c r="F975" t="s">
        <v>32</v>
      </c>
      <c r="G975" s="4">
        <v>109777</v>
      </c>
      <c r="H975" s="4">
        <v>2722</v>
      </c>
      <c r="I975" s="5">
        <v>2.4799999999999999E-2</v>
      </c>
      <c r="J975" s="2">
        <v>1.44</v>
      </c>
      <c r="K975" s="6">
        <v>3919.68</v>
      </c>
      <c r="L975" s="4">
        <v>170</v>
      </c>
      <c r="M975" s="2">
        <v>23.06</v>
      </c>
      <c r="N975" s="6">
        <v>47040.47</v>
      </c>
      <c r="O975" s="6">
        <f t="shared" si="76"/>
        <v>43120.79</v>
      </c>
      <c r="P975" s="6">
        <f t="shared" si="77"/>
        <v>11.001099579557515</v>
      </c>
      <c r="Q975" s="3">
        <v>12</v>
      </c>
      <c r="R975" t="str">
        <f t="shared" si="78"/>
        <v>High</v>
      </c>
      <c r="S975" t="str">
        <f t="shared" si="79"/>
        <v>Valid</v>
      </c>
    </row>
    <row r="976" spans="1:19" x14ac:dyDescent="0.25">
      <c r="A976" s="1">
        <v>45552</v>
      </c>
      <c r="B976" s="1" t="str">
        <f t="shared" si="75"/>
        <v>2024-09</v>
      </c>
      <c r="C976" t="s">
        <v>18</v>
      </c>
      <c r="D976" t="s">
        <v>21</v>
      </c>
      <c r="E976" t="s">
        <v>22</v>
      </c>
      <c r="F976" t="s">
        <v>17</v>
      </c>
      <c r="G976" s="4">
        <v>153537</v>
      </c>
      <c r="H976" s="4">
        <v>7277</v>
      </c>
      <c r="I976" s="5">
        <v>4.7399999999999998E-2</v>
      </c>
      <c r="J976" s="2">
        <v>1</v>
      </c>
      <c r="K976" s="6">
        <v>7277</v>
      </c>
      <c r="L976" s="4">
        <v>175</v>
      </c>
      <c r="M976" s="2">
        <v>41.58</v>
      </c>
      <c r="N976" s="6">
        <v>48117.42</v>
      </c>
      <c r="O976" s="6">
        <f t="shared" si="76"/>
        <v>40840.42</v>
      </c>
      <c r="P976" s="6">
        <f t="shared" si="77"/>
        <v>5.6122605469286793</v>
      </c>
      <c r="Q976" s="3">
        <v>6.61</v>
      </c>
      <c r="R976" t="str">
        <f t="shared" si="78"/>
        <v>High</v>
      </c>
      <c r="S976" t="str">
        <f t="shared" si="79"/>
        <v>Valid</v>
      </c>
    </row>
    <row r="977" spans="1:19" x14ac:dyDescent="0.25">
      <c r="A977" s="1">
        <v>45534</v>
      </c>
      <c r="B977" s="1" t="str">
        <f t="shared" si="75"/>
        <v>2024-08</v>
      </c>
      <c r="C977" t="s">
        <v>14</v>
      </c>
      <c r="D977" t="s">
        <v>24</v>
      </c>
      <c r="E977" t="s">
        <v>16</v>
      </c>
      <c r="F977" t="s">
        <v>26</v>
      </c>
      <c r="G977" s="4">
        <v>20915</v>
      </c>
      <c r="H977" s="4">
        <v>913</v>
      </c>
      <c r="I977" s="5">
        <v>4.3700000000000003E-2</v>
      </c>
      <c r="J977" s="2">
        <v>1.03</v>
      </c>
      <c r="K977" s="6">
        <v>940.39</v>
      </c>
      <c r="L977" s="4">
        <v>37</v>
      </c>
      <c r="M977" s="2">
        <v>25.42</v>
      </c>
      <c r="N977" s="6">
        <v>3637.08</v>
      </c>
      <c r="O977" s="6">
        <f t="shared" si="76"/>
        <v>2696.69</v>
      </c>
      <c r="P977" s="6">
        <f t="shared" si="77"/>
        <v>2.8676293878071863</v>
      </c>
      <c r="Q977" s="3">
        <v>3.87</v>
      </c>
      <c r="R977" t="str">
        <f t="shared" si="78"/>
        <v>High</v>
      </c>
      <c r="S977" t="str">
        <f t="shared" si="79"/>
        <v>Valid</v>
      </c>
    </row>
    <row r="978" spans="1:19" x14ac:dyDescent="0.25">
      <c r="A978" s="1">
        <v>45499</v>
      </c>
      <c r="B978" s="1" t="str">
        <f t="shared" si="75"/>
        <v>2024-07</v>
      </c>
      <c r="C978" t="s">
        <v>28</v>
      </c>
      <c r="D978" t="s">
        <v>15</v>
      </c>
      <c r="E978" t="s">
        <v>19</v>
      </c>
      <c r="F978" t="s">
        <v>20</v>
      </c>
      <c r="G978" s="4">
        <v>29992</v>
      </c>
      <c r="H978" s="4">
        <v>605</v>
      </c>
      <c r="I978" s="5">
        <v>2.0199999999999999E-2</v>
      </c>
      <c r="J978" s="2">
        <v>0.61</v>
      </c>
      <c r="K978" s="6">
        <v>369.05</v>
      </c>
      <c r="L978" s="4">
        <v>35</v>
      </c>
      <c r="M978" s="2">
        <v>10.54</v>
      </c>
      <c r="N978" s="6">
        <v>5311.42</v>
      </c>
      <c r="O978" s="6">
        <f t="shared" si="76"/>
        <v>4942.37</v>
      </c>
      <c r="P978" s="6">
        <f t="shared" si="77"/>
        <v>13.392141986180734</v>
      </c>
      <c r="Q978" s="3">
        <v>14.39</v>
      </c>
      <c r="R978" t="str">
        <f t="shared" si="78"/>
        <v>High</v>
      </c>
      <c r="S978" t="str">
        <f t="shared" si="79"/>
        <v>Valid</v>
      </c>
    </row>
    <row r="979" spans="1:19" x14ac:dyDescent="0.25">
      <c r="A979" s="1">
        <v>45356</v>
      </c>
      <c r="B979" s="1" t="str">
        <f t="shared" si="75"/>
        <v>2024-03</v>
      </c>
      <c r="C979" t="s">
        <v>28</v>
      </c>
      <c r="D979" t="s">
        <v>15</v>
      </c>
      <c r="E979" t="s">
        <v>16</v>
      </c>
      <c r="F979" t="s">
        <v>20</v>
      </c>
      <c r="G979" s="4">
        <v>187461</v>
      </c>
      <c r="H979" s="4">
        <v>2511</v>
      </c>
      <c r="I979" s="5">
        <v>1.34E-2</v>
      </c>
      <c r="J979" s="2">
        <v>1.7</v>
      </c>
      <c r="K979" s="6">
        <v>4268.7</v>
      </c>
      <c r="L979" s="4">
        <v>189</v>
      </c>
      <c r="M979" s="2">
        <v>22.59</v>
      </c>
      <c r="N979" s="6">
        <v>16540.060000000001</v>
      </c>
      <c r="O979" s="6">
        <f t="shared" si="76"/>
        <v>12271.36</v>
      </c>
      <c r="P979" s="6">
        <f t="shared" si="77"/>
        <v>2.8747300114789049</v>
      </c>
      <c r="Q979" s="3">
        <v>3.87</v>
      </c>
      <c r="R979" t="str">
        <f t="shared" si="78"/>
        <v>High</v>
      </c>
      <c r="S979" t="str">
        <f t="shared" si="79"/>
        <v>Valid</v>
      </c>
    </row>
    <row r="980" spans="1:19" x14ac:dyDescent="0.25">
      <c r="A980" s="1">
        <v>45429</v>
      </c>
      <c r="B980" s="1" t="str">
        <f t="shared" si="75"/>
        <v>2024-05</v>
      </c>
      <c r="C980" t="s">
        <v>14</v>
      </c>
      <c r="D980" t="s">
        <v>29</v>
      </c>
      <c r="E980" t="s">
        <v>30</v>
      </c>
      <c r="F980" t="s">
        <v>32</v>
      </c>
      <c r="G980" s="4">
        <v>107885</v>
      </c>
      <c r="H980" s="4">
        <v>3344</v>
      </c>
      <c r="I980" s="5">
        <v>3.1E-2</v>
      </c>
      <c r="J980" s="2">
        <v>2.09</v>
      </c>
      <c r="K980" s="6">
        <v>6988.96</v>
      </c>
      <c r="L980" s="4">
        <v>262</v>
      </c>
      <c r="M980" s="2">
        <v>26.68</v>
      </c>
      <c r="N980" s="6">
        <v>51456.480000000003</v>
      </c>
      <c r="O980" s="6">
        <f t="shared" si="76"/>
        <v>44467.520000000004</v>
      </c>
      <c r="P980" s="6">
        <f t="shared" si="77"/>
        <v>6.3625374876948797</v>
      </c>
      <c r="Q980" s="3">
        <v>7.36</v>
      </c>
      <c r="R980" t="str">
        <f t="shared" si="78"/>
        <v>High</v>
      </c>
      <c r="S980" t="str">
        <f t="shared" si="79"/>
        <v>Valid</v>
      </c>
    </row>
    <row r="981" spans="1:19" x14ac:dyDescent="0.25">
      <c r="A981" s="1">
        <v>45435</v>
      </c>
      <c r="B981" s="1" t="str">
        <f t="shared" si="75"/>
        <v>2024-05</v>
      </c>
      <c r="C981" t="s">
        <v>14</v>
      </c>
      <c r="D981" t="s">
        <v>21</v>
      </c>
      <c r="E981" t="s">
        <v>30</v>
      </c>
      <c r="F981" t="s">
        <v>26</v>
      </c>
      <c r="G981" s="4">
        <v>162242</v>
      </c>
      <c r="H981" s="4">
        <v>5110</v>
      </c>
      <c r="I981" s="5">
        <v>3.15E-2</v>
      </c>
      <c r="J981" s="2">
        <v>2.67</v>
      </c>
      <c r="K981" s="6">
        <v>13643.7</v>
      </c>
      <c r="L981" s="4">
        <v>118</v>
      </c>
      <c r="M981" s="2">
        <v>115.62</v>
      </c>
      <c r="N981" s="6">
        <v>30643.55</v>
      </c>
      <c r="O981" s="6">
        <f t="shared" si="76"/>
        <v>16999.849999999999</v>
      </c>
      <c r="P981" s="6">
        <f t="shared" si="77"/>
        <v>1.2459853265609766</v>
      </c>
      <c r="Q981" s="3">
        <v>2.25</v>
      </c>
      <c r="R981" t="str">
        <f t="shared" si="78"/>
        <v>Medium</v>
      </c>
      <c r="S981" t="str">
        <f t="shared" si="79"/>
        <v>Valid</v>
      </c>
    </row>
    <row r="982" spans="1:19" x14ac:dyDescent="0.25">
      <c r="A982" s="1">
        <v>45418</v>
      </c>
      <c r="B982" s="1" t="str">
        <f t="shared" si="75"/>
        <v>2024-05</v>
      </c>
      <c r="C982" t="s">
        <v>28</v>
      </c>
      <c r="D982" t="s">
        <v>21</v>
      </c>
      <c r="E982" t="s">
        <v>19</v>
      </c>
      <c r="F982" t="s">
        <v>23</v>
      </c>
      <c r="G982" s="4">
        <v>34404</v>
      </c>
      <c r="H982" s="4">
        <v>1204</v>
      </c>
      <c r="I982" s="5">
        <v>3.5000000000000003E-2</v>
      </c>
      <c r="J982" s="2">
        <v>1.42</v>
      </c>
      <c r="K982" s="6">
        <v>1709.68</v>
      </c>
      <c r="L982" s="4">
        <v>94</v>
      </c>
      <c r="M982" s="2">
        <v>18.190000000000001</v>
      </c>
      <c r="N982" s="6">
        <v>17655.16</v>
      </c>
      <c r="O982" s="6">
        <f t="shared" si="76"/>
        <v>15945.48</v>
      </c>
      <c r="P982" s="6">
        <f t="shared" si="77"/>
        <v>9.326587431566141</v>
      </c>
      <c r="Q982" s="3">
        <v>10.33</v>
      </c>
      <c r="R982" t="str">
        <f t="shared" si="78"/>
        <v>High</v>
      </c>
      <c r="S982" t="str">
        <f t="shared" si="79"/>
        <v>Valid</v>
      </c>
    </row>
    <row r="983" spans="1:19" x14ac:dyDescent="0.25">
      <c r="A983" s="1">
        <v>45598</v>
      </c>
      <c r="B983" s="1" t="str">
        <f t="shared" si="75"/>
        <v>2024-11</v>
      </c>
      <c r="C983" t="s">
        <v>28</v>
      </c>
      <c r="D983" t="s">
        <v>29</v>
      </c>
      <c r="E983" t="s">
        <v>19</v>
      </c>
      <c r="F983" t="s">
        <v>32</v>
      </c>
      <c r="G983" s="4">
        <v>133773</v>
      </c>
      <c r="H983" s="4">
        <v>3491</v>
      </c>
      <c r="I983" s="5">
        <v>2.6100000000000002E-2</v>
      </c>
      <c r="J983" s="2">
        <v>1.83</v>
      </c>
      <c r="K983" s="6">
        <v>6388.53</v>
      </c>
      <c r="L983" s="4">
        <v>181</v>
      </c>
      <c r="M983" s="2">
        <v>35.299999999999997</v>
      </c>
      <c r="N983" s="6">
        <v>21663.32</v>
      </c>
      <c r="O983" s="6">
        <f t="shared" si="76"/>
        <v>15274.79</v>
      </c>
      <c r="P983" s="6">
        <f t="shared" si="77"/>
        <v>2.3909710058495461</v>
      </c>
      <c r="Q983" s="3">
        <v>3.39</v>
      </c>
      <c r="R983" t="str">
        <f t="shared" si="78"/>
        <v>High</v>
      </c>
      <c r="S983" t="str">
        <f t="shared" si="79"/>
        <v>Valid</v>
      </c>
    </row>
    <row r="984" spans="1:19" x14ac:dyDescent="0.25">
      <c r="A984" s="1">
        <v>45507</v>
      </c>
      <c r="B984" s="1" t="str">
        <f t="shared" si="75"/>
        <v>2024-08</v>
      </c>
      <c r="C984" t="s">
        <v>14</v>
      </c>
      <c r="D984" t="s">
        <v>21</v>
      </c>
      <c r="E984" t="s">
        <v>25</v>
      </c>
      <c r="F984" t="s">
        <v>27</v>
      </c>
      <c r="G984" s="4">
        <v>185948</v>
      </c>
      <c r="H984" s="4">
        <v>5373</v>
      </c>
      <c r="I984" s="5">
        <v>2.8899999999999999E-2</v>
      </c>
      <c r="J984" s="2">
        <v>0.73</v>
      </c>
      <c r="K984" s="6">
        <v>3922.29</v>
      </c>
      <c r="L984" s="4">
        <v>82</v>
      </c>
      <c r="M984" s="2">
        <v>47.83</v>
      </c>
      <c r="N984" s="6">
        <v>15594.76</v>
      </c>
      <c r="O984" s="6">
        <f t="shared" si="76"/>
        <v>11672.470000000001</v>
      </c>
      <c r="P984" s="6">
        <f t="shared" si="77"/>
        <v>2.9759324272300112</v>
      </c>
      <c r="Q984" s="3">
        <v>3.98</v>
      </c>
      <c r="R984" t="str">
        <f t="shared" si="78"/>
        <v>High</v>
      </c>
      <c r="S984" t="str">
        <f t="shared" si="79"/>
        <v>Valid</v>
      </c>
    </row>
    <row r="985" spans="1:19" x14ac:dyDescent="0.25">
      <c r="A985" s="1">
        <v>45486</v>
      </c>
      <c r="B985" s="1" t="str">
        <f t="shared" si="75"/>
        <v>2024-07</v>
      </c>
      <c r="C985" t="s">
        <v>14</v>
      </c>
      <c r="D985" t="s">
        <v>24</v>
      </c>
      <c r="E985" t="s">
        <v>22</v>
      </c>
      <c r="F985" t="s">
        <v>32</v>
      </c>
      <c r="G985" s="4">
        <v>98375</v>
      </c>
      <c r="H985" s="4">
        <v>1898</v>
      </c>
      <c r="I985" s="5">
        <v>1.9300000000000001E-2</v>
      </c>
      <c r="J985" s="2">
        <v>3.35</v>
      </c>
      <c r="K985" s="6">
        <v>6358.3</v>
      </c>
      <c r="L985" s="4">
        <v>45</v>
      </c>
      <c r="M985" s="2">
        <v>141.30000000000001</v>
      </c>
      <c r="N985" s="6">
        <v>2253.91</v>
      </c>
      <c r="O985" s="6">
        <f t="shared" si="76"/>
        <v>-4104.3900000000003</v>
      </c>
      <c r="P985" s="6">
        <f t="shared" si="77"/>
        <v>-0.64551688344368785</v>
      </c>
      <c r="Q985" s="3">
        <v>0.35</v>
      </c>
      <c r="R985" t="str">
        <f t="shared" si="78"/>
        <v>Low</v>
      </c>
      <c r="S985" t="str">
        <f t="shared" si="79"/>
        <v>Valid</v>
      </c>
    </row>
    <row r="986" spans="1:19" x14ac:dyDescent="0.25">
      <c r="A986" s="1">
        <v>45495</v>
      </c>
      <c r="B986" s="1" t="str">
        <f t="shared" si="75"/>
        <v>2024-07</v>
      </c>
      <c r="C986" t="s">
        <v>14</v>
      </c>
      <c r="D986" t="s">
        <v>21</v>
      </c>
      <c r="E986" t="s">
        <v>22</v>
      </c>
      <c r="F986" t="s">
        <v>23</v>
      </c>
      <c r="G986" s="4">
        <v>190826</v>
      </c>
      <c r="H986" s="4">
        <v>12174</v>
      </c>
      <c r="I986" s="5">
        <v>6.3799999999999996E-2</v>
      </c>
      <c r="J986" s="2">
        <v>1.75</v>
      </c>
      <c r="K986" s="6">
        <v>21304.5</v>
      </c>
      <c r="L986" s="4">
        <v>933</v>
      </c>
      <c r="M986" s="2">
        <v>22.83</v>
      </c>
      <c r="N986" s="6">
        <v>139478.01</v>
      </c>
      <c r="O986" s="6">
        <f t="shared" si="76"/>
        <v>118173.51000000001</v>
      </c>
      <c r="P986" s="6">
        <f t="shared" si="77"/>
        <v>5.5468802365697396</v>
      </c>
      <c r="Q986" s="3">
        <v>6.55</v>
      </c>
      <c r="R986" t="str">
        <f t="shared" si="78"/>
        <v>High</v>
      </c>
      <c r="S986" t="str">
        <f t="shared" si="79"/>
        <v>Valid</v>
      </c>
    </row>
    <row r="987" spans="1:19" x14ac:dyDescent="0.25">
      <c r="A987" s="1">
        <v>45480</v>
      </c>
      <c r="B987" s="1" t="str">
        <f t="shared" si="75"/>
        <v>2024-07</v>
      </c>
      <c r="C987" t="s">
        <v>28</v>
      </c>
      <c r="D987" t="s">
        <v>29</v>
      </c>
      <c r="E987" t="s">
        <v>22</v>
      </c>
      <c r="F987" t="s">
        <v>17</v>
      </c>
      <c r="G987" s="4">
        <v>105050</v>
      </c>
      <c r="H987" s="4">
        <v>3077</v>
      </c>
      <c r="I987" s="5">
        <v>2.93E-2</v>
      </c>
      <c r="J987" s="2">
        <v>0.5</v>
      </c>
      <c r="K987" s="6">
        <v>1538.5</v>
      </c>
      <c r="L987" s="4">
        <v>206</v>
      </c>
      <c r="M987" s="2">
        <v>7.47</v>
      </c>
      <c r="N987" s="6">
        <v>55580.46</v>
      </c>
      <c r="O987" s="6">
        <f t="shared" si="76"/>
        <v>54041.96</v>
      </c>
      <c r="P987" s="6">
        <f t="shared" si="77"/>
        <v>35.126395840103996</v>
      </c>
      <c r="Q987" s="3">
        <v>36.130000000000003</v>
      </c>
      <c r="R987" t="str">
        <f t="shared" si="78"/>
        <v>High</v>
      </c>
      <c r="S987" t="str">
        <f t="shared" si="79"/>
        <v>Valid</v>
      </c>
    </row>
    <row r="988" spans="1:19" x14ac:dyDescent="0.25">
      <c r="A988" s="1">
        <v>45492</v>
      </c>
      <c r="B988" s="1" t="str">
        <f t="shared" si="75"/>
        <v>2024-07</v>
      </c>
      <c r="C988" t="s">
        <v>14</v>
      </c>
      <c r="D988" t="s">
        <v>24</v>
      </c>
      <c r="E988" t="s">
        <v>30</v>
      </c>
      <c r="F988" t="s">
        <v>31</v>
      </c>
      <c r="G988" s="4">
        <v>52547</v>
      </c>
      <c r="H988" s="4">
        <v>2806</v>
      </c>
      <c r="I988" s="5">
        <v>5.3400000000000003E-2</v>
      </c>
      <c r="J988" s="2">
        <v>2.15</v>
      </c>
      <c r="K988" s="6">
        <v>6032.9</v>
      </c>
      <c r="L988" s="4">
        <v>47</v>
      </c>
      <c r="M988" s="2">
        <v>128.36000000000001</v>
      </c>
      <c r="N988" s="6">
        <v>13262.4</v>
      </c>
      <c r="O988" s="6">
        <f t="shared" si="76"/>
        <v>7229.5</v>
      </c>
      <c r="P988" s="6">
        <f t="shared" si="77"/>
        <v>1.1983457375391604</v>
      </c>
      <c r="Q988" s="3">
        <v>2.2000000000000002</v>
      </c>
      <c r="R988" t="str">
        <f t="shared" si="78"/>
        <v>Medium</v>
      </c>
      <c r="S988" t="str">
        <f t="shared" si="79"/>
        <v>Valid</v>
      </c>
    </row>
    <row r="989" spans="1:19" x14ac:dyDescent="0.25">
      <c r="A989" s="1">
        <v>45427</v>
      </c>
      <c r="B989" s="1" t="str">
        <f t="shared" si="75"/>
        <v>2024-05</v>
      </c>
      <c r="C989" t="s">
        <v>14</v>
      </c>
      <c r="D989" t="s">
        <v>15</v>
      </c>
      <c r="E989" t="s">
        <v>22</v>
      </c>
      <c r="F989" t="s">
        <v>31</v>
      </c>
      <c r="G989" s="4">
        <v>139648</v>
      </c>
      <c r="H989" s="4">
        <v>4398</v>
      </c>
      <c r="I989" s="5">
        <v>3.15E-2</v>
      </c>
      <c r="J989" s="2">
        <v>3</v>
      </c>
      <c r="K989" s="6">
        <v>13194</v>
      </c>
      <c r="L989" s="4">
        <v>347</v>
      </c>
      <c r="M989" s="2">
        <v>38.020000000000003</v>
      </c>
      <c r="N989" s="6">
        <v>82597.149999999994</v>
      </c>
      <c r="O989" s="6">
        <f t="shared" si="76"/>
        <v>69403.149999999994</v>
      </c>
      <c r="P989" s="6">
        <f t="shared" si="77"/>
        <v>5.2602053963922994</v>
      </c>
      <c r="Q989" s="3">
        <v>6.26</v>
      </c>
      <c r="R989" t="str">
        <f t="shared" si="78"/>
        <v>High</v>
      </c>
      <c r="S989" t="str">
        <f t="shared" si="79"/>
        <v>Valid</v>
      </c>
    </row>
    <row r="990" spans="1:19" x14ac:dyDescent="0.25">
      <c r="A990" s="1">
        <v>45464</v>
      </c>
      <c r="B990" s="1" t="str">
        <f t="shared" si="75"/>
        <v>2024-06</v>
      </c>
      <c r="C990" t="s">
        <v>18</v>
      </c>
      <c r="D990" t="s">
        <v>15</v>
      </c>
      <c r="E990" t="s">
        <v>16</v>
      </c>
      <c r="F990" t="s">
        <v>26</v>
      </c>
      <c r="G990" s="4">
        <v>186434</v>
      </c>
      <c r="H990" s="4">
        <v>8743</v>
      </c>
      <c r="I990" s="5">
        <v>4.6899999999999997E-2</v>
      </c>
      <c r="J990" s="2">
        <v>1.65</v>
      </c>
      <c r="K990" s="6">
        <v>14425.95</v>
      </c>
      <c r="L990" s="4">
        <v>87</v>
      </c>
      <c r="M990" s="2">
        <v>165.82</v>
      </c>
      <c r="N990" s="6">
        <v>21530.58</v>
      </c>
      <c r="O990" s="6">
        <f t="shared" si="76"/>
        <v>7104.630000000001</v>
      </c>
      <c r="P990" s="6">
        <f t="shared" si="77"/>
        <v>0.49248957607644561</v>
      </c>
      <c r="Q990" s="3">
        <v>1.49</v>
      </c>
      <c r="R990" t="str">
        <f t="shared" si="78"/>
        <v>Medium</v>
      </c>
      <c r="S990" t="str">
        <f t="shared" si="79"/>
        <v>Valid</v>
      </c>
    </row>
    <row r="991" spans="1:19" x14ac:dyDescent="0.25">
      <c r="A991" s="1">
        <v>45502</v>
      </c>
      <c r="B991" s="1" t="str">
        <f t="shared" si="75"/>
        <v>2024-07</v>
      </c>
      <c r="C991" t="s">
        <v>14</v>
      </c>
      <c r="D991" t="s">
        <v>15</v>
      </c>
      <c r="E991" t="s">
        <v>16</v>
      </c>
      <c r="F991" t="s">
        <v>26</v>
      </c>
      <c r="G991" s="4">
        <v>63001</v>
      </c>
      <c r="H991" s="4">
        <v>3181</v>
      </c>
      <c r="I991" s="5">
        <v>5.0500000000000003E-2</v>
      </c>
      <c r="J991" s="2">
        <v>1.48</v>
      </c>
      <c r="K991" s="6">
        <v>4707.88</v>
      </c>
      <c r="L991" s="4">
        <v>94</v>
      </c>
      <c r="M991" s="2">
        <v>50.08</v>
      </c>
      <c r="N991" s="6">
        <v>3324.55</v>
      </c>
      <c r="O991" s="6">
        <f t="shared" si="76"/>
        <v>-1383.33</v>
      </c>
      <c r="P991" s="6">
        <f t="shared" si="77"/>
        <v>-0.29383289293694825</v>
      </c>
      <c r="Q991" s="3">
        <v>0.71</v>
      </c>
      <c r="R991" t="str">
        <f t="shared" si="78"/>
        <v>Low</v>
      </c>
      <c r="S991" t="str">
        <f t="shared" si="79"/>
        <v>Valid</v>
      </c>
    </row>
    <row r="992" spans="1:19" x14ac:dyDescent="0.25">
      <c r="A992" s="1">
        <v>45394</v>
      </c>
      <c r="B992" s="1" t="str">
        <f t="shared" si="75"/>
        <v>2024-04</v>
      </c>
      <c r="C992" t="s">
        <v>28</v>
      </c>
      <c r="D992" t="s">
        <v>24</v>
      </c>
      <c r="E992" t="s">
        <v>30</v>
      </c>
      <c r="F992" t="s">
        <v>20</v>
      </c>
      <c r="G992" s="4">
        <v>132343</v>
      </c>
      <c r="H992" s="4">
        <v>3507</v>
      </c>
      <c r="I992" s="5">
        <v>2.6499999999999999E-2</v>
      </c>
      <c r="J992" s="2">
        <v>1.1399999999999999</v>
      </c>
      <c r="K992" s="6">
        <v>3997.98</v>
      </c>
      <c r="L992" s="4">
        <v>238</v>
      </c>
      <c r="M992" s="2">
        <v>16.8</v>
      </c>
      <c r="N992" s="6">
        <v>17184.939999999999</v>
      </c>
      <c r="O992" s="6">
        <f t="shared" si="76"/>
        <v>13186.96</v>
      </c>
      <c r="P992" s="6">
        <f t="shared" si="77"/>
        <v>3.2984056948759122</v>
      </c>
      <c r="Q992" s="3">
        <v>4.3</v>
      </c>
      <c r="R992" t="str">
        <f t="shared" si="78"/>
        <v>High</v>
      </c>
      <c r="S992" t="str">
        <f t="shared" si="79"/>
        <v>Valid</v>
      </c>
    </row>
    <row r="993" spans="1:19" x14ac:dyDescent="0.25">
      <c r="A993" s="1">
        <v>45462</v>
      </c>
      <c r="B993" s="1" t="str">
        <f t="shared" si="75"/>
        <v>2024-06</v>
      </c>
      <c r="C993" t="s">
        <v>14</v>
      </c>
      <c r="D993" t="s">
        <v>24</v>
      </c>
      <c r="E993" t="s">
        <v>22</v>
      </c>
      <c r="F993" t="s">
        <v>20</v>
      </c>
      <c r="G993" s="4">
        <v>172570</v>
      </c>
      <c r="H993" s="4">
        <v>3692</v>
      </c>
      <c r="I993" s="5">
        <v>2.1399999999999999E-2</v>
      </c>
      <c r="J993" s="2">
        <v>2.16</v>
      </c>
      <c r="K993" s="6">
        <v>7974.72</v>
      </c>
      <c r="L993" s="4">
        <v>53</v>
      </c>
      <c r="M993" s="2">
        <v>150.47</v>
      </c>
      <c r="N993" s="6">
        <v>15699.11</v>
      </c>
      <c r="O993" s="6">
        <f t="shared" si="76"/>
        <v>7724.39</v>
      </c>
      <c r="P993" s="6">
        <f t="shared" si="77"/>
        <v>0.96860955619758438</v>
      </c>
      <c r="Q993" s="3">
        <v>1.97</v>
      </c>
      <c r="R993" t="str">
        <f t="shared" si="78"/>
        <v>Medium</v>
      </c>
      <c r="S993" t="str">
        <f t="shared" si="79"/>
        <v>Valid</v>
      </c>
    </row>
    <row r="994" spans="1:19" x14ac:dyDescent="0.25">
      <c r="A994" s="1">
        <v>45391</v>
      </c>
      <c r="B994" s="1" t="str">
        <f t="shared" si="75"/>
        <v>2024-04</v>
      </c>
      <c r="C994" t="s">
        <v>14</v>
      </c>
      <c r="D994" t="s">
        <v>21</v>
      </c>
      <c r="E994" t="s">
        <v>16</v>
      </c>
      <c r="F994" t="s">
        <v>17</v>
      </c>
      <c r="G994" s="4">
        <v>196510</v>
      </c>
      <c r="H994" s="4">
        <v>10316</v>
      </c>
      <c r="I994" s="5">
        <v>5.2499999999999998E-2</v>
      </c>
      <c r="J994" s="2">
        <v>2</v>
      </c>
      <c r="K994" s="6">
        <v>20632</v>
      </c>
      <c r="L994" s="4">
        <v>282</v>
      </c>
      <c r="M994" s="2">
        <v>73.16</v>
      </c>
      <c r="N994" s="6">
        <v>66245.27</v>
      </c>
      <c r="O994" s="6">
        <f t="shared" si="76"/>
        <v>45613.270000000004</v>
      </c>
      <c r="P994" s="6">
        <f t="shared" si="77"/>
        <v>2.2108021519968983</v>
      </c>
      <c r="Q994" s="3">
        <v>3.21</v>
      </c>
      <c r="R994" t="str">
        <f t="shared" si="78"/>
        <v>High</v>
      </c>
      <c r="S994" t="str">
        <f t="shared" si="79"/>
        <v>Valid</v>
      </c>
    </row>
    <row r="995" spans="1:19" x14ac:dyDescent="0.25">
      <c r="A995" s="1">
        <v>45425</v>
      </c>
      <c r="B995" s="1" t="str">
        <f t="shared" si="75"/>
        <v>2024-05</v>
      </c>
      <c r="C995" t="s">
        <v>14</v>
      </c>
      <c r="D995" t="s">
        <v>29</v>
      </c>
      <c r="E995" t="s">
        <v>19</v>
      </c>
      <c r="F995" t="s">
        <v>27</v>
      </c>
      <c r="G995" s="4">
        <v>140875</v>
      </c>
      <c r="H995" s="4">
        <v>6818</v>
      </c>
      <c r="I995" s="5">
        <v>4.8399999999999999E-2</v>
      </c>
      <c r="J995" s="2">
        <v>2.25</v>
      </c>
      <c r="K995" s="6">
        <v>15340.5</v>
      </c>
      <c r="L995" s="4">
        <v>142</v>
      </c>
      <c r="M995" s="2">
        <v>108.03</v>
      </c>
      <c r="N995" s="6">
        <v>28774.25</v>
      </c>
      <c r="O995" s="6">
        <f t="shared" si="76"/>
        <v>13433.75</v>
      </c>
      <c r="P995" s="6">
        <f t="shared" si="77"/>
        <v>0.87570483361037776</v>
      </c>
      <c r="Q995" s="3">
        <v>1.88</v>
      </c>
      <c r="R995" t="str">
        <f t="shared" si="78"/>
        <v>Medium</v>
      </c>
      <c r="S995" t="str">
        <f t="shared" si="79"/>
        <v>Valid</v>
      </c>
    </row>
    <row r="996" spans="1:19" x14ac:dyDescent="0.25">
      <c r="A996" s="1">
        <v>45506</v>
      </c>
      <c r="B996" s="1" t="str">
        <f t="shared" si="75"/>
        <v>2024-08</v>
      </c>
      <c r="C996" t="s">
        <v>18</v>
      </c>
      <c r="D996" t="s">
        <v>24</v>
      </c>
      <c r="E996" t="s">
        <v>25</v>
      </c>
      <c r="F996" t="s">
        <v>23</v>
      </c>
      <c r="G996" s="4">
        <v>50955</v>
      </c>
      <c r="H996" s="4">
        <v>3892</v>
      </c>
      <c r="I996" s="5">
        <v>7.6399999999999996E-2</v>
      </c>
      <c r="J996" s="2">
        <v>1.27</v>
      </c>
      <c r="K996" s="6">
        <v>4942.84</v>
      </c>
      <c r="L996" s="4">
        <v>224</v>
      </c>
      <c r="M996" s="2">
        <v>22.07</v>
      </c>
      <c r="N996" s="6">
        <v>60995.17</v>
      </c>
      <c r="O996" s="6">
        <f t="shared" si="76"/>
        <v>56052.33</v>
      </c>
      <c r="P996" s="6">
        <f t="shared" si="77"/>
        <v>11.340106092853501</v>
      </c>
      <c r="Q996" s="3">
        <v>12.34</v>
      </c>
      <c r="R996" t="str">
        <f t="shared" si="78"/>
        <v>High</v>
      </c>
      <c r="S996" t="str">
        <f t="shared" si="79"/>
        <v>Valid</v>
      </c>
    </row>
    <row r="997" spans="1:19" x14ac:dyDescent="0.25">
      <c r="A997" s="1">
        <v>45584</v>
      </c>
      <c r="B997" s="1" t="str">
        <f t="shared" si="75"/>
        <v>2024-10</v>
      </c>
      <c r="C997" t="s">
        <v>14</v>
      </c>
      <c r="D997" t="s">
        <v>15</v>
      </c>
      <c r="E997" t="s">
        <v>16</v>
      </c>
      <c r="F997" t="s">
        <v>23</v>
      </c>
      <c r="G997" s="4">
        <v>103991</v>
      </c>
      <c r="H997" s="4">
        <v>3067</v>
      </c>
      <c r="I997" s="5">
        <v>2.9499999999999998E-2</v>
      </c>
      <c r="J997" s="2">
        <v>2.59</v>
      </c>
      <c r="K997" s="6">
        <v>7943.53</v>
      </c>
      <c r="L997" s="4">
        <v>142</v>
      </c>
      <c r="M997" s="2">
        <v>55.94</v>
      </c>
      <c r="N997" s="6">
        <v>36045.300000000003</v>
      </c>
      <c r="O997" s="6">
        <f t="shared" si="76"/>
        <v>28101.770000000004</v>
      </c>
      <c r="P997" s="6">
        <f t="shared" si="77"/>
        <v>3.5376929400405115</v>
      </c>
      <c r="Q997" s="3">
        <v>4.54</v>
      </c>
      <c r="R997" t="str">
        <f t="shared" si="78"/>
        <v>High</v>
      </c>
      <c r="S997" t="str">
        <f t="shared" si="79"/>
        <v>Valid</v>
      </c>
    </row>
    <row r="998" spans="1:19" x14ac:dyDescent="0.25">
      <c r="A998" s="1">
        <v>45590</v>
      </c>
      <c r="B998" s="1" t="str">
        <f t="shared" si="75"/>
        <v>2024-10</v>
      </c>
      <c r="C998" t="s">
        <v>14</v>
      </c>
      <c r="D998" t="s">
        <v>21</v>
      </c>
      <c r="E998" t="s">
        <v>19</v>
      </c>
      <c r="F998" t="s">
        <v>26</v>
      </c>
      <c r="G998" s="4">
        <v>22637</v>
      </c>
      <c r="H998" s="4">
        <v>876</v>
      </c>
      <c r="I998" s="5">
        <v>3.8699999999999998E-2</v>
      </c>
      <c r="J998" s="2">
        <v>1.22</v>
      </c>
      <c r="K998" s="6">
        <v>1068.72</v>
      </c>
      <c r="L998" s="4">
        <v>16</v>
      </c>
      <c r="M998" s="2">
        <v>66.8</v>
      </c>
      <c r="N998" s="6">
        <v>2623.14</v>
      </c>
      <c r="O998" s="6">
        <f t="shared" si="76"/>
        <v>1554.4199999999998</v>
      </c>
      <c r="P998" s="6">
        <f t="shared" si="77"/>
        <v>1.4544688973725577</v>
      </c>
      <c r="Q998" s="3">
        <v>2.4500000000000002</v>
      </c>
      <c r="R998" t="str">
        <f t="shared" si="78"/>
        <v>Medium</v>
      </c>
      <c r="S998" t="str">
        <f t="shared" si="79"/>
        <v>Valid</v>
      </c>
    </row>
    <row r="999" spans="1:19" x14ac:dyDescent="0.25">
      <c r="A999" s="1">
        <v>45646</v>
      </c>
      <c r="B999" s="1" t="str">
        <f t="shared" si="75"/>
        <v>2024-12</v>
      </c>
      <c r="C999" t="s">
        <v>28</v>
      </c>
      <c r="D999" t="s">
        <v>29</v>
      </c>
      <c r="E999" t="s">
        <v>16</v>
      </c>
      <c r="F999" t="s">
        <v>27</v>
      </c>
      <c r="G999" s="4">
        <v>86099</v>
      </c>
      <c r="H999" s="4">
        <v>2910</v>
      </c>
      <c r="I999" s="5">
        <v>3.3799999999999997E-2</v>
      </c>
      <c r="J999" s="2">
        <v>2.19</v>
      </c>
      <c r="K999" s="6">
        <v>6372.9</v>
      </c>
      <c r="L999" s="4">
        <v>194</v>
      </c>
      <c r="M999" s="2">
        <v>32.85</v>
      </c>
      <c r="N999" s="6">
        <v>39485.519999999997</v>
      </c>
      <c r="O999" s="6">
        <f t="shared" si="76"/>
        <v>33112.619999999995</v>
      </c>
      <c r="P999" s="6">
        <f t="shared" si="77"/>
        <v>5.1958480440615729</v>
      </c>
      <c r="Q999" s="3">
        <v>6.2</v>
      </c>
      <c r="R999" t="str">
        <f t="shared" si="78"/>
        <v>High</v>
      </c>
      <c r="S999" t="str">
        <f t="shared" si="79"/>
        <v>Valid</v>
      </c>
    </row>
    <row r="1000" spans="1:19" x14ac:dyDescent="0.25">
      <c r="A1000" s="1">
        <v>45604</v>
      </c>
      <c r="B1000" s="1" t="str">
        <f t="shared" si="75"/>
        <v>2024-11</v>
      </c>
      <c r="C1000" t="s">
        <v>28</v>
      </c>
      <c r="D1000" t="s">
        <v>29</v>
      </c>
      <c r="E1000" t="s">
        <v>16</v>
      </c>
      <c r="F1000" t="s">
        <v>17</v>
      </c>
      <c r="G1000" s="4">
        <v>181950</v>
      </c>
      <c r="H1000" s="4">
        <v>2401</v>
      </c>
      <c r="I1000" s="5">
        <v>1.32E-2</v>
      </c>
      <c r="J1000" s="2">
        <v>0.67</v>
      </c>
      <c r="K1000" s="6">
        <v>1608.67</v>
      </c>
      <c r="L1000" s="4">
        <v>168</v>
      </c>
      <c r="M1000" s="2">
        <v>9.58</v>
      </c>
      <c r="N1000" s="6">
        <v>30028.61</v>
      </c>
      <c r="O1000" s="6">
        <f t="shared" si="76"/>
        <v>28419.940000000002</v>
      </c>
      <c r="P1000" s="6">
        <f t="shared" si="77"/>
        <v>17.666730901925195</v>
      </c>
      <c r="Q1000" s="3">
        <v>18.670000000000002</v>
      </c>
      <c r="R1000" t="str">
        <f t="shared" si="78"/>
        <v>High</v>
      </c>
      <c r="S1000" t="str">
        <f t="shared" si="79"/>
        <v>Valid</v>
      </c>
    </row>
    <row r="1001" spans="1:19" x14ac:dyDescent="0.25">
      <c r="A1001" s="1">
        <v>45454</v>
      </c>
      <c r="B1001" s="1" t="str">
        <f t="shared" si="75"/>
        <v>2024-06</v>
      </c>
      <c r="C1001" t="s">
        <v>28</v>
      </c>
      <c r="D1001" t="s">
        <v>21</v>
      </c>
      <c r="E1001" t="s">
        <v>30</v>
      </c>
      <c r="F1001" t="s">
        <v>32</v>
      </c>
      <c r="G1001" s="4">
        <v>102229</v>
      </c>
      <c r="H1001" s="4">
        <v>2146</v>
      </c>
      <c r="I1001" s="5">
        <v>2.1000000000000001E-2</v>
      </c>
      <c r="J1001" s="2">
        <v>0.61</v>
      </c>
      <c r="K1001" s="6">
        <v>1309.06</v>
      </c>
      <c r="L1001" s="4">
        <v>52</v>
      </c>
      <c r="M1001" s="2">
        <v>25.17</v>
      </c>
      <c r="N1001" s="6">
        <v>14121.79</v>
      </c>
      <c r="O1001" s="6">
        <f t="shared" si="76"/>
        <v>12812.730000000001</v>
      </c>
      <c r="P1001" s="6">
        <f t="shared" si="77"/>
        <v>9.7877331825890348</v>
      </c>
      <c r="Q1001" s="3">
        <v>10.79</v>
      </c>
      <c r="R1001" t="str">
        <f t="shared" si="78"/>
        <v>High</v>
      </c>
      <c r="S1001" t="str">
        <f t="shared" si="79"/>
        <v>Valid</v>
      </c>
    </row>
    <row r="1002" spans="1:19" x14ac:dyDescent="0.25">
      <c r="A1002" s="1">
        <v>45557</v>
      </c>
      <c r="B1002" s="1" t="str">
        <f t="shared" si="75"/>
        <v>2024-09</v>
      </c>
      <c r="C1002" t="s">
        <v>18</v>
      </c>
      <c r="D1002" t="s">
        <v>21</v>
      </c>
      <c r="E1002" t="s">
        <v>25</v>
      </c>
      <c r="F1002" t="s">
        <v>26</v>
      </c>
      <c r="G1002" s="4">
        <v>53167</v>
      </c>
      <c r="H1002" s="4">
        <v>2536</v>
      </c>
      <c r="I1002" s="5">
        <v>4.7699999999999999E-2</v>
      </c>
      <c r="J1002" s="2">
        <v>0.44</v>
      </c>
      <c r="K1002" s="6">
        <v>1115.8399999999999</v>
      </c>
      <c r="L1002" s="4">
        <v>145</v>
      </c>
      <c r="M1002" s="2">
        <v>7.7</v>
      </c>
      <c r="N1002" s="6">
        <v>11216.46</v>
      </c>
      <c r="O1002" s="6">
        <f t="shared" si="76"/>
        <v>10100.619999999999</v>
      </c>
      <c r="P1002" s="6">
        <f t="shared" si="77"/>
        <v>9.0520325494694571</v>
      </c>
      <c r="Q1002" s="3">
        <v>10.050000000000001</v>
      </c>
      <c r="R1002" t="str">
        <f t="shared" si="78"/>
        <v>High</v>
      </c>
      <c r="S1002" t="str">
        <f t="shared" si="79"/>
        <v>Valid</v>
      </c>
    </row>
    <row r="1003" spans="1:19" x14ac:dyDescent="0.25">
      <c r="A1003" s="1">
        <v>45418</v>
      </c>
      <c r="B1003" s="1" t="str">
        <f t="shared" si="75"/>
        <v>2024-05</v>
      </c>
      <c r="C1003" t="s">
        <v>28</v>
      </c>
      <c r="D1003" t="s">
        <v>24</v>
      </c>
      <c r="E1003" t="s">
        <v>25</v>
      </c>
      <c r="F1003" t="s">
        <v>27</v>
      </c>
      <c r="G1003" s="4">
        <v>10177</v>
      </c>
      <c r="H1003" s="4">
        <v>413</v>
      </c>
      <c r="I1003" s="5">
        <v>4.0599999999999997E-2</v>
      </c>
      <c r="J1003" s="2">
        <v>1.85</v>
      </c>
      <c r="K1003" s="6">
        <v>764.05</v>
      </c>
      <c r="L1003" s="4">
        <v>16</v>
      </c>
      <c r="M1003" s="2">
        <v>47.75</v>
      </c>
      <c r="N1003" s="6">
        <v>4058.36</v>
      </c>
      <c r="O1003" s="6">
        <f t="shared" si="76"/>
        <v>3294.3100000000004</v>
      </c>
      <c r="P1003" s="6">
        <f t="shared" si="77"/>
        <v>4.3116419082520787</v>
      </c>
      <c r="Q1003" s="3">
        <v>5.31</v>
      </c>
      <c r="R1003" t="str">
        <f t="shared" si="78"/>
        <v>High</v>
      </c>
      <c r="S1003" t="str">
        <f t="shared" si="79"/>
        <v>Valid</v>
      </c>
    </row>
    <row r="1004" spans="1:19" x14ac:dyDescent="0.25">
      <c r="A1004" s="1">
        <v>45634</v>
      </c>
      <c r="B1004" s="1" t="str">
        <f t="shared" si="75"/>
        <v>2024-12</v>
      </c>
      <c r="C1004" t="s">
        <v>28</v>
      </c>
      <c r="D1004" t="s">
        <v>24</v>
      </c>
      <c r="E1004" t="s">
        <v>30</v>
      </c>
      <c r="F1004" t="s">
        <v>27</v>
      </c>
      <c r="G1004" s="4">
        <v>67714</v>
      </c>
      <c r="H1004" s="4">
        <v>738</v>
      </c>
      <c r="I1004" s="5">
        <v>1.09E-2</v>
      </c>
      <c r="J1004" s="2">
        <v>1.1100000000000001</v>
      </c>
      <c r="K1004" s="6">
        <v>819.18</v>
      </c>
      <c r="L1004" s="4">
        <v>17</v>
      </c>
      <c r="M1004" s="2">
        <v>48.19</v>
      </c>
      <c r="N1004" s="6">
        <v>1445.84</v>
      </c>
      <c r="O1004" s="6">
        <f t="shared" si="76"/>
        <v>626.66</v>
      </c>
      <c r="P1004" s="6">
        <f t="shared" si="77"/>
        <v>0.76498449669181379</v>
      </c>
      <c r="Q1004" s="3">
        <v>1.76</v>
      </c>
      <c r="R1004" t="str">
        <f t="shared" si="78"/>
        <v>Medium</v>
      </c>
      <c r="S1004" t="str">
        <f t="shared" si="79"/>
        <v>Valid</v>
      </c>
    </row>
    <row r="1005" spans="1:19" x14ac:dyDescent="0.25">
      <c r="A1005" s="1">
        <v>45588</v>
      </c>
      <c r="B1005" s="1" t="str">
        <f t="shared" si="75"/>
        <v>2024-10</v>
      </c>
      <c r="C1005" t="s">
        <v>14</v>
      </c>
      <c r="D1005" t="s">
        <v>24</v>
      </c>
      <c r="E1005" t="s">
        <v>16</v>
      </c>
      <c r="F1005" t="s">
        <v>20</v>
      </c>
      <c r="G1005" s="4">
        <v>51032</v>
      </c>
      <c r="H1005" s="4">
        <v>3036</v>
      </c>
      <c r="I1005" s="5">
        <v>5.9499999999999997E-2</v>
      </c>
      <c r="J1005" s="2">
        <v>2.23</v>
      </c>
      <c r="K1005" s="6">
        <v>6770.28</v>
      </c>
      <c r="L1005" s="4">
        <v>195</v>
      </c>
      <c r="M1005" s="2">
        <v>34.72</v>
      </c>
      <c r="N1005" s="6">
        <v>18761.36</v>
      </c>
      <c r="O1005" s="6">
        <f t="shared" si="76"/>
        <v>11991.080000000002</v>
      </c>
      <c r="P1005" s="6">
        <f t="shared" si="77"/>
        <v>1.7711350195265192</v>
      </c>
      <c r="Q1005" s="3">
        <v>2.77</v>
      </c>
      <c r="R1005" t="str">
        <f t="shared" si="78"/>
        <v>Medium</v>
      </c>
      <c r="S1005" t="str">
        <f t="shared" si="79"/>
        <v>Valid</v>
      </c>
    </row>
    <row r="1006" spans="1:19" x14ac:dyDescent="0.25">
      <c r="A1006" s="1">
        <v>45515</v>
      </c>
      <c r="B1006" s="1" t="str">
        <f t="shared" si="75"/>
        <v>2024-08</v>
      </c>
      <c r="C1006" t="s">
        <v>18</v>
      </c>
      <c r="D1006" t="s">
        <v>29</v>
      </c>
      <c r="E1006" t="s">
        <v>25</v>
      </c>
      <c r="F1006" t="s">
        <v>23</v>
      </c>
      <c r="G1006" s="4">
        <v>68474</v>
      </c>
      <c r="H1006" s="4">
        <v>4923</v>
      </c>
      <c r="I1006" s="5">
        <v>7.1900000000000006E-2</v>
      </c>
      <c r="J1006" s="2">
        <v>0.47</v>
      </c>
      <c r="K1006" s="6">
        <v>2313.81</v>
      </c>
      <c r="L1006" s="4">
        <v>198</v>
      </c>
      <c r="M1006" s="2">
        <v>11.69</v>
      </c>
      <c r="N1006" s="6">
        <v>32574.400000000001</v>
      </c>
      <c r="O1006" s="6">
        <f t="shared" si="76"/>
        <v>30260.59</v>
      </c>
      <c r="P1006" s="6">
        <f t="shared" si="77"/>
        <v>13.078251887579361</v>
      </c>
      <c r="Q1006" s="3">
        <v>14.08</v>
      </c>
      <c r="R1006" t="str">
        <f t="shared" si="78"/>
        <v>High</v>
      </c>
      <c r="S1006" t="str">
        <f t="shared" si="79"/>
        <v>Valid</v>
      </c>
    </row>
    <row r="1007" spans="1:19" x14ac:dyDescent="0.25">
      <c r="A1007" s="1">
        <v>45516</v>
      </c>
      <c r="B1007" s="1" t="str">
        <f t="shared" si="75"/>
        <v>2024-08</v>
      </c>
      <c r="C1007" t="s">
        <v>18</v>
      </c>
      <c r="D1007" t="s">
        <v>21</v>
      </c>
      <c r="E1007" t="s">
        <v>25</v>
      </c>
      <c r="F1007" t="s">
        <v>32</v>
      </c>
      <c r="G1007" s="4">
        <v>12838</v>
      </c>
      <c r="H1007" s="4">
        <v>784</v>
      </c>
      <c r="I1007" s="5">
        <v>6.1100000000000002E-2</v>
      </c>
      <c r="J1007" s="2">
        <v>0.42</v>
      </c>
      <c r="K1007" s="6">
        <v>329.28</v>
      </c>
      <c r="L1007" s="4">
        <v>56</v>
      </c>
      <c r="M1007" s="2">
        <v>5.88</v>
      </c>
      <c r="N1007" s="6">
        <v>2887.05</v>
      </c>
      <c r="O1007" s="6">
        <f t="shared" si="76"/>
        <v>2557.7700000000004</v>
      </c>
      <c r="P1007" s="6">
        <f t="shared" si="77"/>
        <v>7.7677660349854243</v>
      </c>
      <c r="Q1007" s="3">
        <v>8.77</v>
      </c>
      <c r="R1007" t="str">
        <f t="shared" si="78"/>
        <v>High</v>
      </c>
      <c r="S1007" t="str">
        <f t="shared" si="79"/>
        <v>Valid</v>
      </c>
    </row>
    <row r="1008" spans="1:19" x14ac:dyDescent="0.25">
      <c r="A1008" s="1">
        <v>45448</v>
      </c>
      <c r="B1008" s="1" t="str">
        <f t="shared" si="75"/>
        <v>2024-06</v>
      </c>
      <c r="C1008" t="s">
        <v>14</v>
      </c>
      <c r="D1008" t="s">
        <v>29</v>
      </c>
      <c r="E1008" t="s">
        <v>22</v>
      </c>
      <c r="F1008" t="s">
        <v>20</v>
      </c>
      <c r="G1008" s="4">
        <v>151595</v>
      </c>
      <c r="H1008" s="4">
        <v>9262</v>
      </c>
      <c r="I1008" s="5">
        <v>6.1100000000000002E-2</v>
      </c>
      <c r="J1008" s="2">
        <v>1.76</v>
      </c>
      <c r="K1008" s="6">
        <v>16301.12</v>
      </c>
      <c r="L1008" s="4">
        <v>572</v>
      </c>
      <c r="M1008" s="2">
        <v>28.5</v>
      </c>
      <c r="N1008" s="6">
        <v>85249.68</v>
      </c>
      <c r="O1008" s="6">
        <f t="shared" si="76"/>
        <v>68948.56</v>
      </c>
      <c r="P1008" s="6">
        <f t="shared" si="77"/>
        <v>4.229682377652578</v>
      </c>
      <c r="Q1008" s="3">
        <v>5.23</v>
      </c>
      <c r="R1008" t="str">
        <f t="shared" si="78"/>
        <v>High</v>
      </c>
      <c r="S1008" t="str">
        <f t="shared" si="79"/>
        <v>Valid</v>
      </c>
    </row>
    <row r="1009" spans="1:19" x14ac:dyDescent="0.25">
      <c r="A1009" s="1">
        <v>45393</v>
      </c>
      <c r="B1009" s="1" t="str">
        <f t="shared" si="75"/>
        <v>2024-04</v>
      </c>
      <c r="C1009" t="s">
        <v>18</v>
      </c>
      <c r="D1009" t="s">
        <v>21</v>
      </c>
      <c r="E1009" t="s">
        <v>30</v>
      </c>
      <c r="F1009" t="s">
        <v>26</v>
      </c>
      <c r="G1009" s="4">
        <v>38799</v>
      </c>
      <c r="H1009" s="4">
        <v>1303</v>
      </c>
      <c r="I1009" s="5">
        <v>3.3599999999999998E-2</v>
      </c>
      <c r="J1009" s="2">
        <v>0.33</v>
      </c>
      <c r="K1009" s="6">
        <v>429.99</v>
      </c>
      <c r="L1009" s="4">
        <v>51</v>
      </c>
      <c r="M1009" s="2">
        <v>8.43</v>
      </c>
      <c r="N1009" s="6">
        <v>4095.81</v>
      </c>
      <c r="O1009" s="6">
        <f t="shared" si="76"/>
        <v>3665.8199999999997</v>
      </c>
      <c r="P1009" s="6">
        <f t="shared" si="77"/>
        <v>8.5253610549082524</v>
      </c>
      <c r="Q1009" s="3">
        <v>9.5299999999999994</v>
      </c>
      <c r="R1009" t="str">
        <f t="shared" si="78"/>
        <v>High</v>
      </c>
      <c r="S1009" t="str">
        <f t="shared" si="79"/>
        <v>Valid</v>
      </c>
    </row>
    <row r="1010" spans="1:19" x14ac:dyDescent="0.25">
      <c r="A1010" s="1">
        <v>45466</v>
      </c>
      <c r="B1010" s="1" t="str">
        <f t="shared" si="75"/>
        <v>2024-06</v>
      </c>
      <c r="C1010" t="s">
        <v>14</v>
      </c>
      <c r="D1010" t="s">
        <v>21</v>
      </c>
      <c r="E1010" t="s">
        <v>25</v>
      </c>
      <c r="F1010" t="s">
        <v>32</v>
      </c>
      <c r="G1010" s="4">
        <v>121565</v>
      </c>
      <c r="H1010" s="4">
        <v>2601</v>
      </c>
      <c r="I1010" s="5">
        <v>2.1399999999999999E-2</v>
      </c>
      <c r="J1010" s="2">
        <v>2.04</v>
      </c>
      <c r="K1010" s="6">
        <v>5306.04</v>
      </c>
      <c r="L1010" s="4">
        <v>176</v>
      </c>
      <c r="M1010" s="2">
        <v>30.15</v>
      </c>
      <c r="N1010" s="6">
        <v>34156.839999999997</v>
      </c>
      <c r="O1010" s="6">
        <f t="shared" si="76"/>
        <v>28850.799999999996</v>
      </c>
      <c r="P1010" s="6">
        <f t="shared" si="77"/>
        <v>5.4373506419099735</v>
      </c>
      <c r="Q1010" s="3">
        <v>6.44</v>
      </c>
      <c r="R1010" t="str">
        <f t="shared" si="78"/>
        <v>High</v>
      </c>
      <c r="S1010" t="str">
        <f t="shared" si="79"/>
        <v>Valid</v>
      </c>
    </row>
    <row r="1011" spans="1:19" x14ac:dyDescent="0.25">
      <c r="A1011" s="1">
        <v>45546</v>
      </c>
      <c r="B1011" s="1" t="str">
        <f t="shared" si="75"/>
        <v>2024-09</v>
      </c>
      <c r="C1011" t="s">
        <v>28</v>
      </c>
      <c r="D1011" t="s">
        <v>29</v>
      </c>
      <c r="E1011" t="s">
        <v>30</v>
      </c>
      <c r="F1011" t="s">
        <v>27</v>
      </c>
      <c r="G1011" s="4">
        <v>38762</v>
      </c>
      <c r="H1011" s="4">
        <v>1007</v>
      </c>
      <c r="I1011" s="5">
        <v>2.5999999999999999E-2</v>
      </c>
      <c r="J1011" s="2">
        <v>0.68</v>
      </c>
      <c r="K1011" s="6">
        <v>684.76</v>
      </c>
      <c r="L1011" s="4">
        <v>16</v>
      </c>
      <c r="M1011" s="2">
        <v>42.8</v>
      </c>
      <c r="N1011" s="6">
        <v>3871.2</v>
      </c>
      <c r="O1011" s="6">
        <f t="shared" si="76"/>
        <v>3186.4399999999996</v>
      </c>
      <c r="P1011" s="6">
        <f t="shared" si="77"/>
        <v>4.6533676032478528</v>
      </c>
      <c r="Q1011" s="3">
        <v>5.65</v>
      </c>
      <c r="R1011" t="str">
        <f t="shared" si="78"/>
        <v>High</v>
      </c>
      <c r="S1011" t="str">
        <f t="shared" si="79"/>
        <v>Valid</v>
      </c>
    </row>
    <row r="1012" spans="1:19" x14ac:dyDescent="0.25">
      <c r="A1012" s="1">
        <v>45340</v>
      </c>
      <c r="B1012" s="1" t="str">
        <f t="shared" si="75"/>
        <v>2024-02</v>
      </c>
      <c r="C1012" t="s">
        <v>28</v>
      </c>
      <c r="D1012" t="s">
        <v>15</v>
      </c>
      <c r="E1012" t="s">
        <v>30</v>
      </c>
      <c r="F1012" t="s">
        <v>31</v>
      </c>
      <c r="G1012" s="4">
        <v>32410</v>
      </c>
      <c r="H1012" s="4">
        <v>693</v>
      </c>
      <c r="I1012" s="5">
        <v>2.1399999999999999E-2</v>
      </c>
      <c r="J1012" s="2">
        <v>1.79</v>
      </c>
      <c r="K1012" s="6">
        <v>1240.47</v>
      </c>
      <c r="L1012" s="4">
        <v>21</v>
      </c>
      <c r="M1012" s="2">
        <v>59.07</v>
      </c>
      <c r="N1012" s="6">
        <v>678.51</v>
      </c>
      <c r="O1012" s="6">
        <f t="shared" si="76"/>
        <v>-561.96</v>
      </c>
      <c r="P1012" s="6">
        <f t="shared" si="77"/>
        <v>-0.45302183849669886</v>
      </c>
      <c r="Q1012" s="3">
        <v>0.55000000000000004</v>
      </c>
      <c r="R1012" t="str">
        <f t="shared" si="78"/>
        <v>Low</v>
      </c>
      <c r="S1012" t="str">
        <f t="shared" si="79"/>
        <v>Valid</v>
      </c>
    </row>
    <row r="1013" spans="1:19" x14ac:dyDescent="0.25">
      <c r="A1013" s="1">
        <v>45380</v>
      </c>
      <c r="B1013" s="1" t="str">
        <f t="shared" si="75"/>
        <v>2024-03</v>
      </c>
      <c r="C1013" t="s">
        <v>18</v>
      </c>
      <c r="D1013" t="s">
        <v>21</v>
      </c>
      <c r="E1013" t="s">
        <v>19</v>
      </c>
      <c r="F1013" t="s">
        <v>32</v>
      </c>
      <c r="G1013" s="4">
        <v>134132</v>
      </c>
      <c r="H1013" s="4">
        <v>4694</v>
      </c>
      <c r="I1013" s="5">
        <v>3.5000000000000003E-2</v>
      </c>
      <c r="J1013" s="2">
        <v>0.82</v>
      </c>
      <c r="K1013" s="6">
        <v>3849.08</v>
      </c>
      <c r="L1013" s="4">
        <v>306</v>
      </c>
      <c r="M1013" s="2">
        <v>12.58</v>
      </c>
      <c r="N1013" s="6">
        <v>52932.5</v>
      </c>
      <c r="O1013" s="6">
        <f t="shared" si="76"/>
        <v>49083.42</v>
      </c>
      <c r="P1013" s="6">
        <f t="shared" si="77"/>
        <v>12.751987487919191</v>
      </c>
      <c r="Q1013" s="3">
        <v>13.75</v>
      </c>
      <c r="R1013" t="str">
        <f t="shared" si="78"/>
        <v>High</v>
      </c>
      <c r="S1013" t="str">
        <f t="shared" si="79"/>
        <v>Valid</v>
      </c>
    </row>
    <row r="1014" spans="1:19" x14ac:dyDescent="0.25">
      <c r="A1014" s="1">
        <v>45319</v>
      </c>
      <c r="B1014" s="1" t="str">
        <f t="shared" si="75"/>
        <v>2024-01</v>
      </c>
      <c r="C1014" t="s">
        <v>14</v>
      </c>
      <c r="D1014" t="s">
        <v>29</v>
      </c>
      <c r="E1014" t="s">
        <v>30</v>
      </c>
      <c r="F1014" t="s">
        <v>32</v>
      </c>
      <c r="G1014" s="4">
        <v>38005</v>
      </c>
      <c r="H1014" s="4">
        <v>1489</v>
      </c>
      <c r="I1014" s="5">
        <v>3.9199999999999999E-2</v>
      </c>
      <c r="J1014" s="2">
        <v>1.51</v>
      </c>
      <c r="K1014" s="6">
        <v>2248.39</v>
      </c>
      <c r="L1014" s="4">
        <v>79</v>
      </c>
      <c r="M1014" s="2">
        <v>28.46</v>
      </c>
      <c r="N1014" s="6">
        <v>23043.93</v>
      </c>
      <c r="O1014" s="6">
        <f t="shared" si="76"/>
        <v>20795.54</v>
      </c>
      <c r="P1014" s="6">
        <f t="shared" si="77"/>
        <v>9.2490804531242361</v>
      </c>
      <c r="Q1014" s="3">
        <v>10.25</v>
      </c>
      <c r="R1014" t="str">
        <f t="shared" si="78"/>
        <v>High</v>
      </c>
      <c r="S1014" t="str">
        <f t="shared" si="79"/>
        <v>Valid</v>
      </c>
    </row>
    <row r="1015" spans="1:19" x14ac:dyDescent="0.25">
      <c r="A1015" s="1">
        <v>45306</v>
      </c>
      <c r="B1015" s="1" t="str">
        <f t="shared" si="75"/>
        <v>2024-01</v>
      </c>
      <c r="C1015" t="s">
        <v>14</v>
      </c>
      <c r="D1015" t="s">
        <v>15</v>
      </c>
      <c r="E1015" t="s">
        <v>30</v>
      </c>
      <c r="F1015" t="s">
        <v>31</v>
      </c>
      <c r="G1015" s="4">
        <v>91348</v>
      </c>
      <c r="H1015" s="4">
        <v>2914</v>
      </c>
      <c r="I1015" s="5">
        <v>3.1899999999999998E-2</v>
      </c>
      <c r="J1015" s="2">
        <v>1.73</v>
      </c>
      <c r="K1015" s="6">
        <v>5041.22</v>
      </c>
      <c r="L1015" s="4">
        <v>98</v>
      </c>
      <c r="M1015" s="2">
        <v>51.44</v>
      </c>
      <c r="N1015" s="6">
        <v>14981.67</v>
      </c>
      <c r="O1015" s="6">
        <f t="shared" si="76"/>
        <v>9940.4500000000007</v>
      </c>
      <c r="P1015" s="6">
        <f t="shared" si="77"/>
        <v>1.9718341988645607</v>
      </c>
      <c r="Q1015" s="3">
        <v>2.97</v>
      </c>
      <c r="R1015" t="str">
        <f t="shared" si="78"/>
        <v>Medium</v>
      </c>
      <c r="S1015" t="str">
        <f t="shared" si="79"/>
        <v>Valid</v>
      </c>
    </row>
    <row r="1016" spans="1:19" x14ac:dyDescent="0.25">
      <c r="A1016" s="1">
        <v>45526</v>
      </c>
      <c r="B1016" s="1" t="str">
        <f t="shared" si="75"/>
        <v>2024-08</v>
      </c>
      <c r="C1016" t="s">
        <v>14</v>
      </c>
      <c r="D1016" t="s">
        <v>29</v>
      </c>
      <c r="E1016" t="s">
        <v>30</v>
      </c>
      <c r="F1016" t="s">
        <v>20</v>
      </c>
      <c r="G1016" s="4">
        <v>87607</v>
      </c>
      <c r="H1016" s="4">
        <v>3661</v>
      </c>
      <c r="I1016" s="5">
        <v>4.1799999999999997E-2</v>
      </c>
      <c r="J1016" s="2">
        <v>3.15</v>
      </c>
      <c r="K1016" s="6">
        <v>11532.15</v>
      </c>
      <c r="L1016" s="4">
        <v>106</v>
      </c>
      <c r="M1016" s="2">
        <v>108.79</v>
      </c>
      <c r="N1016" s="6">
        <v>31383.75</v>
      </c>
      <c r="O1016" s="6">
        <f t="shared" si="76"/>
        <v>19851.599999999999</v>
      </c>
      <c r="P1016" s="6">
        <f t="shared" si="77"/>
        <v>1.7214136132464457</v>
      </c>
      <c r="Q1016" s="3">
        <v>2.72</v>
      </c>
      <c r="R1016" t="str">
        <f t="shared" si="78"/>
        <v>Medium</v>
      </c>
      <c r="S1016" t="str">
        <f t="shared" si="79"/>
        <v>Valid</v>
      </c>
    </row>
    <row r="1017" spans="1:19" x14ac:dyDescent="0.25">
      <c r="A1017" s="1">
        <v>45323</v>
      </c>
      <c r="B1017" s="1" t="str">
        <f t="shared" si="75"/>
        <v>2024-02</v>
      </c>
      <c r="C1017" t="s">
        <v>18</v>
      </c>
      <c r="D1017" t="s">
        <v>24</v>
      </c>
      <c r="E1017" t="s">
        <v>16</v>
      </c>
      <c r="F1017" t="s">
        <v>31</v>
      </c>
      <c r="G1017" s="4">
        <v>95288</v>
      </c>
      <c r="H1017" s="4">
        <v>7108</v>
      </c>
      <c r="I1017" s="5">
        <v>7.46E-2</v>
      </c>
      <c r="J1017" s="2">
        <v>0.51</v>
      </c>
      <c r="K1017" s="6">
        <v>3625.08</v>
      </c>
      <c r="L1017" s="4">
        <v>454</v>
      </c>
      <c r="M1017" s="2">
        <v>7.98</v>
      </c>
      <c r="N1017" s="6">
        <v>132401.60999999999</v>
      </c>
      <c r="O1017" s="6">
        <f t="shared" si="76"/>
        <v>128776.52999999998</v>
      </c>
      <c r="P1017" s="6">
        <f t="shared" si="77"/>
        <v>35.523776027011813</v>
      </c>
      <c r="Q1017" s="3">
        <v>36.520000000000003</v>
      </c>
      <c r="R1017" t="str">
        <f t="shared" si="78"/>
        <v>High</v>
      </c>
      <c r="S1017" t="str">
        <f t="shared" si="79"/>
        <v>Valid</v>
      </c>
    </row>
    <row r="1018" spans="1:19" x14ac:dyDescent="0.25">
      <c r="A1018" s="1">
        <v>45563</v>
      </c>
      <c r="B1018" s="1" t="str">
        <f t="shared" si="75"/>
        <v>2024-09</v>
      </c>
      <c r="C1018" t="s">
        <v>18</v>
      </c>
      <c r="D1018" t="s">
        <v>21</v>
      </c>
      <c r="E1018" t="s">
        <v>22</v>
      </c>
      <c r="F1018" t="s">
        <v>20</v>
      </c>
      <c r="G1018" s="4">
        <v>68620</v>
      </c>
      <c r="H1018" s="4">
        <v>3602</v>
      </c>
      <c r="I1018" s="5">
        <v>5.2499999999999998E-2</v>
      </c>
      <c r="J1018" s="2">
        <v>0.48</v>
      </c>
      <c r="K1018" s="6">
        <v>1728.96</v>
      </c>
      <c r="L1018" s="4">
        <v>134</v>
      </c>
      <c r="M1018" s="2">
        <v>12.9</v>
      </c>
      <c r="N1018" s="6">
        <v>22980.94</v>
      </c>
      <c r="O1018" s="6">
        <f t="shared" si="76"/>
        <v>21251.98</v>
      </c>
      <c r="P1018" s="6">
        <f t="shared" si="77"/>
        <v>12.291770775495095</v>
      </c>
      <c r="Q1018" s="3">
        <v>13.29</v>
      </c>
      <c r="R1018" t="str">
        <f t="shared" si="78"/>
        <v>High</v>
      </c>
      <c r="S1018" t="str">
        <f t="shared" si="79"/>
        <v>Valid</v>
      </c>
    </row>
    <row r="1019" spans="1:19" x14ac:dyDescent="0.25">
      <c r="A1019" s="1">
        <v>45479</v>
      </c>
      <c r="B1019" s="1" t="str">
        <f t="shared" si="75"/>
        <v>2024-07</v>
      </c>
      <c r="C1019" t="s">
        <v>18</v>
      </c>
      <c r="D1019" t="s">
        <v>21</v>
      </c>
      <c r="E1019" t="s">
        <v>22</v>
      </c>
      <c r="F1019" t="s">
        <v>32</v>
      </c>
      <c r="G1019" s="4">
        <v>95975</v>
      </c>
      <c r="H1019" s="4">
        <v>3848</v>
      </c>
      <c r="I1019" s="5">
        <v>4.0099999999999997E-2</v>
      </c>
      <c r="J1019" s="2">
        <v>1.78</v>
      </c>
      <c r="K1019" s="6">
        <v>6849.44</v>
      </c>
      <c r="L1019" s="4">
        <v>66</v>
      </c>
      <c r="M1019" s="2">
        <v>103.78</v>
      </c>
      <c r="N1019" s="6">
        <v>6246.82</v>
      </c>
      <c r="O1019" s="6">
        <f t="shared" si="76"/>
        <v>-602.61999999999989</v>
      </c>
      <c r="P1019" s="6">
        <f t="shared" si="77"/>
        <v>-8.7980915228106235E-2</v>
      </c>
      <c r="Q1019" s="3">
        <v>0.91</v>
      </c>
      <c r="R1019" t="str">
        <f t="shared" si="78"/>
        <v>Low</v>
      </c>
      <c r="S1019" t="str">
        <f t="shared" si="79"/>
        <v>Valid</v>
      </c>
    </row>
    <row r="1020" spans="1:19" x14ac:dyDescent="0.25">
      <c r="A1020" s="1">
        <v>45638</v>
      </c>
      <c r="B1020" s="1" t="str">
        <f t="shared" si="75"/>
        <v>2024-12</v>
      </c>
      <c r="C1020" t="s">
        <v>14</v>
      </c>
      <c r="D1020" t="s">
        <v>24</v>
      </c>
      <c r="E1020" t="s">
        <v>25</v>
      </c>
      <c r="F1020" t="s">
        <v>27</v>
      </c>
      <c r="G1020" s="4">
        <v>162064</v>
      </c>
      <c r="H1020" s="4">
        <v>5607</v>
      </c>
      <c r="I1020" s="5">
        <v>3.4599999999999999E-2</v>
      </c>
      <c r="J1020" s="2">
        <v>2.42</v>
      </c>
      <c r="K1020" s="6">
        <v>13568.94</v>
      </c>
      <c r="L1020" s="4">
        <v>77</v>
      </c>
      <c r="M1020" s="2">
        <v>176.22</v>
      </c>
      <c r="N1020" s="6">
        <v>8174.03</v>
      </c>
      <c r="O1020" s="6">
        <f t="shared" si="76"/>
        <v>-5394.9100000000008</v>
      </c>
      <c r="P1020" s="6">
        <f t="shared" si="77"/>
        <v>-0.39759259013600184</v>
      </c>
      <c r="Q1020" s="3">
        <v>0.6</v>
      </c>
      <c r="R1020" t="str">
        <f t="shared" si="78"/>
        <v>Low</v>
      </c>
      <c r="S1020" t="str">
        <f t="shared" si="79"/>
        <v>Valid</v>
      </c>
    </row>
    <row r="1021" spans="1:19" x14ac:dyDescent="0.25">
      <c r="A1021" s="1">
        <v>45430</v>
      </c>
      <c r="B1021" s="1" t="str">
        <f t="shared" si="75"/>
        <v>2024-05</v>
      </c>
      <c r="C1021" t="s">
        <v>28</v>
      </c>
      <c r="D1021" t="s">
        <v>15</v>
      </c>
      <c r="E1021" t="s">
        <v>16</v>
      </c>
      <c r="F1021" t="s">
        <v>23</v>
      </c>
      <c r="G1021" s="4">
        <v>57712</v>
      </c>
      <c r="H1021" s="4">
        <v>848</v>
      </c>
      <c r="I1021" s="5">
        <v>1.47E-2</v>
      </c>
      <c r="J1021" s="2">
        <v>0.9</v>
      </c>
      <c r="K1021" s="6">
        <v>763.2</v>
      </c>
      <c r="L1021" s="4">
        <v>64</v>
      </c>
      <c r="M1021" s="2">
        <v>11.93</v>
      </c>
      <c r="N1021" s="6">
        <v>2136.83</v>
      </c>
      <c r="O1021" s="6">
        <f t="shared" si="76"/>
        <v>1373.6299999999999</v>
      </c>
      <c r="P1021" s="6">
        <f t="shared" si="77"/>
        <v>1.7998296645702303</v>
      </c>
      <c r="Q1021" s="3">
        <v>2.8</v>
      </c>
      <c r="R1021" t="str">
        <f t="shared" si="78"/>
        <v>Medium</v>
      </c>
      <c r="S1021" t="str">
        <f t="shared" si="79"/>
        <v>Valid</v>
      </c>
    </row>
    <row r="1022" spans="1:19" x14ac:dyDescent="0.25">
      <c r="A1022" s="1">
        <v>45472</v>
      </c>
      <c r="B1022" s="1" t="str">
        <f t="shared" si="75"/>
        <v>2024-06</v>
      </c>
      <c r="C1022" t="s">
        <v>28</v>
      </c>
      <c r="D1022" t="s">
        <v>24</v>
      </c>
      <c r="E1022" t="s">
        <v>16</v>
      </c>
      <c r="F1022" t="s">
        <v>26</v>
      </c>
      <c r="G1022" s="4">
        <v>147412</v>
      </c>
      <c r="H1022" s="4">
        <v>3670</v>
      </c>
      <c r="I1022" s="5">
        <v>2.4899999999999999E-2</v>
      </c>
      <c r="J1022" s="2">
        <v>1.17</v>
      </c>
      <c r="K1022" s="6">
        <v>4293.8999999999996</v>
      </c>
      <c r="L1022" s="4">
        <v>162</v>
      </c>
      <c r="M1022" s="2">
        <v>26.51</v>
      </c>
      <c r="N1022" s="6">
        <v>38717.46</v>
      </c>
      <c r="O1022" s="6">
        <f t="shared" si="76"/>
        <v>34423.56</v>
      </c>
      <c r="P1022" s="6">
        <f t="shared" si="77"/>
        <v>8.0168518130370998</v>
      </c>
      <c r="Q1022" s="3">
        <v>9.02</v>
      </c>
      <c r="R1022" t="str">
        <f t="shared" si="78"/>
        <v>High</v>
      </c>
      <c r="S1022" t="str">
        <f t="shared" si="79"/>
        <v>Valid</v>
      </c>
    </row>
    <row r="1023" spans="1:19" x14ac:dyDescent="0.25">
      <c r="A1023" s="1">
        <v>45328</v>
      </c>
      <c r="B1023" s="1" t="str">
        <f t="shared" si="75"/>
        <v>2024-02</v>
      </c>
      <c r="C1023" t="s">
        <v>14</v>
      </c>
      <c r="D1023" t="s">
        <v>29</v>
      </c>
      <c r="E1023" t="s">
        <v>30</v>
      </c>
      <c r="F1023" t="s">
        <v>17</v>
      </c>
      <c r="G1023" s="4">
        <v>79525</v>
      </c>
      <c r="H1023" s="4">
        <v>2298</v>
      </c>
      <c r="I1023" s="5">
        <v>2.8899999999999999E-2</v>
      </c>
      <c r="J1023" s="2">
        <v>1.58</v>
      </c>
      <c r="K1023" s="6">
        <v>3630.84</v>
      </c>
      <c r="L1023" s="4">
        <v>119</v>
      </c>
      <c r="M1023" s="2">
        <v>30.51</v>
      </c>
      <c r="N1023" s="6">
        <v>21777.03</v>
      </c>
      <c r="O1023" s="6">
        <f t="shared" si="76"/>
        <v>18146.189999999999</v>
      </c>
      <c r="P1023" s="6">
        <f t="shared" si="77"/>
        <v>4.9977938989324775</v>
      </c>
      <c r="Q1023" s="3">
        <v>6</v>
      </c>
      <c r="R1023" t="str">
        <f t="shared" si="78"/>
        <v>High</v>
      </c>
      <c r="S1023" t="str">
        <f t="shared" si="79"/>
        <v>Valid</v>
      </c>
    </row>
    <row r="1024" spans="1:19" x14ac:dyDescent="0.25">
      <c r="A1024" s="1">
        <v>45400</v>
      </c>
      <c r="B1024" s="1" t="str">
        <f t="shared" si="75"/>
        <v>2024-04</v>
      </c>
      <c r="C1024" t="s">
        <v>28</v>
      </c>
      <c r="D1024" t="s">
        <v>24</v>
      </c>
      <c r="E1024" t="s">
        <v>30</v>
      </c>
      <c r="F1024" t="s">
        <v>20</v>
      </c>
      <c r="G1024" s="4">
        <v>78480</v>
      </c>
      <c r="H1024" s="4">
        <v>1389</v>
      </c>
      <c r="I1024" s="5">
        <v>1.77E-2</v>
      </c>
      <c r="J1024" s="2">
        <v>1.69</v>
      </c>
      <c r="K1024" s="6">
        <v>2347.41</v>
      </c>
      <c r="L1024" s="4">
        <v>19</v>
      </c>
      <c r="M1024" s="2">
        <v>123.55</v>
      </c>
      <c r="N1024" s="6">
        <v>2972.32</v>
      </c>
      <c r="O1024" s="6">
        <f t="shared" si="76"/>
        <v>624.91000000000031</v>
      </c>
      <c r="P1024" s="6">
        <f t="shared" si="77"/>
        <v>0.26621254914991432</v>
      </c>
      <c r="Q1024" s="3">
        <v>1.27</v>
      </c>
      <c r="R1024" t="str">
        <f t="shared" si="78"/>
        <v>Medium</v>
      </c>
      <c r="S1024" t="str">
        <f t="shared" si="79"/>
        <v>Valid</v>
      </c>
    </row>
    <row r="1025" spans="1:19" x14ac:dyDescent="0.25">
      <c r="A1025" s="1">
        <v>45362</v>
      </c>
      <c r="B1025" s="1" t="str">
        <f t="shared" si="75"/>
        <v>2024-03</v>
      </c>
      <c r="C1025" t="s">
        <v>18</v>
      </c>
      <c r="D1025" t="s">
        <v>29</v>
      </c>
      <c r="E1025" t="s">
        <v>25</v>
      </c>
      <c r="F1025" t="s">
        <v>20</v>
      </c>
      <c r="G1025" s="4">
        <v>165232</v>
      </c>
      <c r="H1025" s="4">
        <v>7617</v>
      </c>
      <c r="I1025" s="5">
        <v>4.6100000000000002E-2</v>
      </c>
      <c r="J1025" s="2">
        <v>0.77</v>
      </c>
      <c r="K1025" s="6">
        <v>5865.09</v>
      </c>
      <c r="L1025" s="4">
        <v>601</v>
      </c>
      <c r="M1025" s="2">
        <v>9.76</v>
      </c>
      <c r="N1025" s="6">
        <v>102707.85</v>
      </c>
      <c r="O1025" s="6">
        <f t="shared" si="76"/>
        <v>96842.760000000009</v>
      </c>
      <c r="P1025" s="6">
        <f t="shared" si="77"/>
        <v>16.511726162769882</v>
      </c>
      <c r="Q1025" s="3">
        <v>17.510000000000002</v>
      </c>
      <c r="R1025" t="str">
        <f t="shared" si="78"/>
        <v>High</v>
      </c>
      <c r="S1025" t="str">
        <f t="shared" si="79"/>
        <v>Valid</v>
      </c>
    </row>
    <row r="1026" spans="1:19" x14ac:dyDescent="0.25">
      <c r="A1026" s="1">
        <v>45430</v>
      </c>
      <c r="B1026" s="1" t="str">
        <f t="shared" si="75"/>
        <v>2024-05</v>
      </c>
      <c r="C1026" t="s">
        <v>14</v>
      </c>
      <c r="D1026" t="s">
        <v>29</v>
      </c>
      <c r="E1026" t="s">
        <v>25</v>
      </c>
      <c r="F1026" t="s">
        <v>17</v>
      </c>
      <c r="G1026" s="4">
        <v>13294</v>
      </c>
      <c r="H1026" s="4">
        <v>583</v>
      </c>
      <c r="I1026" s="5">
        <v>4.3900000000000002E-2</v>
      </c>
      <c r="J1026" s="2">
        <v>1.38</v>
      </c>
      <c r="K1026" s="6">
        <v>804.54</v>
      </c>
      <c r="L1026" s="4">
        <v>46</v>
      </c>
      <c r="M1026" s="2">
        <v>17.489999999999998</v>
      </c>
      <c r="N1026" s="6">
        <v>11553.7</v>
      </c>
      <c r="O1026" s="6">
        <f t="shared" si="76"/>
        <v>10749.16</v>
      </c>
      <c r="P1026" s="6">
        <f t="shared" si="77"/>
        <v>13.360628433639098</v>
      </c>
      <c r="Q1026" s="3">
        <v>14.36</v>
      </c>
      <c r="R1026" t="str">
        <f t="shared" si="78"/>
        <v>High</v>
      </c>
      <c r="S1026" t="str">
        <f t="shared" si="79"/>
        <v>Valid</v>
      </c>
    </row>
    <row r="1027" spans="1:19" x14ac:dyDescent="0.25">
      <c r="A1027" s="1">
        <v>45612</v>
      </c>
      <c r="B1027" s="1" t="str">
        <f t="shared" ref="B1027:B1090" si="80">TEXT(A1027, "yyyy-mm")</f>
        <v>2024-11</v>
      </c>
      <c r="C1027" t="s">
        <v>28</v>
      </c>
      <c r="D1027" t="s">
        <v>21</v>
      </c>
      <c r="E1027" t="s">
        <v>19</v>
      </c>
      <c r="F1027" t="s">
        <v>20</v>
      </c>
      <c r="G1027" s="4">
        <v>55333</v>
      </c>
      <c r="H1027" s="4">
        <v>852</v>
      </c>
      <c r="I1027" s="5">
        <v>1.54E-2</v>
      </c>
      <c r="J1027" s="2">
        <v>1.05</v>
      </c>
      <c r="K1027" s="6">
        <v>894.6</v>
      </c>
      <c r="L1027" s="4">
        <v>66</v>
      </c>
      <c r="M1027" s="2">
        <v>13.55</v>
      </c>
      <c r="N1027" s="6">
        <v>12295.52</v>
      </c>
      <c r="O1027" s="6">
        <f t="shared" ref="O1027:O1090" si="81">N1027-K1027</f>
        <v>11400.92</v>
      </c>
      <c r="P1027" s="6">
        <f t="shared" ref="P1027:P1090" si="82">IFERROR(O1027/K1027, "")</f>
        <v>12.744153811759446</v>
      </c>
      <c r="Q1027" s="3">
        <v>13.74</v>
      </c>
      <c r="R1027" t="str">
        <f t="shared" ref="R1027:R1090" si="83">IF(Q1027 &gt;= 3, "High", IF(Q1027&gt;=1, "Medium", "Low"))</f>
        <v>High</v>
      </c>
      <c r="S1027" t="str">
        <f t="shared" ref="S1027:S1090" si="84">IF(OR(G1027=0, H1027&gt;G1027, L1027&gt;H1027), "Invalid", "Valid")</f>
        <v>Valid</v>
      </c>
    </row>
    <row r="1028" spans="1:19" x14ac:dyDescent="0.25">
      <c r="A1028" s="1">
        <v>45559</v>
      </c>
      <c r="B1028" s="1" t="str">
        <f t="shared" si="80"/>
        <v>2024-09</v>
      </c>
      <c r="C1028" t="s">
        <v>28</v>
      </c>
      <c r="D1028" t="s">
        <v>29</v>
      </c>
      <c r="E1028" t="s">
        <v>16</v>
      </c>
      <c r="F1028" t="s">
        <v>20</v>
      </c>
      <c r="G1028" s="4">
        <v>177027</v>
      </c>
      <c r="H1028" s="4">
        <v>6160</v>
      </c>
      <c r="I1028" s="5">
        <v>3.4799999999999998E-2</v>
      </c>
      <c r="J1028" s="2">
        <v>1.23</v>
      </c>
      <c r="K1028" s="6">
        <v>7576.8</v>
      </c>
      <c r="L1028" s="4">
        <v>220</v>
      </c>
      <c r="M1028" s="2">
        <v>34.44</v>
      </c>
      <c r="N1028" s="6">
        <v>59390.91</v>
      </c>
      <c r="O1028" s="6">
        <f t="shared" si="81"/>
        <v>51814.11</v>
      </c>
      <c r="P1028" s="6">
        <f t="shared" si="82"/>
        <v>6.8385215394361731</v>
      </c>
      <c r="Q1028" s="3">
        <v>7.84</v>
      </c>
      <c r="R1028" t="str">
        <f t="shared" si="83"/>
        <v>High</v>
      </c>
      <c r="S1028" t="str">
        <f t="shared" si="84"/>
        <v>Valid</v>
      </c>
    </row>
    <row r="1029" spans="1:19" x14ac:dyDescent="0.25">
      <c r="A1029" s="1">
        <v>45606</v>
      </c>
      <c r="B1029" s="1" t="str">
        <f t="shared" si="80"/>
        <v>2024-11</v>
      </c>
      <c r="C1029" t="s">
        <v>28</v>
      </c>
      <c r="D1029" t="s">
        <v>15</v>
      </c>
      <c r="E1029" t="s">
        <v>30</v>
      </c>
      <c r="F1029" t="s">
        <v>23</v>
      </c>
      <c r="G1029" s="4">
        <v>21679</v>
      </c>
      <c r="H1029" s="4">
        <v>448</v>
      </c>
      <c r="I1029" s="5">
        <v>2.07E-2</v>
      </c>
      <c r="J1029" s="2">
        <v>0.89</v>
      </c>
      <c r="K1029" s="6">
        <v>398.72</v>
      </c>
      <c r="L1029" s="4">
        <v>31</v>
      </c>
      <c r="M1029" s="2">
        <v>12.86</v>
      </c>
      <c r="N1029" s="6">
        <v>3556.66</v>
      </c>
      <c r="O1029" s="6">
        <f t="shared" si="81"/>
        <v>3157.9399999999996</v>
      </c>
      <c r="P1029" s="6">
        <f t="shared" si="82"/>
        <v>7.9201946227929358</v>
      </c>
      <c r="Q1029" s="3">
        <v>8.92</v>
      </c>
      <c r="R1029" t="str">
        <f t="shared" si="83"/>
        <v>High</v>
      </c>
      <c r="S1029" t="str">
        <f t="shared" si="84"/>
        <v>Valid</v>
      </c>
    </row>
    <row r="1030" spans="1:19" x14ac:dyDescent="0.25">
      <c r="A1030" s="1">
        <v>45482</v>
      </c>
      <c r="B1030" s="1" t="str">
        <f t="shared" si="80"/>
        <v>2024-07</v>
      </c>
      <c r="C1030" t="s">
        <v>14</v>
      </c>
      <c r="D1030" t="s">
        <v>15</v>
      </c>
      <c r="E1030" t="s">
        <v>22</v>
      </c>
      <c r="F1030" t="s">
        <v>20</v>
      </c>
      <c r="G1030" s="4">
        <v>18601</v>
      </c>
      <c r="H1030" s="4">
        <v>706</v>
      </c>
      <c r="I1030" s="5">
        <v>3.7999999999999999E-2</v>
      </c>
      <c r="J1030" s="2">
        <v>2</v>
      </c>
      <c r="K1030" s="6">
        <v>1412</v>
      </c>
      <c r="L1030" s="4">
        <v>54</v>
      </c>
      <c r="M1030" s="2">
        <v>26.15</v>
      </c>
      <c r="N1030" s="6">
        <v>3302.39</v>
      </c>
      <c r="O1030" s="6">
        <f t="shared" si="81"/>
        <v>1890.3899999999999</v>
      </c>
      <c r="P1030" s="6">
        <f t="shared" si="82"/>
        <v>1.3388031161473086</v>
      </c>
      <c r="Q1030" s="3">
        <v>2.34</v>
      </c>
      <c r="R1030" t="str">
        <f t="shared" si="83"/>
        <v>Medium</v>
      </c>
      <c r="S1030" t="str">
        <f t="shared" si="84"/>
        <v>Valid</v>
      </c>
    </row>
    <row r="1031" spans="1:19" x14ac:dyDescent="0.25">
      <c r="A1031" s="1">
        <v>45625</v>
      </c>
      <c r="B1031" s="1" t="str">
        <f t="shared" si="80"/>
        <v>2024-11</v>
      </c>
      <c r="C1031" t="s">
        <v>14</v>
      </c>
      <c r="D1031" t="s">
        <v>24</v>
      </c>
      <c r="E1031" t="s">
        <v>22</v>
      </c>
      <c r="F1031" t="s">
        <v>17</v>
      </c>
      <c r="G1031" s="4">
        <v>146583</v>
      </c>
      <c r="H1031" s="4">
        <v>2990</v>
      </c>
      <c r="I1031" s="5">
        <v>2.0400000000000001E-2</v>
      </c>
      <c r="J1031" s="2">
        <v>1.61</v>
      </c>
      <c r="K1031" s="6">
        <v>4813.8999999999996</v>
      </c>
      <c r="L1031" s="4">
        <v>114</v>
      </c>
      <c r="M1031" s="2">
        <v>42.23</v>
      </c>
      <c r="N1031" s="6">
        <v>8660.2800000000007</v>
      </c>
      <c r="O1031" s="6">
        <f t="shared" si="81"/>
        <v>3846.380000000001</v>
      </c>
      <c r="P1031" s="6">
        <f t="shared" si="82"/>
        <v>0.7990153513783006</v>
      </c>
      <c r="Q1031" s="3">
        <v>1.8</v>
      </c>
      <c r="R1031" t="str">
        <f t="shared" si="83"/>
        <v>Medium</v>
      </c>
      <c r="S1031" t="str">
        <f t="shared" si="84"/>
        <v>Valid</v>
      </c>
    </row>
    <row r="1032" spans="1:19" x14ac:dyDescent="0.25">
      <c r="A1032" s="1">
        <v>45613</v>
      </c>
      <c r="B1032" s="1" t="str">
        <f t="shared" si="80"/>
        <v>2024-11</v>
      </c>
      <c r="C1032" t="s">
        <v>14</v>
      </c>
      <c r="D1032" t="s">
        <v>24</v>
      </c>
      <c r="E1032" t="s">
        <v>16</v>
      </c>
      <c r="F1032" t="s">
        <v>32</v>
      </c>
      <c r="G1032" s="4">
        <v>46745</v>
      </c>
      <c r="H1032" s="4">
        <v>2140</v>
      </c>
      <c r="I1032" s="5">
        <v>4.58E-2</v>
      </c>
      <c r="J1032" s="2">
        <v>3.44</v>
      </c>
      <c r="K1032" s="6">
        <v>7361.6</v>
      </c>
      <c r="L1032" s="4">
        <v>38</v>
      </c>
      <c r="M1032" s="2">
        <v>193.73</v>
      </c>
      <c r="N1032" s="6">
        <v>5289.97</v>
      </c>
      <c r="O1032" s="6">
        <f t="shared" si="81"/>
        <v>-2071.63</v>
      </c>
      <c r="P1032" s="6">
        <f t="shared" si="82"/>
        <v>-0.28141029124103456</v>
      </c>
      <c r="Q1032" s="3">
        <v>0.72</v>
      </c>
      <c r="R1032" t="str">
        <f t="shared" si="83"/>
        <v>Low</v>
      </c>
      <c r="S1032" t="str">
        <f t="shared" si="84"/>
        <v>Valid</v>
      </c>
    </row>
    <row r="1033" spans="1:19" x14ac:dyDescent="0.25">
      <c r="A1033" s="1">
        <v>45635</v>
      </c>
      <c r="B1033" s="1" t="str">
        <f t="shared" si="80"/>
        <v>2024-12</v>
      </c>
      <c r="C1033" t="s">
        <v>14</v>
      </c>
      <c r="D1033" t="s">
        <v>29</v>
      </c>
      <c r="E1033" t="s">
        <v>30</v>
      </c>
      <c r="F1033" t="s">
        <v>27</v>
      </c>
      <c r="G1033" s="4">
        <v>39505</v>
      </c>
      <c r="H1033" s="4">
        <v>2251</v>
      </c>
      <c r="I1033" s="5">
        <v>5.7000000000000002E-2</v>
      </c>
      <c r="J1033" s="2">
        <v>3.06</v>
      </c>
      <c r="K1033" s="6">
        <v>6888.06</v>
      </c>
      <c r="L1033" s="4">
        <v>149</v>
      </c>
      <c r="M1033" s="2">
        <v>46.23</v>
      </c>
      <c r="N1033" s="6">
        <v>30920.99</v>
      </c>
      <c r="O1033" s="6">
        <f t="shared" si="81"/>
        <v>24032.93</v>
      </c>
      <c r="P1033" s="6">
        <f t="shared" si="82"/>
        <v>3.4890709430521798</v>
      </c>
      <c r="Q1033" s="3">
        <v>4.49</v>
      </c>
      <c r="R1033" t="str">
        <f t="shared" si="83"/>
        <v>High</v>
      </c>
      <c r="S1033" t="str">
        <f t="shared" si="84"/>
        <v>Valid</v>
      </c>
    </row>
    <row r="1034" spans="1:19" x14ac:dyDescent="0.25">
      <c r="A1034" s="1">
        <v>45362</v>
      </c>
      <c r="B1034" s="1" t="str">
        <f t="shared" si="80"/>
        <v>2024-03</v>
      </c>
      <c r="C1034" t="s">
        <v>14</v>
      </c>
      <c r="D1034" t="s">
        <v>24</v>
      </c>
      <c r="E1034" t="s">
        <v>22</v>
      </c>
      <c r="F1034" t="s">
        <v>26</v>
      </c>
      <c r="G1034" s="4">
        <v>179342</v>
      </c>
      <c r="H1034" s="4">
        <v>4071</v>
      </c>
      <c r="I1034" s="5">
        <v>2.2700000000000001E-2</v>
      </c>
      <c r="J1034" s="2">
        <v>2.2599999999999998</v>
      </c>
      <c r="K1034" s="6">
        <v>9200.4599999999991</v>
      </c>
      <c r="L1034" s="4">
        <v>195</v>
      </c>
      <c r="M1034" s="2">
        <v>47.18</v>
      </c>
      <c r="N1034" s="6">
        <v>30682.52</v>
      </c>
      <c r="O1034" s="6">
        <f t="shared" si="81"/>
        <v>21482.06</v>
      </c>
      <c r="P1034" s="6">
        <f t="shared" si="82"/>
        <v>2.3348897772502681</v>
      </c>
      <c r="Q1034" s="3">
        <v>3.33</v>
      </c>
      <c r="R1034" t="str">
        <f t="shared" si="83"/>
        <v>High</v>
      </c>
      <c r="S1034" t="str">
        <f t="shared" si="84"/>
        <v>Valid</v>
      </c>
    </row>
    <row r="1035" spans="1:19" x14ac:dyDescent="0.25">
      <c r="A1035" s="1">
        <v>45592</v>
      </c>
      <c r="B1035" s="1" t="str">
        <f t="shared" si="80"/>
        <v>2024-10</v>
      </c>
      <c r="C1035" t="s">
        <v>14</v>
      </c>
      <c r="D1035" t="s">
        <v>21</v>
      </c>
      <c r="E1035" t="s">
        <v>16</v>
      </c>
      <c r="F1035" t="s">
        <v>17</v>
      </c>
      <c r="G1035" s="4">
        <v>75410</v>
      </c>
      <c r="H1035" s="4">
        <v>3039</v>
      </c>
      <c r="I1035" s="5">
        <v>4.0300000000000002E-2</v>
      </c>
      <c r="J1035" s="2">
        <v>0.95</v>
      </c>
      <c r="K1035" s="6">
        <v>2887.05</v>
      </c>
      <c r="L1035" s="4">
        <v>239</v>
      </c>
      <c r="M1035" s="2">
        <v>12.08</v>
      </c>
      <c r="N1035" s="6">
        <v>29467.42</v>
      </c>
      <c r="O1035" s="6">
        <f t="shared" si="81"/>
        <v>26580.37</v>
      </c>
      <c r="P1035" s="6">
        <f t="shared" si="82"/>
        <v>9.2067577631145969</v>
      </c>
      <c r="Q1035" s="3">
        <v>10.210000000000001</v>
      </c>
      <c r="R1035" t="str">
        <f t="shared" si="83"/>
        <v>High</v>
      </c>
      <c r="S1035" t="str">
        <f t="shared" si="84"/>
        <v>Valid</v>
      </c>
    </row>
    <row r="1036" spans="1:19" x14ac:dyDescent="0.25">
      <c r="A1036" s="1">
        <v>45471</v>
      </c>
      <c r="B1036" s="1" t="str">
        <f t="shared" si="80"/>
        <v>2024-06</v>
      </c>
      <c r="C1036" t="s">
        <v>14</v>
      </c>
      <c r="D1036" t="s">
        <v>15</v>
      </c>
      <c r="E1036" t="s">
        <v>22</v>
      </c>
      <c r="F1036" t="s">
        <v>17</v>
      </c>
      <c r="G1036" s="4">
        <v>83488</v>
      </c>
      <c r="H1036" s="4">
        <v>4049</v>
      </c>
      <c r="I1036" s="5">
        <v>4.8500000000000001E-2</v>
      </c>
      <c r="J1036" s="2">
        <v>1.1499999999999999</v>
      </c>
      <c r="K1036" s="6">
        <v>4656.3500000000004</v>
      </c>
      <c r="L1036" s="4">
        <v>45</v>
      </c>
      <c r="M1036" s="2">
        <v>103.47</v>
      </c>
      <c r="N1036" s="6">
        <v>2103</v>
      </c>
      <c r="O1036" s="6">
        <f t="shared" si="81"/>
        <v>-2553.3500000000004</v>
      </c>
      <c r="P1036" s="6">
        <f t="shared" si="82"/>
        <v>-0.54835869296766782</v>
      </c>
      <c r="Q1036" s="3">
        <v>0.45</v>
      </c>
      <c r="R1036" t="str">
        <f t="shared" si="83"/>
        <v>Low</v>
      </c>
      <c r="S1036" t="str">
        <f t="shared" si="84"/>
        <v>Valid</v>
      </c>
    </row>
    <row r="1037" spans="1:19" x14ac:dyDescent="0.25">
      <c r="A1037" s="1">
        <v>45652</v>
      </c>
      <c r="B1037" s="1" t="str">
        <f t="shared" si="80"/>
        <v>2024-12</v>
      </c>
      <c r="C1037" t="s">
        <v>18</v>
      </c>
      <c r="D1037" t="s">
        <v>29</v>
      </c>
      <c r="E1037" t="s">
        <v>25</v>
      </c>
      <c r="F1037" t="s">
        <v>23</v>
      </c>
      <c r="G1037" s="4">
        <v>149143</v>
      </c>
      <c r="H1037" s="4">
        <v>5175</v>
      </c>
      <c r="I1037" s="5">
        <v>3.4700000000000002E-2</v>
      </c>
      <c r="J1037" s="2">
        <v>0.53</v>
      </c>
      <c r="K1037" s="6">
        <v>2742.75</v>
      </c>
      <c r="L1037" s="4">
        <v>140</v>
      </c>
      <c r="M1037" s="2">
        <v>19.59</v>
      </c>
      <c r="N1037" s="6">
        <v>11705.28</v>
      </c>
      <c r="O1037" s="6">
        <f t="shared" si="81"/>
        <v>8962.5300000000007</v>
      </c>
      <c r="P1037" s="6">
        <f t="shared" si="82"/>
        <v>3.2677167076838942</v>
      </c>
      <c r="Q1037" s="3">
        <v>4.2699999999999996</v>
      </c>
      <c r="R1037" t="str">
        <f t="shared" si="83"/>
        <v>High</v>
      </c>
      <c r="S1037" t="str">
        <f t="shared" si="84"/>
        <v>Valid</v>
      </c>
    </row>
    <row r="1038" spans="1:19" x14ac:dyDescent="0.25">
      <c r="A1038" s="1">
        <v>45617</v>
      </c>
      <c r="B1038" s="1" t="str">
        <f t="shared" si="80"/>
        <v>2024-11</v>
      </c>
      <c r="C1038" t="s">
        <v>28</v>
      </c>
      <c r="D1038" t="s">
        <v>24</v>
      </c>
      <c r="E1038" t="s">
        <v>16</v>
      </c>
      <c r="F1038" t="s">
        <v>32</v>
      </c>
      <c r="G1038" s="4">
        <v>52743</v>
      </c>
      <c r="H1038" s="4">
        <v>1207</v>
      </c>
      <c r="I1038" s="5">
        <v>2.29E-2</v>
      </c>
      <c r="J1038" s="2">
        <v>1.93</v>
      </c>
      <c r="K1038" s="6">
        <v>2329.5100000000002</v>
      </c>
      <c r="L1038" s="4">
        <v>90</v>
      </c>
      <c r="M1038" s="2">
        <v>25.88</v>
      </c>
      <c r="N1038" s="6">
        <v>11281.65</v>
      </c>
      <c r="O1038" s="6">
        <f t="shared" si="81"/>
        <v>8952.14</v>
      </c>
      <c r="P1038" s="6">
        <f t="shared" si="82"/>
        <v>3.8429283411532893</v>
      </c>
      <c r="Q1038" s="3">
        <v>4.84</v>
      </c>
      <c r="R1038" t="str">
        <f t="shared" si="83"/>
        <v>High</v>
      </c>
      <c r="S1038" t="str">
        <f t="shared" si="84"/>
        <v>Valid</v>
      </c>
    </row>
    <row r="1039" spans="1:19" x14ac:dyDescent="0.25">
      <c r="A1039" s="1">
        <v>45401</v>
      </c>
      <c r="B1039" s="1" t="str">
        <f t="shared" si="80"/>
        <v>2024-04</v>
      </c>
      <c r="C1039" t="s">
        <v>28</v>
      </c>
      <c r="D1039" t="s">
        <v>24</v>
      </c>
      <c r="E1039" t="s">
        <v>22</v>
      </c>
      <c r="F1039" t="s">
        <v>20</v>
      </c>
      <c r="G1039" s="4">
        <v>92091</v>
      </c>
      <c r="H1039" s="4">
        <v>3342</v>
      </c>
      <c r="I1039" s="5">
        <v>3.6299999999999999E-2</v>
      </c>
      <c r="J1039" s="2">
        <v>1.48</v>
      </c>
      <c r="K1039" s="6">
        <v>4946.16</v>
      </c>
      <c r="L1039" s="4">
        <v>145</v>
      </c>
      <c r="M1039" s="2">
        <v>34.11</v>
      </c>
      <c r="N1039" s="6">
        <v>37976.42</v>
      </c>
      <c r="O1039" s="6">
        <f t="shared" si="81"/>
        <v>33030.259999999995</v>
      </c>
      <c r="P1039" s="6">
        <f t="shared" si="82"/>
        <v>6.6779602762547094</v>
      </c>
      <c r="Q1039" s="3">
        <v>7.68</v>
      </c>
      <c r="R1039" t="str">
        <f t="shared" si="83"/>
        <v>High</v>
      </c>
      <c r="S1039" t="str">
        <f t="shared" si="84"/>
        <v>Valid</v>
      </c>
    </row>
    <row r="1040" spans="1:19" x14ac:dyDescent="0.25">
      <c r="A1040" s="1">
        <v>45396</v>
      </c>
      <c r="B1040" s="1" t="str">
        <f t="shared" si="80"/>
        <v>2024-04</v>
      </c>
      <c r="C1040" t="s">
        <v>18</v>
      </c>
      <c r="D1040" t="s">
        <v>21</v>
      </c>
      <c r="E1040" t="s">
        <v>22</v>
      </c>
      <c r="F1040" t="s">
        <v>23</v>
      </c>
      <c r="G1040" s="4">
        <v>118687</v>
      </c>
      <c r="H1040" s="4">
        <v>10586</v>
      </c>
      <c r="I1040" s="5">
        <v>8.9200000000000002E-2</v>
      </c>
      <c r="J1040" s="2">
        <v>0.75</v>
      </c>
      <c r="K1040" s="6">
        <v>7939.5</v>
      </c>
      <c r="L1040" s="4">
        <v>635</v>
      </c>
      <c r="M1040" s="2">
        <v>12.5</v>
      </c>
      <c r="N1040" s="6">
        <v>88046.75</v>
      </c>
      <c r="O1040" s="6">
        <f t="shared" si="81"/>
        <v>80107.25</v>
      </c>
      <c r="P1040" s="6">
        <f t="shared" si="82"/>
        <v>10.089709679450847</v>
      </c>
      <c r="Q1040" s="3">
        <v>11.09</v>
      </c>
      <c r="R1040" t="str">
        <f t="shared" si="83"/>
        <v>High</v>
      </c>
      <c r="S1040" t="str">
        <f t="shared" si="84"/>
        <v>Valid</v>
      </c>
    </row>
    <row r="1041" spans="1:19" x14ac:dyDescent="0.25">
      <c r="A1041" s="1">
        <v>45590</v>
      </c>
      <c r="B1041" s="1" t="str">
        <f t="shared" si="80"/>
        <v>2024-10</v>
      </c>
      <c r="C1041" t="s">
        <v>14</v>
      </c>
      <c r="D1041" t="s">
        <v>21</v>
      </c>
      <c r="E1041" t="s">
        <v>19</v>
      </c>
      <c r="F1041" t="s">
        <v>17</v>
      </c>
      <c r="G1041" s="4">
        <v>195664</v>
      </c>
      <c r="H1041" s="4">
        <v>6378</v>
      </c>
      <c r="I1041" s="5">
        <v>3.2599999999999997E-2</v>
      </c>
      <c r="J1041" s="2">
        <v>2.6</v>
      </c>
      <c r="K1041" s="6">
        <v>16582.8</v>
      </c>
      <c r="L1041" s="4">
        <v>312</v>
      </c>
      <c r="M1041" s="2">
        <v>53.15</v>
      </c>
      <c r="N1041" s="6">
        <v>33814.660000000003</v>
      </c>
      <c r="O1041" s="6">
        <f t="shared" si="81"/>
        <v>17231.860000000004</v>
      </c>
      <c r="P1041" s="6">
        <f t="shared" si="82"/>
        <v>1.0391405552741397</v>
      </c>
      <c r="Q1041" s="3">
        <v>2.04</v>
      </c>
      <c r="R1041" t="str">
        <f t="shared" si="83"/>
        <v>Medium</v>
      </c>
      <c r="S1041" t="str">
        <f t="shared" si="84"/>
        <v>Valid</v>
      </c>
    </row>
    <row r="1042" spans="1:19" x14ac:dyDescent="0.25">
      <c r="A1042" s="1">
        <v>45561</v>
      </c>
      <c r="B1042" s="1" t="str">
        <f t="shared" si="80"/>
        <v>2024-09</v>
      </c>
      <c r="C1042" t="s">
        <v>18</v>
      </c>
      <c r="D1042" t="s">
        <v>15</v>
      </c>
      <c r="E1042" t="s">
        <v>19</v>
      </c>
      <c r="F1042" t="s">
        <v>31</v>
      </c>
      <c r="G1042" s="4">
        <v>89946</v>
      </c>
      <c r="H1042" s="4">
        <v>5162</v>
      </c>
      <c r="I1042" s="5">
        <v>5.74E-2</v>
      </c>
      <c r="J1042" s="2">
        <v>0.63</v>
      </c>
      <c r="K1042" s="6">
        <v>3252.06</v>
      </c>
      <c r="L1042" s="4">
        <v>349</v>
      </c>
      <c r="M1042" s="2">
        <v>9.32</v>
      </c>
      <c r="N1042" s="6">
        <v>87393.19</v>
      </c>
      <c r="O1042" s="6">
        <f t="shared" si="81"/>
        <v>84141.13</v>
      </c>
      <c r="P1042" s="6">
        <f t="shared" si="82"/>
        <v>25.873178846638748</v>
      </c>
      <c r="Q1042" s="3">
        <v>26.87</v>
      </c>
      <c r="R1042" t="str">
        <f t="shared" si="83"/>
        <v>High</v>
      </c>
      <c r="S1042" t="str">
        <f t="shared" si="84"/>
        <v>Valid</v>
      </c>
    </row>
    <row r="1043" spans="1:19" x14ac:dyDescent="0.25">
      <c r="A1043" s="1">
        <v>45631</v>
      </c>
      <c r="B1043" s="1" t="str">
        <f t="shared" si="80"/>
        <v>2024-12</v>
      </c>
      <c r="C1043" t="s">
        <v>18</v>
      </c>
      <c r="D1043" t="s">
        <v>15</v>
      </c>
      <c r="E1043" t="s">
        <v>19</v>
      </c>
      <c r="F1043" t="s">
        <v>31</v>
      </c>
      <c r="G1043" s="4">
        <v>170529</v>
      </c>
      <c r="H1043" s="4">
        <v>11766</v>
      </c>
      <c r="I1043" s="5">
        <v>6.9000000000000006E-2</v>
      </c>
      <c r="J1043" s="2">
        <v>1.48</v>
      </c>
      <c r="K1043" s="6">
        <v>17413.68</v>
      </c>
      <c r="L1043" s="4">
        <v>695</v>
      </c>
      <c r="M1043" s="2">
        <v>25.06</v>
      </c>
      <c r="N1043" s="6">
        <v>102403.13</v>
      </c>
      <c r="O1043" s="6">
        <f t="shared" si="81"/>
        <v>84989.450000000012</v>
      </c>
      <c r="P1043" s="6">
        <f t="shared" si="82"/>
        <v>4.8806139770571191</v>
      </c>
      <c r="Q1043" s="3">
        <v>5.88</v>
      </c>
      <c r="R1043" t="str">
        <f t="shared" si="83"/>
        <v>High</v>
      </c>
      <c r="S1043" t="str">
        <f t="shared" si="84"/>
        <v>Valid</v>
      </c>
    </row>
    <row r="1044" spans="1:19" x14ac:dyDescent="0.25">
      <c r="A1044" s="1">
        <v>45294</v>
      </c>
      <c r="B1044" s="1" t="str">
        <f t="shared" si="80"/>
        <v>2024-01</v>
      </c>
      <c r="C1044" t="s">
        <v>28</v>
      </c>
      <c r="D1044" t="s">
        <v>29</v>
      </c>
      <c r="E1044" t="s">
        <v>16</v>
      </c>
      <c r="F1044" t="s">
        <v>27</v>
      </c>
      <c r="G1044" s="4">
        <v>129750</v>
      </c>
      <c r="H1044" s="4">
        <v>2452</v>
      </c>
      <c r="I1044" s="5">
        <v>1.89E-2</v>
      </c>
      <c r="J1044" s="2">
        <v>1.0900000000000001</v>
      </c>
      <c r="K1044" s="6">
        <v>2672.68</v>
      </c>
      <c r="L1044" s="4">
        <v>93</v>
      </c>
      <c r="M1044" s="2">
        <v>28.74</v>
      </c>
      <c r="N1044" s="6">
        <v>23770.39</v>
      </c>
      <c r="O1044" s="6">
        <f t="shared" si="81"/>
        <v>21097.71</v>
      </c>
      <c r="P1044" s="6">
        <f t="shared" si="82"/>
        <v>7.8938406393582472</v>
      </c>
      <c r="Q1044" s="3">
        <v>8.89</v>
      </c>
      <c r="R1044" t="str">
        <f t="shared" si="83"/>
        <v>High</v>
      </c>
      <c r="S1044" t="str">
        <f t="shared" si="84"/>
        <v>Valid</v>
      </c>
    </row>
    <row r="1045" spans="1:19" x14ac:dyDescent="0.25">
      <c r="A1045" s="1">
        <v>45313</v>
      </c>
      <c r="B1045" s="1" t="str">
        <f t="shared" si="80"/>
        <v>2024-01</v>
      </c>
      <c r="C1045" t="s">
        <v>28</v>
      </c>
      <c r="D1045" t="s">
        <v>29</v>
      </c>
      <c r="E1045" t="s">
        <v>22</v>
      </c>
      <c r="F1045" t="s">
        <v>23</v>
      </c>
      <c r="G1045" s="4">
        <v>197882</v>
      </c>
      <c r="H1045" s="4">
        <v>5144</v>
      </c>
      <c r="I1045" s="5">
        <v>2.5999999999999999E-2</v>
      </c>
      <c r="J1045" s="2">
        <v>0.81</v>
      </c>
      <c r="K1045" s="6">
        <v>4166.6400000000003</v>
      </c>
      <c r="L1045" s="4">
        <v>299</v>
      </c>
      <c r="M1045" s="2">
        <v>13.94</v>
      </c>
      <c r="N1045" s="6">
        <v>68061.759999999995</v>
      </c>
      <c r="O1045" s="6">
        <f t="shared" si="81"/>
        <v>63895.119999999995</v>
      </c>
      <c r="P1045" s="6">
        <f t="shared" si="82"/>
        <v>15.334926943532436</v>
      </c>
      <c r="Q1045" s="3">
        <v>16.329999999999998</v>
      </c>
      <c r="R1045" t="str">
        <f t="shared" si="83"/>
        <v>High</v>
      </c>
      <c r="S1045" t="str">
        <f t="shared" si="84"/>
        <v>Valid</v>
      </c>
    </row>
    <row r="1046" spans="1:19" x14ac:dyDescent="0.25">
      <c r="A1046" s="1">
        <v>45449</v>
      </c>
      <c r="B1046" s="1" t="str">
        <f t="shared" si="80"/>
        <v>2024-06</v>
      </c>
      <c r="C1046" t="s">
        <v>14</v>
      </c>
      <c r="D1046" t="s">
        <v>29</v>
      </c>
      <c r="E1046" t="s">
        <v>30</v>
      </c>
      <c r="F1046" t="s">
        <v>32</v>
      </c>
      <c r="G1046" s="4">
        <v>58266</v>
      </c>
      <c r="H1046" s="4">
        <v>2651</v>
      </c>
      <c r="I1046" s="5">
        <v>4.5499999999999999E-2</v>
      </c>
      <c r="J1046" s="2">
        <v>1.22</v>
      </c>
      <c r="K1046" s="6">
        <v>3234.22</v>
      </c>
      <c r="L1046" s="4">
        <v>103</v>
      </c>
      <c r="M1046" s="2">
        <v>31.4</v>
      </c>
      <c r="N1046" s="6">
        <v>3487.43</v>
      </c>
      <c r="O1046" s="6">
        <f t="shared" si="81"/>
        <v>253.21000000000004</v>
      </c>
      <c r="P1046" s="6">
        <f t="shared" si="82"/>
        <v>7.8290901670263632E-2</v>
      </c>
      <c r="Q1046" s="3">
        <v>1.08</v>
      </c>
      <c r="R1046" t="str">
        <f t="shared" si="83"/>
        <v>Medium</v>
      </c>
      <c r="S1046" t="str">
        <f t="shared" si="84"/>
        <v>Valid</v>
      </c>
    </row>
    <row r="1047" spans="1:19" x14ac:dyDescent="0.25">
      <c r="A1047" s="1">
        <v>45536</v>
      </c>
      <c r="B1047" s="1" t="str">
        <f t="shared" si="80"/>
        <v>2024-09</v>
      </c>
      <c r="C1047" t="s">
        <v>28</v>
      </c>
      <c r="D1047" t="s">
        <v>15</v>
      </c>
      <c r="E1047" t="s">
        <v>30</v>
      </c>
      <c r="F1047" t="s">
        <v>23</v>
      </c>
      <c r="G1047" s="4">
        <v>98699</v>
      </c>
      <c r="H1047" s="4">
        <v>2171</v>
      </c>
      <c r="I1047" s="5">
        <v>2.1999999999999999E-2</v>
      </c>
      <c r="J1047" s="2">
        <v>2.2200000000000002</v>
      </c>
      <c r="K1047" s="6">
        <v>4819.62</v>
      </c>
      <c r="L1047" s="4">
        <v>92</v>
      </c>
      <c r="M1047" s="2">
        <v>52.39</v>
      </c>
      <c r="N1047" s="6">
        <v>5066.63</v>
      </c>
      <c r="O1047" s="6">
        <f t="shared" si="81"/>
        <v>247.01000000000022</v>
      </c>
      <c r="P1047" s="6">
        <f t="shared" si="82"/>
        <v>5.1250928496437524E-2</v>
      </c>
      <c r="Q1047" s="3">
        <v>1.05</v>
      </c>
      <c r="R1047" t="str">
        <f t="shared" si="83"/>
        <v>Medium</v>
      </c>
      <c r="S1047" t="str">
        <f t="shared" si="84"/>
        <v>Valid</v>
      </c>
    </row>
    <row r="1048" spans="1:19" x14ac:dyDescent="0.25">
      <c r="A1048" s="1">
        <v>45309</v>
      </c>
      <c r="B1048" s="1" t="str">
        <f t="shared" si="80"/>
        <v>2024-01</v>
      </c>
      <c r="C1048" t="s">
        <v>18</v>
      </c>
      <c r="D1048" t="s">
        <v>21</v>
      </c>
      <c r="E1048" t="s">
        <v>19</v>
      </c>
      <c r="F1048" t="s">
        <v>20</v>
      </c>
      <c r="G1048" s="4">
        <v>172820</v>
      </c>
      <c r="H1048" s="4">
        <v>5512</v>
      </c>
      <c r="I1048" s="5">
        <v>3.1899999999999998E-2</v>
      </c>
      <c r="J1048" s="2">
        <v>1.5</v>
      </c>
      <c r="K1048" s="6">
        <v>8268</v>
      </c>
      <c r="L1048" s="4">
        <v>229</v>
      </c>
      <c r="M1048" s="2">
        <v>36.1</v>
      </c>
      <c r="N1048" s="6">
        <v>38190.22</v>
      </c>
      <c r="O1048" s="6">
        <f t="shared" si="81"/>
        <v>29922.22</v>
      </c>
      <c r="P1048" s="6">
        <f t="shared" si="82"/>
        <v>3.6190396710208033</v>
      </c>
      <c r="Q1048" s="3">
        <v>4.62</v>
      </c>
      <c r="R1048" t="str">
        <f t="shared" si="83"/>
        <v>High</v>
      </c>
      <c r="S1048" t="str">
        <f t="shared" si="84"/>
        <v>Valid</v>
      </c>
    </row>
    <row r="1049" spans="1:19" x14ac:dyDescent="0.25">
      <c r="A1049" s="1">
        <v>45626</v>
      </c>
      <c r="B1049" s="1" t="str">
        <f t="shared" si="80"/>
        <v>2024-11</v>
      </c>
      <c r="C1049" t="s">
        <v>14</v>
      </c>
      <c r="D1049" t="s">
        <v>24</v>
      </c>
      <c r="E1049" t="s">
        <v>19</v>
      </c>
      <c r="F1049" t="s">
        <v>20</v>
      </c>
      <c r="G1049" s="4">
        <v>61902</v>
      </c>
      <c r="H1049" s="4">
        <v>2599</v>
      </c>
      <c r="I1049" s="5">
        <v>4.2000000000000003E-2</v>
      </c>
      <c r="J1049" s="2">
        <v>2.92</v>
      </c>
      <c r="K1049" s="6">
        <v>7589.08</v>
      </c>
      <c r="L1049" s="4">
        <v>160</v>
      </c>
      <c r="M1049" s="2">
        <v>47.43</v>
      </c>
      <c r="N1049" s="6">
        <v>43994.91</v>
      </c>
      <c r="O1049" s="6">
        <f t="shared" si="81"/>
        <v>36405.83</v>
      </c>
      <c r="P1049" s="6">
        <f t="shared" si="82"/>
        <v>4.7971335128895731</v>
      </c>
      <c r="Q1049" s="3">
        <v>5.8</v>
      </c>
      <c r="R1049" t="str">
        <f t="shared" si="83"/>
        <v>High</v>
      </c>
      <c r="S1049" t="str">
        <f t="shared" si="84"/>
        <v>Valid</v>
      </c>
    </row>
    <row r="1050" spans="1:19" x14ac:dyDescent="0.25">
      <c r="A1050" s="1">
        <v>45493</v>
      </c>
      <c r="B1050" s="1" t="str">
        <f t="shared" si="80"/>
        <v>2024-07</v>
      </c>
      <c r="C1050" t="s">
        <v>18</v>
      </c>
      <c r="D1050" t="s">
        <v>24</v>
      </c>
      <c r="E1050" t="s">
        <v>19</v>
      </c>
      <c r="F1050" t="s">
        <v>17</v>
      </c>
      <c r="G1050" s="4">
        <v>148573</v>
      </c>
      <c r="H1050" s="4">
        <v>8706</v>
      </c>
      <c r="I1050" s="5">
        <v>5.8599999999999999E-2</v>
      </c>
      <c r="J1050" s="2">
        <v>1.77</v>
      </c>
      <c r="K1050" s="6">
        <v>15409.62</v>
      </c>
      <c r="L1050" s="4">
        <v>643</v>
      </c>
      <c r="M1050" s="2">
        <v>23.97</v>
      </c>
      <c r="N1050" s="6">
        <v>163989.09</v>
      </c>
      <c r="O1050" s="6">
        <f t="shared" si="81"/>
        <v>148579.47</v>
      </c>
      <c r="P1050" s="6">
        <f t="shared" si="82"/>
        <v>9.641994416474903</v>
      </c>
      <c r="Q1050" s="3">
        <v>10.64</v>
      </c>
      <c r="R1050" t="str">
        <f t="shared" si="83"/>
        <v>High</v>
      </c>
      <c r="S1050" t="str">
        <f t="shared" si="84"/>
        <v>Valid</v>
      </c>
    </row>
    <row r="1051" spans="1:19" x14ac:dyDescent="0.25">
      <c r="A1051" s="1">
        <v>45602</v>
      </c>
      <c r="B1051" s="1" t="str">
        <f t="shared" si="80"/>
        <v>2024-11</v>
      </c>
      <c r="C1051" t="s">
        <v>28</v>
      </c>
      <c r="D1051" t="s">
        <v>24</v>
      </c>
      <c r="E1051" t="s">
        <v>19</v>
      </c>
      <c r="F1051" t="s">
        <v>26</v>
      </c>
      <c r="G1051" s="4">
        <v>149654</v>
      </c>
      <c r="H1051" s="4">
        <v>6689</v>
      </c>
      <c r="I1051" s="5">
        <v>4.4699999999999997E-2</v>
      </c>
      <c r="J1051" s="2">
        <v>1.29</v>
      </c>
      <c r="K1051" s="6">
        <v>8628.81</v>
      </c>
      <c r="L1051" s="4">
        <v>262</v>
      </c>
      <c r="M1051" s="2">
        <v>32.93</v>
      </c>
      <c r="N1051" s="6">
        <v>10578.46</v>
      </c>
      <c r="O1051" s="6">
        <f t="shared" si="81"/>
        <v>1949.6499999999996</v>
      </c>
      <c r="P1051" s="6">
        <f t="shared" si="82"/>
        <v>0.22594656737139882</v>
      </c>
      <c r="Q1051" s="3">
        <v>1.23</v>
      </c>
      <c r="R1051" t="str">
        <f t="shared" si="83"/>
        <v>Medium</v>
      </c>
      <c r="S1051" t="str">
        <f t="shared" si="84"/>
        <v>Valid</v>
      </c>
    </row>
    <row r="1052" spans="1:19" x14ac:dyDescent="0.25">
      <c r="A1052" s="1">
        <v>45315</v>
      </c>
      <c r="B1052" s="1" t="str">
        <f t="shared" si="80"/>
        <v>2024-01</v>
      </c>
      <c r="C1052" t="s">
        <v>28</v>
      </c>
      <c r="D1052" t="s">
        <v>15</v>
      </c>
      <c r="E1052" t="s">
        <v>22</v>
      </c>
      <c r="F1052" t="s">
        <v>31</v>
      </c>
      <c r="G1052" s="4">
        <v>191478</v>
      </c>
      <c r="H1052" s="4">
        <v>6414</v>
      </c>
      <c r="I1052" s="5">
        <v>3.3500000000000002E-2</v>
      </c>
      <c r="J1052" s="2">
        <v>1.57</v>
      </c>
      <c r="K1052" s="6">
        <v>10069.98</v>
      </c>
      <c r="L1052" s="4">
        <v>236</v>
      </c>
      <c r="M1052" s="2">
        <v>42.67</v>
      </c>
      <c r="N1052" s="6">
        <v>56534.15</v>
      </c>
      <c r="O1052" s="6">
        <f t="shared" si="81"/>
        <v>46464.17</v>
      </c>
      <c r="P1052" s="6">
        <f t="shared" si="82"/>
        <v>4.6141273368963986</v>
      </c>
      <c r="Q1052" s="3">
        <v>5.61</v>
      </c>
      <c r="R1052" t="str">
        <f t="shared" si="83"/>
        <v>High</v>
      </c>
      <c r="S1052" t="str">
        <f t="shared" si="84"/>
        <v>Valid</v>
      </c>
    </row>
    <row r="1053" spans="1:19" x14ac:dyDescent="0.25">
      <c r="A1053" s="1">
        <v>45413</v>
      </c>
      <c r="B1053" s="1" t="str">
        <f t="shared" si="80"/>
        <v>2024-05</v>
      </c>
      <c r="C1053" t="s">
        <v>28</v>
      </c>
      <c r="D1053" t="s">
        <v>15</v>
      </c>
      <c r="E1053" t="s">
        <v>30</v>
      </c>
      <c r="F1053" t="s">
        <v>27</v>
      </c>
      <c r="G1053" s="4">
        <v>7196</v>
      </c>
      <c r="H1053" s="4">
        <v>287</v>
      </c>
      <c r="I1053" s="5">
        <v>0.04</v>
      </c>
      <c r="J1053" s="2">
        <v>2.21</v>
      </c>
      <c r="K1053" s="6">
        <v>634.27</v>
      </c>
      <c r="L1053" s="4">
        <v>10</v>
      </c>
      <c r="M1053" s="2">
        <v>63.43</v>
      </c>
      <c r="N1053" s="6">
        <v>693.26</v>
      </c>
      <c r="O1053" s="6">
        <f t="shared" si="81"/>
        <v>58.990000000000009</v>
      </c>
      <c r="P1053" s="6">
        <f t="shared" si="82"/>
        <v>9.3004556419190587E-2</v>
      </c>
      <c r="Q1053" s="3">
        <v>1.0900000000000001</v>
      </c>
      <c r="R1053" t="str">
        <f t="shared" si="83"/>
        <v>Medium</v>
      </c>
      <c r="S1053" t="str">
        <f t="shared" si="84"/>
        <v>Valid</v>
      </c>
    </row>
    <row r="1054" spans="1:19" x14ac:dyDescent="0.25">
      <c r="A1054" s="1">
        <v>45610</v>
      </c>
      <c r="B1054" s="1" t="str">
        <f t="shared" si="80"/>
        <v>2024-11</v>
      </c>
      <c r="C1054" t="s">
        <v>14</v>
      </c>
      <c r="D1054" t="s">
        <v>29</v>
      </c>
      <c r="E1054" t="s">
        <v>22</v>
      </c>
      <c r="F1054" t="s">
        <v>31</v>
      </c>
      <c r="G1054" s="4">
        <v>30757</v>
      </c>
      <c r="H1054" s="4">
        <v>1202</v>
      </c>
      <c r="I1054" s="5">
        <v>3.9100000000000003E-2</v>
      </c>
      <c r="J1054" s="2">
        <v>3.26</v>
      </c>
      <c r="K1054" s="6">
        <v>3918.52</v>
      </c>
      <c r="L1054" s="4">
        <v>60</v>
      </c>
      <c r="M1054" s="2">
        <v>65.31</v>
      </c>
      <c r="N1054" s="6">
        <v>5647</v>
      </c>
      <c r="O1054" s="6">
        <f t="shared" si="81"/>
        <v>1728.48</v>
      </c>
      <c r="P1054" s="6">
        <f t="shared" si="82"/>
        <v>0.44110531527209251</v>
      </c>
      <c r="Q1054" s="3">
        <v>1.44</v>
      </c>
      <c r="R1054" t="str">
        <f t="shared" si="83"/>
        <v>Medium</v>
      </c>
      <c r="S1054" t="str">
        <f t="shared" si="84"/>
        <v>Valid</v>
      </c>
    </row>
    <row r="1055" spans="1:19" x14ac:dyDescent="0.25">
      <c r="A1055" s="1">
        <v>45393</v>
      </c>
      <c r="B1055" s="1" t="str">
        <f t="shared" si="80"/>
        <v>2024-04</v>
      </c>
      <c r="C1055" t="s">
        <v>14</v>
      </c>
      <c r="D1055" t="s">
        <v>29</v>
      </c>
      <c r="E1055" t="s">
        <v>22</v>
      </c>
      <c r="F1055" t="s">
        <v>27</v>
      </c>
      <c r="G1055" s="4">
        <v>17578</v>
      </c>
      <c r="H1055" s="4">
        <v>330</v>
      </c>
      <c r="I1055" s="5">
        <v>1.8800000000000001E-2</v>
      </c>
      <c r="J1055" s="2">
        <v>3.07</v>
      </c>
      <c r="K1055" s="6">
        <v>1013.1</v>
      </c>
      <c r="L1055" s="4">
        <v>20</v>
      </c>
      <c r="M1055" s="2">
        <v>50.66</v>
      </c>
      <c r="N1055" s="6">
        <v>3553.78</v>
      </c>
      <c r="O1055" s="6">
        <f t="shared" si="81"/>
        <v>2540.6800000000003</v>
      </c>
      <c r="P1055" s="6">
        <f t="shared" si="82"/>
        <v>2.5078274602704571</v>
      </c>
      <c r="Q1055" s="3">
        <v>3.51</v>
      </c>
      <c r="R1055" t="str">
        <f t="shared" si="83"/>
        <v>High</v>
      </c>
      <c r="S1055" t="str">
        <f t="shared" si="84"/>
        <v>Valid</v>
      </c>
    </row>
    <row r="1056" spans="1:19" x14ac:dyDescent="0.25">
      <c r="A1056" s="1">
        <v>45324</v>
      </c>
      <c r="B1056" s="1" t="str">
        <f t="shared" si="80"/>
        <v>2024-02</v>
      </c>
      <c r="C1056" t="s">
        <v>14</v>
      </c>
      <c r="D1056" t="s">
        <v>29</v>
      </c>
      <c r="E1056" t="s">
        <v>30</v>
      </c>
      <c r="F1056" t="s">
        <v>23</v>
      </c>
      <c r="G1056" s="4">
        <v>65530</v>
      </c>
      <c r="H1056" s="4">
        <v>2018</v>
      </c>
      <c r="I1056" s="5">
        <v>3.0800000000000001E-2</v>
      </c>
      <c r="J1056" s="2">
        <v>2.81</v>
      </c>
      <c r="K1056" s="6">
        <v>5670.58</v>
      </c>
      <c r="L1056" s="4">
        <v>117</v>
      </c>
      <c r="M1056" s="2">
        <v>48.47</v>
      </c>
      <c r="N1056" s="6">
        <v>12114.63</v>
      </c>
      <c r="O1056" s="6">
        <f t="shared" si="81"/>
        <v>6444.0499999999993</v>
      </c>
      <c r="P1056" s="6">
        <f t="shared" si="82"/>
        <v>1.1364005092953453</v>
      </c>
      <c r="Q1056" s="3">
        <v>2.14</v>
      </c>
      <c r="R1056" t="str">
        <f t="shared" si="83"/>
        <v>Medium</v>
      </c>
      <c r="S1056" t="str">
        <f t="shared" si="84"/>
        <v>Valid</v>
      </c>
    </row>
    <row r="1057" spans="1:19" x14ac:dyDescent="0.25">
      <c r="A1057" s="1">
        <v>45553</v>
      </c>
      <c r="B1057" s="1" t="str">
        <f t="shared" si="80"/>
        <v>2024-09</v>
      </c>
      <c r="C1057" t="s">
        <v>18</v>
      </c>
      <c r="D1057" t="s">
        <v>15</v>
      </c>
      <c r="E1057" t="s">
        <v>25</v>
      </c>
      <c r="F1057" t="s">
        <v>20</v>
      </c>
      <c r="G1057" s="4">
        <v>89403</v>
      </c>
      <c r="H1057" s="4">
        <v>5578</v>
      </c>
      <c r="I1057" s="5">
        <v>6.2399999999999997E-2</v>
      </c>
      <c r="J1057" s="2">
        <v>1.48</v>
      </c>
      <c r="K1057" s="6">
        <v>8255.44</v>
      </c>
      <c r="L1057" s="4">
        <v>414</v>
      </c>
      <c r="M1057" s="2">
        <v>19.940000000000001</v>
      </c>
      <c r="N1057" s="6">
        <v>80503.149999999994</v>
      </c>
      <c r="O1057" s="6">
        <f t="shared" si="81"/>
        <v>72247.709999999992</v>
      </c>
      <c r="P1057" s="6">
        <f t="shared" si="82"/>
        <v>8.7515274776389855</v>
      </c>
      <c r="Q1057" s="3">
        <v>9.75</v>
      </c>
      <c r="R1057" t="str">
        <f t="shared" si="83"/>
        <v>High</v>
      </c>
      <c r="S1057" t="str">
        <f t="shared" si="84"/>
        <v>Valid</v>
      </c>
    </row>
    <row r="1058" spans="1:19" x14ac:dyDescent="0.25">
      <c r="A1058" s="1">
        <v>45452</v>
      </c>
      <c r="B1058" s="1" t="str">
        <f t="shared" si="80"/>
        <v>2024-06</v>
      </c>
      <c r="C1058" t="s">
        <v>18</v>
      </c>
      <c r="D1058" t="s">
        <v>24</v>
      </c>
      <c r="E1058" t="s">
        <v>30</v>
      </c>
      <c r="F1058" t="s">
        <v>32</v>
      </c>
      <c r="G1058" s="4">
        <v>161904</v>
      </c>
      <c r="H1058" s="4">
        <v>4339</v>
      </c>
      <c r="I1058" s="5">
        <v>2.6800000000000001E-2</v>
      </c>
      <c r="J1058" s="2">
        <v>1.05</v>
      </c>
      <c r="K1058" s="6">
        <v>4555.95</v>
      </c>
      <c r="L1058" s="4">
        <v>178</v>
      </c>
      <c r="M1058" s="2">
        <v>25.6</v>
      </c>
      <c r="N1058" s="6">
        <v>22405.85</v>
      </c>
      <c r="O1058" s="6">
        <f t="shared" si="81"/>
        <v>17849.899999999998</v>
      </c>
      <c r="P1058" s="6">
        <f t="shared" si="82"/>
        <v>3.9179314961753309</v>
      </c>
      <c r="Q1058" s="3">
        <v>4.92</v>
      </c>
      <c r="R1058" t="str">
        <f t="shared" si="83"/>
        <v>High</v>
      </c>
      <c r="S1058" t="str">
        <f t="shared" si="84"/>
        <v>Valid</v>
      </c>
    </row>
    <row r="1059" spans="1:19" x14ac:dyDescent="0.25">
      <c r="A1059" s="1">
        <v>45543</v>
      </c>
      <c r="B1059" s="1" t="str">
        <f t="shared" si="80"/>
        <v>2024-09</v>
      </c>
      <c r="C1059" t="s">
        <v>28</v>
      </c>
      <c r="D1059" t="s">
        <v>21</v>
      </c>
      <c r="E1059" t="s">
        <v>19</v>
      </c>
      <c r="F1059" t="s">
        <v>27</v>
      </c>
      <c r="G1059" s="4">
        <v>27036</v>
      </c>
      <c r="H1059" s="4">
        <v>708</v>
      </c>
      <c r="I1059" s="5">
        <v>2.6200000000000001E-2</v>
      </c>
      <c r="J1059" s="2">
        <v>1.67</v>
      </c>
      <c r="K1059" s="6">
        <v>1182.3599999999999</v>
      </c>
      <c r="L1059" s="4">
        <v>12</v>
      </c>
      <c r="M1059" s="2">
        <v>98.53</v>
      </c>
      <c r="N1059" s="6">
        <v>1538.26</v>
      </c>
      <c r="O1059" s="6">
        <f t="shared" si="81"/>
        <v>355.90000000000009</v>
      </c>
      <c r="P1059" s="6">
        <f t="shared" si="82"/>
        <v>0.30100815318515523</v>
      </c>
      <c r="Q1059" s="3">
        <v>1.3</v>
      </c>
      <c r="R1059" t="str">
        <f t="shared" si="83"/>
        <v>Medium</v>
      </c>
      <c r="S1059" t="str">
        <f t="shared" si="84"/>
        <v>Valid</v>
      </c>
    </row>
    <row r="1060" spans="1:19" x14ac:dyDescent="0.25">
      <c r="A1060" s="1">
        <v>45451</v>
      </c>
      <c r="B1060" s="1" t="str">
        <f t="shared" si="80"/>
        <v>2024-06</v>
      </c>
      <c r="C1060" t="s">
        <v>28</v>
      </c>
      <c r="D1060" t="s">
        <v>24</v>
      </c>
      <c r="E1060" t="s">
        <v>25</v>
      </c>
      <c r="F1060" t="s">
        <v>20</v>
      </c>
      <c r="G1060" s="4">
        <v>12712</v>
      </c>
      <c r="H1060" s="4">
        <v>212</v>
      </c>
      <c r="I1060" s="5">
        <v>1.67E-2</v>
      </c>
      <c r="J1060" s="2">
        <v>1.7</v>
      </c>
      <c r="K1060" s="6">
        <v>360.4</v>
      </c>
      <c r="L1060" s="4">
        <v>9</v>
      </c>
      <c r="M1060" s="2">
        <v>40.04</v>
      </c>
      <c r="N1060" s="6">
        <v>375.03</v>
      </c>
      <c r="O1060" s="6">
        <f t="shared" si="81"/>
        <v>14.629999999999995</v>
      </c>
      <c r="P1060" s="6">
        <f t="shared" si="82"/>
        <v>4.0593784683684783E-2</v>
      </c>
      <c r="Q1060" s="3">
        <v>1.04</v>
      </c>
      <c r="R1060" t="str">
        <f t="shared" si="83"/>
        <v>Medium</v>
      </c>
      <c r="S1060" t="str">
        <f t="shared" si="84"/>
        <v>Valid</v>
      </c>
    </row>
    <row r="1061" spans="1:19" x14ac:dyDescent="0.25">
      <c r="A1061" s="1">
        <v>45332</v>
      </c>
      <c r="B1061" s="1" t="str">
        <f t="shared" si="80"/>
        <v>2024-02</v>
      </c>
      <c r="C1061" t="s">
        <v>14</v>
      </c>
      <c r="D1061" t="s">
        <v>24</v>
      </c>
      <c r="E1061" t="s">
        <v>30</v>
      </c>
      <c r="F1061" t="s">
        <v>17</v>
      </c>
      <c r="G1061" s="4">
        <v>24198</v>
      </c>
      <c r="H1061" s="4">
        <v>1214</v>
      </c>
      <c r="I1061" s="5">
        <v>5.0200000000000002E-2</v>
      </c>
      <c r="J1061" s="2">
        <v>1.35</v>
      </c>
      <c r="K1061" s="6">
        <v>1638.9</v>
      </c>
      <c r="L1061" s="4">
        <v>60</v>
      </c>
      <c r="M1061" s="2">
        <v>27.32</v>
      </c>
      <c r="N1061" s="6">
        <v>11611.94</v>
      </c>
      <c r="O1061" s="6">
        <f t="shared" si="81"/>
        <v>9973.0400000000009</v>
      </c>
      <c r="P1061" s="6">
        <f t="shared" si="82"/>
        <v>6.0852034901458296</v>
      </c>
      <c r="Q1061" s="3">
        <v>7.09</v>
      </c>
      <c r="R1061" t="str">
        <f t="shared" si="83"/>
        <v>High</v>
      </c>
      <c r="S1061" t="str">
        <f t="shared" si="84"/>
        <v>Valid</v>
      </c>
    </row>
    <row r="1062" spans="1:19" x14ac:dyDescent="0.25">
      <c r="A1062" s="1">
        <v>45504</v>
      </c>
      <c r="B1062" s="1" t="str">
        <f t="shared" si="80"/>
        <v>2024-07</v>
      </c>
      <c r="C1062" t="s">
        <v>14</v>
      </c>
      <c r="D1062" t="s">
        <v>29</v>
      </c>
      <c r="E1062" t="s">
        <v>25</v>
      </c>
      <c r="F1062" t="s">
        <v>31</v>
      </c>
      <c r="G1062" s="4">
        <v>80324</v>
      </c>
      <c r="H1062" s="4">
        <v>2337</v>
      </c>
      <c r="I1062" s="5">
        <v>2.9100000000000001E-2</v>
      </c>
      <c r="J1062" s="2">
        <v>2.99</v>
      </c>
      <c r="K1062" s="6">
        <v>6987.63</v>
      </c>
      <c r="L1062" s="4">
        <v>50</v>
      </c>
      <c r="M1062" s="2">
        <v>139.75</v>
      </c>
      <c r="N1062" s="6">
        <v>12463.37</v>
      </c>
      <c r="O1062" s="6">
        <f t="shared" si="81"/>
        <v>5475.7400000000007</v>
      </c>
      <c r="P1062" s="6">
        <f t="shared" si="82"/>
        <v>0.7836333635295516</v>
      </c>
      <c r="Q1062" s="3">
        <v>1.78</v>
      </c>
      <c r="R1062" t="str">
        <f t="shared" si="83"/>
        <v>Medium</v>
      </c>
      <c r="S1062" t="str">
        <f t="shared" si="84"/>
        <v>Valid</v>
      </c>
    </row>
    <row r="1063" spans="1:19" x14ac:dyDescent="0.25">
      <c r="A1063" s="1">
        <v>45404</v>
      </c>
      <c r="B1063" s="1" t="str">
        <f t="shared" si="80"/>
        <v>2024-04</v>
      </c>
      <c r="C1063" t="s">
        <v>14</v>
      </c>
      <c r="D1063" t="s">
        <v>15</v>
      </c>
      <c r="E1063" t="s">
        <v>25</v>
      </c>
      <c r="F1063" t="s">
        <v>26</v>
      </c>
      <c r="G1063" s="4">
        <v>160525</v>
      </c>
      <c r="H1063" s="4">
        <v>6003</v>
      </c>
      <c r="I1063" s="5">
        <v>3.7400000000000003E-2</v>
      </c>
      <c r="J1063" s="2">
        <v>1.67</v>
      </c>
      <c r="K1063" s="6">
        <v>10025.01</v>
      </c>
      <c r="L1063" s="4">
        <v>106</v>
      </c>
      <c r="M1063" s="2">
        <v>94.58</v>
      </c>
      <c r="N1063" s="6">
        <v>12306.27</v>
      </c>
      <c r="O1063" s="6">
        <f t="shared" si="81"/>
        <v>2281.2600000000002</v>
      </c>
      <c r="P1063" s="6">
        <f t="shared" si="82"/>
        <v>0.2275568802425135</v>
      </c>
      <c r="Q1063" s="3">
        <v>1.23</v>
      </c>
      <c r="R1063" t="str">
        <f t="shared" si="83"/>
        <v>Medium</v>
      </c>
      <c r="S1063" t="str">
        <f t="shared" si="84"/>
        <v>Valid</v>
      </c>
    </row>
    <row r="1064" spans="1:19" x14ac:dyDescent="0.25">
      <c r="A1064" s="1">
        <v>45349</v>
      </c>
      <c r="B1064" s="1" t="str">
        <f t="shared" si="80"/>
        <v>2024-02</v>
      </c>
      <c r="C1064" t="s">
        <v>14</v>
      </c>
      <c r="D1064" t="s">
        <v>29</v>
      </c>
      <c r="E1064" t="s">
        <v>16</v>
      </c>
      <c r="F1064" t="s">
        <v>26</v>
      </c>
      <c r="G1064" s="4">
        <v>104821</v>
      </c>
      <c r="H1064" s="4">
        <v>4224</v>
      </c>
      <c r="I1064" s="5">
        <v>4.0300000000000002E-2</v>
      </c>
      <c r="J1064" s="2">
        <v>1.36</v>
      </c>
      <c r="K1064" s="6">
        <v>5744.64</v>
      </c>
      <c r="L1064" s="4">
        <v>307</v>
      </c>
      <c r="M1064" s="2">
        <v>18.71</v>
      </c>
      <c r="N1064" s="6">
        <v>89314.07</v>
      </c>
      <c r="O1064" s="6">
        <f t="shared" si="81"/>
        <v>83569.430000000008</v>
      </c>
      <c r="P1064" s="6">
        <f t="shared" si="82"/>
        <v>14.547374596145277</v>
      </c>
      <c r="Q1064" s="3">
        <v>15.55</v>
      </c>
      <c r="R1064" t="str">
        <f t="shared" si="83"/>
        <v>High</v>
      </c>
      <c r="S1064" t="str">
        <f t="shared" si="84"/>
        <v>Valid</v>
      </c>
    </row>
    <row r="1065" spans="1:19" x14ac:dyDescent="0.25">
      <c r="A1065" s="1">
        <v>45568</v>
      </c>
      <c r="B1065" s="1" t="str">
        <f t="shared" si="80"/>
        <v>2024-10</v>
      </c>
      <c r="C1065" t="s">
        <v>14</v>
      </c>
      <c r="D1065" t="s">
        <v>21</v>
      </c>
      <c r="E1065" t="s">
        <v>22</v>
      </c>
      <c r="F1065" t="s">
        <v>31</v>
      </c>
      <c r="G1065" s="4">
        <v>48118</v>
      </c>
      <c r="H1065" s="4">
        <v>1616</v>
      </c>
      <c r="I1065" s="5">
        <v>3.3599999999999998E-2</v>
      </c>
      <c r="J1065" s="2">
        <v>3.66</v>
      </c>
      <c r="K1065" s="6">
        <v>5914.56</v>
      </c>
      <c r="L1065" s="4">
        <v>129</v>
      </c>
      <c r="M1065" s="2">
        <v>45.85</v>
      </c>
      <c r="N1065" s="6">
        <v>28604.240000000002</v>
      </c>
      <c r="O1065" s="6">
        <f t="shared" si="81"/>
        <v>22689.68</v>
      </c>
      <c r="P1065" s="6">
        <f t="shared" si="82"/>
        <v>3.8362414110263483</v>
      </c>
      <c r="Q1065" s="3">
        <v>4.84</v>
      </c>
      <c r="R1065" t="str">
        <f t="shared" si="83"/>
        <v>High</v>
      </c>
      <c r="S1065" t="str">
        <f t="shared" si="84"/>
        <v>Valid</v>
      </c>
    </row>
    <row r="1066" spans="1:19" x14ac:dyDescent="0.25">
      <c r="A1066" s="1">
        <v>45328</v>
      </c>
      <c r="B1066" s="1" t="str">
        <f t="shared" si="80"/>
        <v>2024-02</v>
      </c>
      <c r="C1066" t="s">
        <v>18</v>
      </c>
      <c r="D1066" t="s">
        <v>29</v>
      </c>
      <c r="E1066" t="s">
        <v>25</v>
      </c>
      <c r="F1066" t="s">
        <v>32</v>
      </c>
      <c r="G1066" s="4">
        <v>53709</v>
      </c>
      <c r="H1066" s="4">
        <v>2868</v>
      </c>
      <c r="I1066" s="5">
        <v>5.3400000000000003E-2</v>
      </c>
      <c r="J1066" s="2">
        <v>0.89</v>
      </c>
      <c r="K1066" s="6">
        <v>2552.52</v>
      </c>
      <c r="L1066" s="4">
        <v>222</v>
      </c>
      <c r="M1066" s="2">
        <v>11.5</v>
      </c>
      <c r="N1066" s="6">
        <v>47503.54</v>
      </c>
      <c r="O1066" s="6">
        <f t="shared" si="81"/>
        <v>44951.020000000004</v>
      </c>
      <c r="P1066" s="6">
        <f t="shared" si="82"/>
        <v>17.61044771441556</v>
      </c>
      <c r="Q1066" s="3">
        <v>18.61</v>
      </c>
      <c r="R1066" t="str">
        <f t="shared" si="83"/>
        <v>High</v>
      </c>
      <c r="S1066" t="str">
        <f t="shared" si="84"/>
        <v>Valid</v>
      </c>
    </row>
    <row r="1067" spans="1:19" x14ac:dyDescent="0.25">
      <c r="A1067" s="1">
        <v>45336</v>
      </c>
      <c r="B1067" s="1" t="str">
        <f t="shared" si="80"/>
        <v>2024-02</v>
      </c>
      <c r="C1067" t="s">
        <v>14</v>
      </c>
      <c r="D1067" t="s">
        <v>29</v>
      </c>
      <c r="E1067" t="s">
        <v>22</v>
      </c>
      <c r="F1067" t="s">
        <v>20</v>
      </c>
      <c r="G1067" s="4">
        <v>25497</v>
      </c>
      <c r="H1067" s="4">
        <v>1142</v>
      </c>
      <c r="I1067" s="5">
        <v>4.48E-2</v>
      </c>
      <c r="J1067" s="2">
        <v>1.84</v>
      </c>
      <c r="K1067" s="6">
        <v>2101.2800000000002</v>
      </c>
      <c r="L1067" s="4">
        <v>75</v>
      </c>
      <c r="M1067" s="2">
        <v>28.02</v>
      </c>
      <c r="N1067" s="6">
        <v>18551.009999999998</v>
      </c>
      <c r="O1067" s="6">
        <f t="shared" si="81"/>
        <v>16449.73</v>
      </c>
      <c r="P1067" s="6">
        <f t="shared" si="82"/>
        <v>7.8284331455113065</v>
      </c>
      <c r="Q1067" s="3">
        <v>8.83</v>
      </c>
      <c r="R1067" t="str">
        <f t="shared" si="83"/>
        <v>High</v>
      </c>
      <c r="S1067" t="str">
        <f t="shared" si="84"/>
        <v>Valid</v>
      </c>
    </row>
    <row r="1068" spans="1:19" x14ac:dyDescent="0.25">
      <c r="A1068" s="1">
        <v>45530</v>
      </c>
      <c r="B1068" s="1" t="str">
        <f t="shared" si="80"/>
        <v>2024-08</v>
      </c>
      <c r="C1068" t="s">
        <v>18</v>
      </c>
      <c r="D1068" t="s">
        <v>29</v>
      </c>
      <c r="E1068" t="s">
        <v>16</v>
      </c>
      <c r="F1068" t="s">
        <v>17</v>
      </c>
      <c r="G1068" s="4">
        <v>178782</v>
      </c>
      <c r="H1068" s="4">
        <v>7705</v>
      </c>
      <c r="I1068" s="5">
        <v>4.3099999999999999E-2</v>
      </c>
      <c r="J1068" s="2">
        <v>1.28</v>
      </c>
      <c r="K1068" s="6">
        <v>9862.4</v>
      </c>
      <c r="L1068" s="4">
        <v>352</v>
      </c>
      <c r="M1068" s="2">
        <v>28.02</v>
      </c>
      <c r="N1068" s="6">
        <v>30909.61</v>
      </c>
      <c r="O1068" s="6">
        <f t="shared" si="81"/>
        <v>21047.21</v>
      </c>
      <c r="P1068" s="6">
        <f t="shared" si="82"/>
        <v>2.134086023685918</v>
      </c>
      <c r="Q1068" s="3">
        <v>3.13</v>
      </c>
      <c r="R1068" t="str">
        <f t="shared" si="83"/>
        <v>High</v>
      </c>
      <c r="S1068" t="str">
        <f t="shared" si="84"/>
        <v>Valid</v>
      </c>
    </row>
    <row r="1069" spans="1:19" x14ac:dyDescent="0.25">
      <c r="A1069" s="1">
        <v>45415</v>
      </c>
      <c r="B1069" s="1" t="str">
        <f t="shared" si="80"/>
        <v>2024-05</v>
      </c>
      <c r="C1069" t="s">
        <v>28</v>
      </c>
      <c r="D1069" t="s">
        <v>21</v>
      </c>
      <c r="E1069" t="s">
        <v>22</v>
      </c>
      <c r="F1069" t="s">
        <v>31</v>
      </c>
      <c r="G1069" s="4">
        <v>189221</v>
      </c>
      <c r="H1069" s="4">
        <v>7587</v>
      </c>
      <c r="I1069" s="5">
        <v>4.0099999999999997E-2</v>
      </c>
      <c r="J1069" s="2">
        <v>0.91</v>
      </c>
      <c r="K1069" s="6">
        <v>6904.17</v>
      </c>
      <c r="L1069" s="4">
        <v>80</v>
      </c>
      <c r="M1069" s="2">
        <v>86.3</v>
      </c>
      <c r="N1069" s="6">
        <v>2769.22</v>
      </c>
      <c r="O1069" s="6">
        <f t="shared" si="81"/>
        <v>-4134.9500000000007</v>
      </c>
      <c r="P1069" s="6">
        <f t="shared" si="82"/>
        <v>-0.59890616830118615</v>
      </c>
      <c r="Q1069" s="3">
        <v>0.4</v>
      </c>
      <c r="R1069" t="str">
        <f t="shared" si="83"/>
        <v>Low</v>
      </c>
      <c r="S1069" t="str">
        <f t="shared" si="84"/>
        <v>Valid</v>
      </c>
    </row>
    <row r="1070" spans="1:19" x14ac:dyDescent="0.25">
      <c r="A1070" s="1">
        <v>45652</v>
      </c>
      <c r="B1070" s="1" t="str">
        <f t="shared" si="80"/>
        <v>2024-12</v>
      </c>
      <c r="C1070" t="s">
        <v>28</v>
      </c>
      <c r="D1070" t="s">
        <v>15</v>
      </c>
      <c r="E1070" t="s">
        <v>16</v>
      </c>
      <c r="F1070" t="s">
        <v>26</v>
      </c>
      <c r="G1070" s="4">
        <v>138704</v>
      </c>
      <c r="H1070" s="4">
        <v>1803</v>
      </c>
      <c r="I1070" s="5">
        <v>1.2999999999999999E-2</v>
      </c>
      <c r="J1070" s="2">
        <v>0.86</v>
      </c>
      <c r="K1070" s="6">
        <v>1550.58</v>
      </c>
      <c r="L1070" s="4">
        <v>119</v>
      </c>
      <c r="M1070" s="2">
        <v>13.03</v>
      </c>
      <c r="N1070" s="6">
        <v>10297.42</v>
      </c>
      <c r="O1070" s="6">
        <f t="shared" si="81"/>
        <v>8746.84</v>
      </c>
      <c r="P1070" s="6">
        <f t="shared" si="82"/>
        <v>5.6410117504417707</v>
      </c>
      <c r="Q1070" s="3">
        <v>6.64</v>
      </c>
      <c r="R1070" t="str">
        <f t="shared" si="83"/>
        <v>High</v>
      </c>
      <c r="S1070" t="str">
        <f t="shared" si="84"/>
        <v>Valid</v>
      </c>
    </row>
    <row r="1071" spans="1:19" x14ac:dyDescent="0.25">
      <c r="A1071" s="1">
        <v>45573</v>
      </c>
      <c r="B1071" s="1" t="str">
        <f t="shared" si="80"/>
        <v>2024-10</v>
      </c>
      <c r="C1071" t="s">
        <v>14</v>
      </c>
      <c r="D1071" t="s">
        <v>21</v>
      </c>
      <c r="E1071" t="s">
        <v>19</v>
      </c>
      <c r="F1071" t="s">
        <v>20</v>
      </c>
      <c r="G1071" s="4">
        <v>120475</v>
      </c>
      <c r="H1071" s="4">
        <v>7794</v>
      </c>
      <c r="I1071" s="5">
        <v>6.4699999999999994E-2</v>
      </c>
      <c r="J1071" s="2">
        <v>0.78</v>
      </c>
      <c r="K1071" s="6">
        <v>6079.32</v>
      </c>
      <c r="L1071" s="4">
        <v>530</v>
      </c>
      <c r="M1071" s="2">
        <v>11.47</v>
      </c>
      <c r="N1071" s="6">
        <v>143639.1</v>
      </c>
      <c r="O1071" s="6">
        <f t="shared" si="81"/>
        <v>137559.78</v>
      </c>
      <c r="P1071" s="6">
        <f t="shared" si="82"/>
        <v>22.627494522413691</v>
      </c>
      <c r="Q1071" s="3">
        <v>23.63</v>
      </c>
      <c r="R1071" t="str">
        <f t="shared" si="83"/>
        <v>High</v>
      </c>
      <c r="S1071" t="str">
        <f t="shared" si="84"/>
        <v>Valid</v>
      </c>
    </row>
    <row r="1072" spans="1:19" x14ac:dyDescent="0.25">
      <c r="A1072" s="1">
        <v>45523</v>
      </c>
      <c r="B1072" s="1" t="str">
        <f t="shared" si="80"/>
        <v>2024-08</v>
      </c>
      <c r="C1072" t="s">
        <v>14</v>
      </c>
      <c r="D1072" t="s">
        <v>24</v>
      </c>
      <c r="E1072" t="s">
        <v>22</v>
      </c>
      <c r="F1072" t="s">
        <v>26</v>
      </c>
      <c r="G1072" s="4">
        <v>125019</v>
      </c>
      <c r="H1072" s="4">
        <v>8251</v>
      </c>
      <c r="I1072" s="5">
        <v>6.6000000000000003E-2</v>
      </c>
      <c r="J1072" s="2">
        <v>3.77</v>
      </c>
      <c r="K1072" s="6">
        <v>31106.27</v>
      </c>
      <c r="L1072" s="4">
        <v>609</v>
      </c>
      <c r="M1072" s="2">
        <v>51.08</v>
      </c>
      <c r="N1072" s="6">
        <v>135443.82</v>
      </c>
      <c r="O1072" s="6">
        <f t="shared" si="81"/>
        <v>104337.55</v>
      </c>
      <c r="P1072" s="6">
        <f t="shared" si="82"/>
        <v>3.3542289062623065</v>
      </c>
      <c r="Q1072" s="3">
        <v>4.3499999999999996</v>
      </c>
      <c r="R1072" t="str">
        <f t="shared" si="83"/>
        <v>High</v>
      </c>
      <c r="S1072" t="str">
        <f t="shared" si="84"/>
        <v>Valid</v>
      </c>
    </row>
    <row r="1073" spans="1:19" x14ac:dyDescent="0.25">
      <c r="A1073" s="1">
        <v>45637</v>
      </c>
      <c r="B1073" s="1" t="str">
        <f t="shared" si="80"/>
        <v>2024-12</v>
      </c>
      <c r="C1073" t="s">
        <v>28</v>
      </c>
      <c r="D1073" t="s">
        <v>15</v>
      </c>
      <c r="E1073" t="s">
        <v>19</v>
      </c>
      <c r="F1073" t="s">
        <v>23</v>
      </c>
      <c r="G1073" s="4">
        <v>198775</v>
      </c>
      <c r="H1073" s="4">
        <v>3637</v>
      </c>
      <c r="I1073" s="5">
        <v>1.83E-2</v>
      </c>
      <c r="J1073" s="2">
        <v>1.99</v>
      </c>
      <c r="K1073" s="6">
        <v>7237.63</v>
      </c>
      <c r="L1073" s="4">
        <v>235</v>
      </c>
      <c r="M1073" s="2">
        <v>30.8</v>
      </c>
      <c r="N1073" s="6">
        <v>18520.23</v>
      </c>
      <c r="O1073" s="6">
        <f t="shared" si="81"/>
        <v>11282.599999999999</v>
      </c>
      <c r="P1073" s="6">
        <f t="shared" si="82"/>
        <v>1.5588804622507642</v>
      </c>
      <c r="Q1073" s="3">
        <v>2.56</v>
      </c>
      <c r="R1073" t="str">
        <f t="shared" si="83"/>
        <v>Medium</v>
      </c>
      <c r="S1073" t="str">
        <f t="shared" si="84"/>
        <v>Valid</v>
      </c>
    </row>
    <row r="1074" spans="1:19" x14ac:dyDescent="0.25">
      <c r="A1074" s="1">
        <v>45296</v>
      </c>
      <c r="B1074" s="1" t="str">
        <f t="shared" si="80"/>
        <v>2024-01</v>
      </c>
      <c r="C1074" t="s">
        <v>18</v>
      </c>
      <c r="D1074" t="s">
        <v>21</v>
      </c>
      <c r="E1074" t="s">
        <v>19</v>
      </c>
      <c r="F1074" t="s">
        <v>32</v>
      </c>
      <c r="G1074" s="4">
        <v>52059</v>
      </c>
      <c r="H1074" s="4">
        <v>2956</v>
      </c>
      <c r="I1074" s="5">
        <v>5.6800000000000003E-2</v>
      </c>
      <c r="J1074" s="2">
        <v>0.56999999999999995</v>
      </c>
      <c r="K1074" s="6">
        <v>1684.92</v>
      </c>
      <c r="L1074" s="4">
        <v>29</v>
      </c>
      <c r="M1074" s="2">
        <v>58.1</v>
      </c>
      <c r="N1074" s="6">
        <v>5633.14</v>
      </c>
      <c r="O1074" s="6">
        <f t="shared" si="81"/>
        <v>3948.2200000000003</v>
      </c>
      <c r="P1074" s="6">
        <f t="shared" si="82"/>
        <v>2.3432685231346295</v>
      </c>
      <c r="Q1074" s="3">
        <v>3.34</v>
      </c>
      <c r="R1074" t="str">
        <f t="shared" si="83"/>
        <v>High</v>
      </c>
      <c r="S1074" t="str">
        <f t="shared" si="84"/>
        <v>Valid</v>
      </c>
    </row>
    <row r="1075" spans="1:19" x14ac:dyDescent="0.25">
      <c r="A1075" s="1">
        <v>45443</v>
      </c>
      <c r="B1075" s="1" t="str">
        <f t="shared" si="80"/>
        <v>2024-05</v>
      </c>
      <c r="C1075" t="s">
        <v>14</v>
      </c>
      <c r="D1075" t="s">
        <v>29</v>
      </c>
      <c r="E1075" t="s">
        <v>25</v>
      </c>
      <c r="F1075" t="s">
        <v>23</v>
      </c>
      <c r="G1075" s="4">
        <v>183373</v>
      </c>
      <c r="H1075" s="4">
        <v>7169</v>
      </c>
      <c r="I1075" s="5">
        <v>3.9100000000000003E-2</v>
      </c>
      <c r="J1075" s="2">
        <v>1.55</v>
      </c>
      <c r="K1075" s="6">
        <v>11111.95</v>
      </c>
      <c r="L1075" s="4">
        <v>342</v>
      </c>
      <c r="M1075" s="2">
        <v>32.49</v>
      </c>
      <c r="N1075" s="6">
        <v>18314.28</v>
      </c>
      <c r="O1075" s="6">
        <f t="shared" si="81"/>
        <v>7202.3299999999981</v>
      </c>
      <c r="P1075" s="6">
        <f t="shared" si="82"/>
        <v>0.64816076386232813</v>
      </c>
      <c r="Q1075" s="3">
        <v>1.65</v>
      </c>
      <c r="R1075" t="str">
        <f t="shared" si="83"/>
        <v>Medium</v>
      </c>
      <c r="S1075" t="str">
        <f t="shared" si="84"/>
        <v>Valid</v>
      </c>
    </row>
    <row r="1076" spans="1:19" x14ac:dyDescent="0.25">
      <c r="A1076" s="1">
        <v>45548</v>
      </c>
      <c r="B1076" s="1" t="str">
        <f t="shared" si="80"/>
        <v>2024-09</v>
      </c>
      <c r="C1076" t="s">
        <v>28</v>
      </c>
      <c r="D1076" t="s">
        <v>15</v>
      </c>
      <c r="E1076" t="s">
        <v>30</v>
      </c>
      <c r="F1076" t="s">
        <v>23</v>
      </c>
      <c r="G1076" s="4">
        <v>114844</v>
      </c>
      <c r="H1076" s="4">
        <v>3307</v>
      </c>
      <c r="I1076" s="5">
        <v>2.8799999999999999E-2</v>
      </c>
      <c r="J1076" s="2">
        <v>2.1</v>
      </c>
      <c r="K1076" s="6">
        <v>6944.7</v>
      </c>
      <c r="L1076" s="4">
        <v>123</v>
      </c>
      <c r="M1076" s="2">
        <v>56.46</v>
      </c>
      <c r="N1076" s="6">
        <v>36552.89</v>
      </c>
      <c r="O1076" s="6">
        <f t="shared" si="81"/>
        <v>29608.19</v>
      </c>
      <c r="P1076" s="6">
        <f t="shared" si="82"/>
        <v>4.2634224660532496</v>
      </c>
      <c r="Q1076" s="3">
        <v>5.26</v>
      </c>
      <c r="R1076" t="str">
        <f t="shared" si="83"/>
        <v>High</v>
      </c>
      <c r="S1076" t="str">
        <f t="shared" si="84"/>
        <v>Valid</v>
      </c>
    </row>
    <row r="1077" spans="1:19" x14ac:dyDescent="0.25">
      <c r="A1077" s="1">
        <v>45531</v>
      </c>
      <c r="B1077" s="1" t="str">
        <f t="shared" si="80"/>
        <v>2024-08</v>
      </c>
      <c r="C1077" t="s">
        <v>28</v>
      </c>
      <c r="D1077" t="s">
        <v>15</v>
      </c>
      <c r="E1077" t="s">
        <v>30</v>
      </c>
      <c r="F1077" t="s">
        <v>23</v>
      </c>
      <c r="G1077" s="4">
        <v>53865</v>
      </c>
      <c r="H1077" s="4">
        <v>1098</v>
      </c>
      <c r="I1077" s="5">
        <v>2.0400000000000001E-2</v>
      </c>
      <c r="J1077" s="2">
        <v>1.28</v>
      </c>
      <c r="K1077" s="6">
        <v>1405.44</v>
      </c>
      <c r="L1077" s="4">
        <v>67</v>
      </c>
      <c r="M1077" s="2">
        <v>20.98</v>
      </c>
      <c r="N1077" s="6">
        <v>2545.35</v>
      </c>
      <c r="O1077" s="6">
        <f t="shared" si="81"/>
        <v>1139.9099999999999</v>
      </c>
      <c r="P1077" s="6">
        <f t="shared" si="82"/>
        <v>0.81106984289617468</v>
      </c>
      <c r="Q1077" s="3">
        <v>1.81</v>
      </c>
      <c r="R1077" t="str">
        <f t="shared" si="83"/>
        <v>Medium</v>
      </c>
      <c r="S1077" t="str">
        <f t="shared" si="84"/>
        <v>Valid</v>
      </c>
    </row>
    <row r="1078" spans="1:19" x14ac:dyDescent="0.25">
      <c r="A1078" s="1">
        <v>45298</v>
      </c>
      <c r="B1078" s="1" t="str">
        <f t="shared" si="80"/>
        <v>2024-01</v>
      </c>
      <c r="C1078" t="s">
        <v>14</v>
      </c>
      <c r="D1078" t="s">
        <v>21</v>
      </c>
      <c r="E1078" t="s">
        <v>30</v>
      </c>
      <c r="F1078" t="s">
        <v>26</v>
      </c>
      <c r="G1078" s="4">
        <v>25080</v>
      </c>
      <c r="H1078" s="4">
        <v>1113</v>
      </c>
      <c r="I1078" s="5">
        <v>4.4400000000000002E-2</v>
      </c>
      <c r="J1078" s="2">
        <v>2.62</v>
      </c>
      <c r="K1078" s="6">
        <v>2916.06</v>
      </c>
      <c r="L1078" s="4">
        <v>49</v>
      </c>
      <c r="M1078" s="2">
        <v>59.51</v>
      </c>
      <c r="N1078" s="6">
        <v>2232.61</v>
      </c>
      <c r="O1078" s="6">
        <f t="shared" si="81"/>
        <v>-683.44999999999982</v>
      </c>
      <c r="P1078" s="6">
        <f t="shared" si="82"/>
        <v>-0.23437446417426247</v>
      </c>
      <c r="Q1078" s="3">
        <v>0.77</v>
      </c>
      <c r="R1078" t="str">
        <f t="shared" si="83"/>
        <v>Low</v>
      </c>
      <c r="S1078" t="str">
        <f t="shared" si="84"/>
        <v>Valid</v>
      </c>
    </row>
    <row r="1079" spans="1:19" x14ac:dyDescent="0.25">
      <c r="A1079" s="1">
        <v>45485</v>
      </c>
      <c r="B1079" s="1" t="str">
        <f t="shared" si="80"/>
        <v>2024-07</v>
      </c>
      <c r="C1079" t="s">
        <v>18</v>
      </c>
      <c r="D1079" t="s">
        <v>15</v>
      </c>
      <c r="E1079" t="s">
        <v>30</v>
      </c>
      <c r="F1079" t="s">
        <v>31</v>
      </c>
      <c r="G1079" s="4">
        <v>95853</v>
      </c>
      <c r="H1079" s="4">
        <v>4658</v>
      </c>
      <c r="I1079" s="5">
        <v>4.8599999999999997E-2</v>
      </c>
      <c r="J1079" s="2">
        <v>0.31</v>
      </c>
      <c r="K1079" s="6">
        <v>1443.98</v>
      </c>
      <c r="L1079" s="4">
        <v>92</v>
      </c>
      <c r="M1079" s="2">
        <v>15.7</v>
      </c>
      <c r="N1079" s="6">
        <v>27317.08</v>
      </c>
      <c r="O1079" s="6">
        <f t="shared" si="81"/>
        <v>25873.100000000002</v>
      </c>
      <c r="P1079" s="6">
        <f t="shared" si="82"/>
        <v>17.917907450241696</v>
      </c>
      <c r="Q1079" s="3">
        <v>18.920000000000002</v>
      </c>
      <c r="R1079" t="str">
        <f t="shared" si="83"/>
        <v>High</v>
      </c>
      <c r="S1079" t="str">
        <f t="shared" si="84"/>
        <v>Valid</v>
      </c>
    </row>
    <row r="1080" spans="1:19" x14ac:dyDescent="0.25">
      <c r="A1080" s="1">
        <v>45438</v>
      </c>
      <c r="B1080" s="1" t="str">
        <f t="shared" si="80"/>
        <v>2024-05</v>
      </c>
      <c r="C1080" t="s">
        <v>14</v>
      </c>
      <c r="D1080" t="s">
        <v>21</v>
      </c>
      <c r="E1080" t="s">
        <v>25</v>
      </c>
      <c r="F1080" t="s">
        <v>27</v>
      </c>
      <c r="G1080" s="4">
        <v>27593</v>
      </c>
      <c r="H1080" s="4">
        <v>896</v>
      </c>
      <c r="I1080" s="5">
        <v>3.2500000000000001E-2</v>
      </c>
      <c r="J1080" s="2">
        <v>2.39</v>
      </c>
      <c r="K1080" s="6">
        <v>2141.44</v>
      </c>
      <c r="L1080" s="4">
        <v>48</v>
      </c>
      <c r="M1080" s="2">
        <v>44.61</v>
      </c>
      <c r="N1080" s="6">
        <v>8087.57</v>
      </c>
      <c r="O1080" s="6">
        <f t="shared" si="81"/>
        <v>5946.1299999999992</v>
      </c>
      <c r="P1080" s="6">
        <f t="shared" si="82"/>
        <v>2.7766969889420197</v>
      </c>
      <c r="Q1080" s="3">
        <v>3.78</v>
      </c>
      <c r="R1080" t="str">
        <f t="shared" si="83"/>
        <v>High</v>
      </c>
      <c r="S1080" t="str">
        <f t="shared" si="84"/>
        <v>Valid</v>
      </c>
    </row>
    <row r="1081" spans="1:19" x14ac:dyDescent="0.25">
      <c r="A1081" s="1">
        <v>45546</v>
      </c>
      <c r="B1081" s="1" t="str">
        <f t="shared" si="80"/>
        <v>2024-09</v>
      </c>
      <c r="C1081" t="s">
        <v>28</v>
      </c>
      <c r="D1081" t="s">
        <v>21</v>
      </c>
      <c r="E1081" t="s">
        <v>19</v>
      </c>
      <c r="F1081" t="s">
        <v>23</v>
      </c>
      <c r="G1081" s="4">
        <v>34949</v>
      </c>
      <c r="H1081" s="4">
        <v>1324</v>
      </c>
      <c r="I1081" s="5">
        <v>3.7900000000000003E-2</v>
      </c>
      <c r="J1081" s="2">
        <v>1.79</v>
      </c>
      <c r="K1081" s="6">
        <v>2369.96</v>
      </c>
      <c r="L1081" s="4">
        <v>86</v>
      </c>
      <c r="M1081" s="2">
        <v>27.56</v>
      </c>
      <c r="N1081" s="6">
        <v>9084.2199999999993</v>
      </c>
      <c r="O1081" s="6">
        <f t="shared" si="81"/>
        <v>6714.2599999999993</v>
      </c>
      <c r="P1081" s="6">
        <f t="shared" si="82"/>
        <v>2.8330689125554858</v>
      </c>
      <c r="Q1081" s="3">
        <v>3.83</v>
      </c>
      <c r="R1081" t="str">
        <f t="shared" si="83"/>
        <v>High</v>
      </c>
      <c r="S1081" t="str">
        <f t="shared" si="84"/>
        <v>Valid</v>
      </c>
    </row>
    <row r="1082" spans="1:19" x14ac:dyDescent="0.25">
      <c r="A1082" s="1">
        <v>45429</v>
      </c>
      <c r="B1082" s="1" t="str">
        <f t="shared" si="80"/>
        <v>2024-05</v>
      </c>
      <c r="C1082" t="s">
        <v>18</v>
      </c>
      <c r="D1082" t="s">
        <v>24</v>
      </c>
      <c r="E1082" t="s">
        <v>30</v>
      </c>
      <c r="F1082" t="s">
        <v>23</v>
      </c>
      <c r="G1082" s="4">
        <v>72986</v>
      </c>
      <c r="H1082" s="4">
        <v>3379</v>
      </c>
      <c r="I1082" s="5">
        <v>4.6300000000000001E-2</v>
      </c>
      <c r="J1082" s="2">
        <v>1.77</v>
      </c>
      <c r="K1082" s="6">
        <v>5980.83</v>
      </c>
      <c r="L1082" s="4">
        <v>188</v>
      </c>
      <c r="M1082" s="2">
        <v>31.81</v>
      </c>
      <c r="N1082" s="6">
        <v>17387.72</v>
      </c>
      <c r="O1082" s="6">
        <f t="shared" si="81"/>
        <v>11406.890000000001</v>
      </c>
      <c r="P1082" s="6">
        <f t="shared" si="82"/>
        <v>1.907241971432059</v>
      </c>
      <c r="Q1082" s="3">
        <v>2.91</v>
      </c>
      <c r="R1082" t="str">
        <f t="shared" si="83"/>
        <v>Medium</v>
      </c>
      <c r="S1082" t="str">
        <f t="shared" si="84"/>
        <v>Valid</v>
      </c>
    </row>
    <row r="1083" spans="1:19" x14ac:dyDescent="0.25">
      <c r="A1083" s="1">
        <v>45324</v>
      </c>
      <c r="B1083" s="1" t="str">
        <f t="shared" si="80"/>
        <v>2024-02</v>
      </c>
      <c r="C1083" t="s">
        <v>14</v>
      </c>
      <c r="D1083" t="s">
        <v>24</v>
      </c>
      <c r="E1083" t="s">
        <v>22</v>
      </c>
      <c r="F1083" t="s">
        <v>17</v>
      </c>
      <c r="G1083" s="4">
        <v>149848</v>
      </c>
      <c r="H1083" s="4">
        <v>9290</v>
      </c>
      <c r="I1083" s="5">
        <v>6.2E-2</v>
      </c>
      <c r="J1083" s="2">
        <v>1.97</v>
      </c>
      <c r="K1083" s="6">
        <v>18301.3</v>
      </c>
      <c r="L1083" s="4">
        <v>537</v>
      </c>
      <c r="M1083" s="2">
        <v>34.08</v>
      </c>
      <c r="N1083" s="6">
        <v>106414.01</v>
      </c>
      <c r="O1083" s="6">
        <f t="shared" si="81"/>
        <v>88112.709999999992</v>
      </c>
      <c r="P1083" s="6">
        <f t="shared" si="82"/>
        <v>4.8145601678569276</v>
      </c>
      <c r="Q1083" s="3">
        <v>5.81</v>
      </c>
      <c r="R1083" t="str">
        <f t="shared" si="83"/>
        <v>High</v>
      </c>
      <c r="S1083" t="str">
        <f t="shared" si="84"/>
        <v>Valid</v>
      </c>
    </row>
    <row r="1084" spans="1:19" x14ac:dyDescent="0.25">
      <c r="A1084" s="1">
        <v>45538</v>
      </c>
      <c r="B1084" s="1" t="str">
        <f t="shared" si="80"/>
        <v>2024-09</v>
      </c>
      <c r="C1084" t="s">
        <v>14</v>
      </c>
      <c r="D1084" t="s">
        <v>21</v>
      </c>
      <c r="E1084" t="s">
        <v>25</v>
      </c>
      <c r="F1084" t="s">
        <v>32</v>
      </c>
      <c r="G1084" s="4">
        <v>143235</v>
      </c>
      <c r="H1084" s="4">
        <v>3981</v>
      </c>
      <c r="I1084" s="5">
        <v>2.7799999999999998E-2</v>
      </c>
      <c r="J1084" s="2">
        <v>1.83</v>
      </c>
      <c r="K1084" s="6">
        <v>7285.23</v>
      </c>
      <c r="L1084" s="4">
        <v>125</v>
      </c>
      <c r="M1084" s="2">
        <v>58.28</v>
      </c>
      <c r="N1084" s="6">
        <v>27104.75</v>
      </c>
      <c r="O1084" s="6">
        <f t="shared" si="81"/>
        <v>19819.52</v>
      </c>
      <c r="P1084" s="6">
        <f t="shared" si="82"/>
        <v>2.7205071082175856</v>
      </c>
      <c r="Q1084" s="3">
        <v>3.72</v>
      </c>
      <c r="R1084" t="str">
        <f t="shared" si="83"/>
        <v>High</v>
      </c>
      <c r="S1084" t="str">
        <f t="shared" si="84"/>
        <v>Valid</v>
      </c>
    </row>
    <row r="1085" spans="1:19" x14ac:dyDescent="0.25">
      <c r="A1085" s="1">
        <v>45333</v>
      </c>
      <c r="B1085" s="1" t="str">
        <f t="shared" si="80"/>
        <v>2024-02</v>
      </c>
      <c r="C1085" t="s">
        <v>18</v>
      </c>
      <c r="D1085" t="s">
        <v>21</v>
      </c>
      <c r="E1085" t="s">
        <v>19</v>
      </c>
      <c r="F1085" t="s">
        <v>31</v>
      </c>
      <c r="G1085" s="4">
        <v>157625</v>
      </c>
      <c r="H1085" s="4">
        <v>9457</v>
      </c>
      <c r="I1085" s="5">
        <v>0.06</v>
      </c>
      <c r="J1085" s="2">
        <v>0.48</v>
      </c>
      <c r="K1085" s="6">
        <v>4539.3599999999997</v>
      </c>
      <c r="L1085" s="4">
        <v>534</v>
      </c>
      <c r="M1085" s="2">
        <v>8.5</v>
      </c>
      <c r="N1085" s="6">
        <v>147520.79999999999</v>
      </c>
      <c r="O1085" s="6">
        <f t="shared" si="81"/>
        <v>142981.44</v>
      </c>
      <c r="P1085" s="6">
        <f t="shared" si="82"/>
        <v>31.498149518874911</v>
      </c>
      <c r="Q1085" s="3">
        <v>32.5</v>
      </c>
      <c r="R1085" t="str">
        <f t="shared" si="83"/>
        <v>High</v>
      </c>
      <c r="S1085" t="str">
        <f t="shared" si="84"/>
        <v>Valid</v>
      </c>
    </row>
    <row r="1086" spans="1:19" x14ac:dyDescent="0.25">
      <c r="A1086" s="1">
        <v>45624</v>
      </c>
      <c r="B1086" s="1" t="str">
        <f t="shared" si="80"/>
        <v>2024-11</v>
      </c>
      <c r="C1086" t="s">
        <v>28</v>
      </c>
      <c r="D1086" t="s">
        <v>15</v>
      </c>
      <c r="E1086" t="s">
        <v>16</v>
      </c>
      <c r="F1086" t="s">
        <v>31</v>
      </c>
      <c r="G1086" s="4">
        <v>172816</v>
      </c>
      <c r="H1086" s="4">
        <v>3819</v>
      </c>
      <c r="I1086" s="5">
        <v>2.2100000000000002E-2</v>
      </c>
      <c r="J1086" s="2">
        <v>2.14</v>
      </c>
      <c r="K1086" s="6">
        <v>8172.66</v>
      </c>
      <c r="L1086" s="4">
        <v>193</v>
      </c>
      <c r="M1086" s="2">
        <v>42.35</v>
      </c>
      <c r="N1086" s="6">
        <v>41926.28</v>
      </c>
      <c r="O1086" s="6">
        <f t="shared" si="81"/>
        <v>33753.619999999995</v>
      </c>
      <c r="P1086" s="6">
        <f t="shared" si="82"/>
        <v>4.1300653642755227</v>
      </c>
      <c r="Q1086" s="3">
        <v>5.13</v>
      </c>
      <c r="R1086" t="str">
        <f t="shared" si="83"/>
        <v>High</v>
      </c>
      <c r="S1086" t="str">
        <f t="shared" si="84"/>
        <v>Valid</v>
      </c>
    </row>
    <row r="1087" spans="1:19" x14ac:dyDescent="0.25">
      <c r="A1087" s="1">
        <v>45640</v>
      </c>
      <c r="B1087" s="1" t="str">
        <f t="shared" si="80"/>
        <v>2024-12</v>
      </c>
      <c r="C1087" t="s">
        <v>18</v>
      </c>
      <c r="D1087" t="s">
        <v>21</v>
      </c>
      <c r="E1087" t="s">
        <v>30</v>
      </c>
      <c r="F1087" t="s">
        <v>20</v>
      </c>
      <c r="G1087" s="4">
        <v>56529</v>
      </c>
      <c r="H1087" s="4">
        <v>4494</v>
      </c>
      <c r="I1087" s="5">
        <v>7.9500000000000001E-2</v>
      </c>
      <c r="J1087" s="2">
        <v>1.51</v>
      </c>
      <c r="K1087" s="6">
        <v>6785.94</v>
      </c>
      <c r="L1087" s="4">
        <v>104</v>
      </c>
      <c r="M1087" s="2">
        <v>65.25</v>
      </c>
      <c r="N1087" s="6">
        <v>9525.68</v>
      </c>
      <c r="O1087" s="6">
        <f t="shared" si="81"/>
        <v>2739.7400000000007</v>
      </c>
      <c r="P1087" s="6">
        <f t="shared" si="82"/>
        <v>0.40373772830293236</v>
      </c>
      <c r="Q1087" s="3">
        <v>1.4</v>
      </c>
      <c r="R1087" t="str">
        <f t="shared" si="83"/>
        <v>Medium</v>
      </c>
      <c r="S1087" t="str">
        <f t="shared" si="84"/>
        <v>Valid</v>
      </c>
    </row>
    <row r="1088" spans="1:19" x14ac:dyDescent="0.25">
      <c r="A1088" s="1">
        <v>45395</v>
      </c>
      <c r="B1088" s="1" t="str">
        <f t="shared" si="80"/>
        <v>2024-04</v>
      </c>
      <c r="C1088" t="s">
        <v>18</v>
      </c>
      <c r="D1088" t="s">
        <v>24</v>
      </c>
      <c r="E1088" t="s">
        <v>19</v>
      </c>
      <c r="F1088" t="s">
        <v>23</v>
      </c>
      <c r="G1088" s="4">
        <v>176030</v>
      </c>
      <c r="H1088" s="4">
        <v>13079</v>
      </c>
      <c r="I1088" s="5">
        <v>7.4300000000000005E-2</v>
      </c>
      <c r="J1088" s="2">
        <v>1.51</v>
      </c>
      <c r="K1088" s="6">
        <v>19749.29</v>
      </c>
      <c r="L1088" s="4">
        <v>200</v>
      </c>
      <c r="M1088" s="2">
        <v>98.75</v>
      </c>
      <c r="N1088" s="6">
        <v>41247.07</v>
      </c>
      <c r="O1088" s="6">
        <f t="shared" si="81"/>
        <v>21497.78</v>
      </c>
      <c r="P1088" s="6">
        <f t="shared" si="82"/>
        <v>1.0885343219933474</v>
      </c>
      <c r="Q1088" s="3">
        <v>2.09</v>
      </c>
      <c r="R1088" t="str">
        <f t="shared" si="83"/>
        <v>Medium</v>
      </c>
      <c r="S1088" t="str">
        <f t="shared" si="84"/>
        <v>Valid</v>
      </c>
    </row>
    <row r="1089" spans="1:19" x14ac:dyDescent="0.25">
      <c r="A1089" s="1">
        <v>45599</v>
      </c>
      <c r="B1089" s="1" t="str">
        <f t="shared" si="80"/>
        <v>2024-11</v>
      </c>
      <c r="C1089" t="s">
        <v>28</v>
      </c>
      <c r="D1089" t="s">
        <v>15</v>
      </c>
      <c r="E1089" t="s">
        <v>25</v>
      </c>
      <c r="F1089" t="s">
        <v>27</v>
      </c>
      <c r="G1089" s="4">
        <v>128355</v>
      </c>
      <c r="H1089" s="4">
        <v>1758</v>
      </c>
      <c r="I1089" s="5">
        <v>1.37E-2</v>
      </c>
      <c r="J1089" s="2">
        <v>1.86</v>
      </c>
      <c r="K1089" s="6">
        <v>3269.88</v>
      </c>
      <c r="L1089" s="4">
        <v>122</v>
      </c>
      <c r="M1089" s="2">
        <v>26.8</v>
      </c>
      <c r="N1089" s="6">
        <v>6205.33</v>
      </c>
      <c r="O1089" s="6">
        <f t="shared" si="81"/>
        <v>2935.45</v>
      </c>
      <c r="P1089" s="6">
        <f t="shared" si="82"/>
        <v>0.89772407550124156</v>
      </c>
      <c r="Q1089" s="3">
        <v>1.9</v>
      </c>
      <c r="R1089" t="str">
        <f t="shared" si="83"/>
        <v>Medium</v>
      </c>
      <c r="S1089" t="str">
        <f t="shared" si="84"/>
        <v>Valid</v>
      </c>
    </row>
    <row r="1090" spans="1:19" x14ac:dyDescent="0.25">
      <c r="A1090" s="1">
        <v>45560</v>
      </c>
      <c r="B1090" s="1" t="str">
        <f t="shared" si="80"/>
        <v>2024-09</v>
      </c>
      <c r="C1090" t="s">
        <v>14</v>
      </c>
      <c r="D1090" t="s">
        <v>21</v>
      </c>
      <c r="E1090" t="s">
        <v>16</v>
      </c>
      <c r="F1090" t="s">
        <v>23</v>
      </c>
      <c r="G1090" s="4">
        <v>14096</v>
      </c>
      <c r="H1090" s="4">
        <v>476</v>
      </c>
      <c r="I1090" s="5">
        <v>3.3799999999999997E-2</v>
      </c>
      <c r="J1090" s="2">
        <v>1.29</v>
      </c>
      <c r="K1090" s="6">
        <v>614.04</v>
      </c>
      <c r="L1090" s="4">
        <v>34</v>
      </c>
      <c r="M1090" s="2">
        <v>18.059999999999999</v>
      </c>
      <c r="N1090" s="6">
        <v>3175.83</v>
      </c>
      <c r="O1090" s="6">
        <f t="shared" si="81"/>
        <v>2561.79</v>
      </c>
      <c r="P1090" s="6">
        <f t="shared" si="82"/>
        <v>4.1720246238030096</v>
      </c>
      <c r="Q1090" s="3">
        <v>5.17</v>
      </c>
      <c r="R1090" t="str">
        <f t="shared" si="83"/>
        <v>High</v>
      </c>
      <c r="S1090" t="str">
        <f t="shared" si="84"/>
        <v>Valid</v>
      </c>
    </row>
    <row r="1091" spans="1:19" x14ac:dyDescent="0.25">
      <c r="A1091" s="1">
        <v>45384</v>
      </c>
      <c r="B1091" s="1" t="str">
        <f t="shared" ref="B1091:B1154" si="85">TEXT(A1091, "yyyy-mm")</f>
        <v>2024-04</v>
      </c>
      <c r="C1091" t="s">
        <v>14</v>
      </c>
      <c r="D1091" t="s">
        <v>21</v>
      </c>
      <c r="E1091" t="s">
        <v>25</v>
      </c>
      <c r="F1091" t="s">
        <v>23</v>
      </c>
      <c r="G1091" s="4">
        <v>31855</v>
      </c>
      <c r="H1091" s="4">
        <v>1411</v>
      </c>
      <c r="I1091" s="5">
        <v>4.4299999999999999E-2</v>
      </c>
      <c r="J1091" s="2">
        <v>1.7</v>
      </c>
      <c r="K1091" s="6">
        <v>2398.6999999999998</v>
      </c>
      <c r="L1091" s="4">
        <v>60</v>
      </c>
      <c r="M1091" s="2">
        <v>39.979999999999997</v>
      </c>
      <c r="N1091" s="6">
        <v>3201.45</v>
      </c>
      <c r="O1091" s="6">
        <f t="shared" ref="O1091:O1154" si="86">N1091-K1091</f>
        <v>802.75</v>
      </c>
      <c r="P1091" s="6">
        <f t="shared" ref="P1091:P1154" si="87">IFERROR(O1091/K1091, "")</f>
        <v>0.33466044107224752</v>
      </c>
      <c r="Q1091" s="3">
        <v>1.33</v>
      </c>
      <c r="R1091" t="str">
        <f t="shared" ref="R1091:R1154" si="88">IF(Q1091 &gt;= 3, "High", IF(Q1091&gt;=1, "Medium", "Low"))</f>
        <v>Medium</v>
      </c>
      <c r="S1091" t="str">
        <f t="shared" ref="S1091:S1154" si="89">IF(OR(G1091=0, H1091&gt;G1091, L1091&gt;H1091), "Invalid", "Valid")</f>
        <v>Valid</v>
      </c>
    </row>
    <row r="1092" spans="1:19" x14ac:dyDescent="0.25">
      <c r="A1092" s="1">
        <v>45341</v>
      </c>
      <c r="B1092" s="1" t="str">
        <f t="shared" si="85"/>
        <v>2024-02</v>
      </c>
      <c r="C1092" t="s">
        <v>14</v>
      </c>
      <c r="D1092" t="s">
        <v>15</v>
      </c>
      <c r="E1092" t="s">
        <v>19</v>
      </c>
      <c r="F1092" t="s">
        <v>17</v>
      </c>
      <c r="G1092" s="4">
        <v>95218</v>
      </c>
      <c r="H1092" s="4">
        <v>2199</v>
      </c>
      <c r="I1092" s="5">
        <v>2.3099999999999999E-2</v>
      </c>
      <c r="J1092" s="2">
        <v>2.39</v>
      </c>
      <c r="K1092" s="6">
        <v>5255.61</v>
      </c>
      <c r="L1092" s="4">
        <v>103</v>
      </c>
      <c r="M1092" s="2">
        <v>51.03</v>
      </c>
      <c r="N1092" s="6">
        <v>17399.72</v>
      </c>
      <c r="O1092" s="6">
        <f t="shared" si="86"/>
        <v>12144.11</v>
      </c>
      <c r="P1092" s="6">
        <f t="shared" si="87"/>
        <v>2.3106946672222639</v>
      </c>
      <c r="Q1092" s="3">
        <v>3.31</v>
      </c>
      <c r="R1092" t="str">
        <f t="shared" si="88"/>
        <v>High</v>
      </c>
      <c r="S1092" t="str">
        <f t="shared" si="89"/>
        <v>Valid</v>
      </c>
    </row>
    <row r="1093" spans="1:19" x14ac:dyDescent="0.25">
      <c r="A1093" s="1">
        <v>45328</v>
      </c>
      <c r="B1093" s="1" t="str">
        <f t="shared" si="85"/>
        <v>2024-02</v>
      </c>
      <c r="C1093" t="s">
        <v>14</v>
      </c>
      <c r="D1093" t="s">
        <v>24</v>
      </c>
      <c r="E1093" t="s">
        <v>30</v>
      </c>
      <c r="F1093" t="s">
        <v>26</v>
      </c>
      <c r="G1093" s="4">
        <v>102409</v>
      </c>
      <c r="H1093" s="4">
        <v>3389</v>
      </c>
      <c r="I1093" s="5">
        <v>3.3099999999999997E-2</v>
      </c>
      <c r="J1093" s="2">
        <v>3.58</v>
      </c>
      <c r="K1093" s="6">
        <v>12132.62</v>
      </c>
      <c r="L1093" s="4">
        <v>149</v>
      </c>
      <c r="M1093" s="2">
        <v>81.430000000000007</v>
      </c>
      <c r="N1093" s="6">
        <v>31253.87</v>
      </c>
      <c r="O1093" s="6">
        <f t="shared" si="86"/>
        <v>19121.25</v>
      </c>
      <c r="P1093" s="6">
        <f t="shared" si="87"/>
        <v>1.5760198539144883</v>
      </c>
      <c r="Q1093" s="3">
        <v>2.58</v>
      </c>
      <c r="R1093" t="str">
        <f t="shared" si="88"/>
        <v>Medium</v>
      </c>
      <c r="S1093" t="str">
        <f t="shared" si="89"/>
        <v>Valid</v>
      </c>
    </row>
    <row r="1094" spans="1:19" x14ac:dyDescent="0.25">
      <c r="A1094" s="1">
        <v>45547</v>
      </c>
      <c r="B1094" s="1" t="str">
        <f t="shared" si="85"/>
        <v>2024-09</v>
      </c>
      <c r="C1094" t="s">
        <v>14</v>
      </c>
      <c r="D1094" t="s">
        <v>15</v>
      </c>
      <c r="E1094" t="s">
        <v>30</v>
      </c>
      <c r="F1094" t="s">
        <v>31</v>
      </c>
      <c r="G1094" s="4">
        <v>31049</v>
      </c>
      <c r="H1094" s="4">
        <v>1021</v>
      </c>
      <c r="I1094" s="5">
        <v>3.2899999999999999E-2</v>
      </c>
      <c r="J1094" s="2">
        <v>3.31</v>
      </c>
      <c r="K1094" s="6">
        <v>3379.51</v>
      </c>
      <c r="L1094" s="4">
        <v>31</v>
      </c>
      <c r="M1094" s="2">
        <v>109.02</v>
      </c>
      <c r="N1094" s="6">
        <v>7117.65</v>
      </c>
      <c r="O1094" s="6">
        <f t="shared" si="86"/>
        <v>3738.1399999999994</v>
      </c>
      <c r="P1094" s="6">
        <f t="shared" si="87"/>
        <v>1.1061189344017326</v>
      </c>
      <c r="Q1094" s="3">
        <v>2.11</v>
      </c>
      <c r="R1094" t="str">
        <f t="shared" si="88"/>
        <v>Medium</v>
      </c>
      <c r="S1094" t="str">
        <f t="shared" si="89"/>
        <v>Valid</v>
      </c>
    </row>
    <row r="1095" spans="1:19" x14ac:dyDescent="0.25">
      <c r="A1095" s="1">
        <v>45554</v>
      </c>
      <c r="B1095" s="1" t="str">
        <f t="shared" si="85"/>
        <v>2024-09</v>
      </c>
      <c r="C1095" t="s">
        <v>18</v>
      </c>
      <c r="D1095" t="s">
        <v>15</v>
      </c>
      <c r="E1095" t="s">
        <v>22</v>
      </c>
      <c r="F1095" t="s">
        <v>26</v>
      </c>
      <c r="G1095" s="4">
        <v>129077</v>
      </c>
      <c r="H1095" s="4">
        <v>4065</v>
      </c>
      <c r="I1095" s="5">
        <v>3.15E-2</v>
      </c>
      <c r="J1095" s="2">
        <v>1.22</v>
      </c>
      <c r="K1095" s="6">
        <v>4959.3</v>
      </c>
      <c r="L1095" s="4">
        <v>295</v>
      </c>
      <c r="M1095" s="2">
        <v>16.809999999999999</v>
      </c>
      <c r="N1095" s="6">
        <v>44193.52</v>
      </c>
      <c r="O1095" s="6">
        <f t="shared" si="86"/>
        <v>39234.219999999994</v>
      </c>
      <c r="P1095" s="6">
        <f t="shared" si="87"/>
        <v>7.9112415058576797</v>
      </c>
      <c r="Q1095" s="3">
        <v>8.91</v>
      </c>
      <c r="R1095" t="str">
        <f t="shared" si="88"/>
        <v>High</v>
      </c>
      <c r="S1095" t="str">
        <f t="shared" si="89"/>
        <v>Valid</v>
      </c>
    </row>
    <row r="1096" spans="1:19" x14ac:dyDescent="0.25">
      <c r="A1096" s="1">
        <v>45555</v>
      </c>
      <c r="B1096" s="1" t="str">
        <f t="shared" si="85"/>
        <v>2024-09</v>
      </c>
      <c r="C1096" t="s">
        <v>28</v>
      </c>
      <c r="D1096" t="s">
        <v>24</v>
      </c>
      <c r="E1096" t="s">
        <v>30</v>
      </c>
      <c r="F1096" t="s">
        <v>26</v>
      </c>
      <c r="G1096" s="4">
        <v>166874</v>
      </c>
      <c r="H1096" s="4">
        <v>6641</v>
      </c>
      <c r="I1096" s="5">
        <v>3.9800000000000002E-2</v>
      </c>
      <c r="J1096" s="2">
        <v>0.68</v>
      </c>
      <c r="K1096" s="6">
        <v>4515.88</v>
      </c>
      <c r="L1096" s="4">
        <v>200</v>
      </c>
      <c r="M1096" s="2">
        <v>22.58</v>
      </c>
      <c r="N1096" s="6">
        <v>17225.95</v>
      </c>
      <c r="O1096" s="6">
        <f t="shared" si="86"/>
        <v>12710.07</v>
      </c>
      <c r="P1096" s="6">
        <f t="shared" si="87"/>
        <v>2.8145278439639672</v>
      </c>
      <c r="Q1096" s="3">
        <v>3.81</v>
      </c>
      <c r="R1096" t="str">
        <f t="shared" si="88"/>
        <v>High</v>
      </c>
      <c r="S1096" t="str">
        <f t="shared" si="89"/>
        <v>Valid</v>
      </c>
    </row>
    <row r="1097" spans="1:19" x14ac:dyDescent="0.25">
      <c r="A1097" s="1">
        <v>45335</v>
      </c>
      <c r="B1097" s="1" t="str">
        <f t="shared" si="85"/>
        <v>2024-02</v>
      </c>
      <c r="C1097" t="s">
        <v>14</v>
      </c>
      <c r="D1097" t="s">
        <v>15</v>
      </c>
      <c r="E1097" t="s">
        <v>25</v>
      </c>
      <c r="F1097" t="s">
        <v>32</v>
      </c>
      <c r="G1097" s="4">
        <v>153865</v>
      </c>
      <c r="H1097" s="4">
        <v>5785</v>
      </c>
      <c r="I1097" s="5">
        <v>3.7600000000000001E-2</v>
      </c>
      <c r="J1097" s="2">
        <v>1.7</v>
      </c>
      <c r="K1097" s="6">
        <v>9834.5</v>
      </c>
      <c r="L1097" s="4">
        <v>139</v>
      </c>
      <c r="M1097" s="2">
        <v>70.75</v>
      </c>
      <c r="N1097" s="6">
        <v>16979.34</v>
      </c>
      <c r="O1097" s="6">
        <f t="shared" si="86"/>
        <v>7144.84</v>
      </c>
      <c r="P1097" s="6">
        <f t="shared" si="87"/>
        <v>0.7265077024759774</v>
      </c>
      <c r="Q1097" s="3">
        <v>1.73</v>
      </c>
      <c r="R1097" t="str">
        <f t="shared" si="88"/>
        <v>Medium</v>
      </c>
      <c r="S1097" t="str">
        <f t="shared" si="89"/>
        <v>Valid</v>
      </c>
    </row>
    <row r="1098" spans="1:19" x14ac:dyDescent="0.25">
      <c r="A1098" s="1">
        <v>45603</v>
      </c>
      <c r="B1098" s="1" t="str">
        <f t="shared" si="85"/>
        <v>2024-11</v>
      </c>
      <c r="C1098" t="s">
        <v>18</v>
      </c>
      <c r="D1098" t="s">
        <v>29</v>
      </c>
      <c r="E1098" t="s">
        <v>22</v>
      </c>
      <c r="F1098" t="s">
        <v>20</v>
      </c>
      <c r="G1098" s="4">
        <v>187199</v>
      </c>
      <c r="H1098" s="4">
        <v>12036</v>
      </c>
      <c r="I1098" s="5">
        <v>6.4299999999999996E-2</v>
      </c>
      <c r="J1098" s="2">
        <v>1.33</v>
      </c>
      <c r="K1098" s="6">
        <v>16007.88</v>
      </c>
      <c r="L1098" s="4">
        <v>946</v>
      </c>
      <c r="M1098" s="2">
        <v>16.920000000000002</v>
      </c>
      <c r="N1098" s="6">
        <v>165825.37</v>
      </c>
      <c r="O1098" s="6">
        <f t="shared" si="86"/>
        <v>149817.49</v>
      </c>
      <c r="P1098" s="6">
        <f t="shared" si="87"/>
        <v>9.3589838254659572</v>
      </c>
      <c r="Q1098" s="3">
        <v>10.36</v>
      </c>
      <c r="R1098" t="str">
        <f t="shared" si="88"/>
        <v>High</v>
      </c>
      <c r="S1098" t="str">
        <f t="shared" si="89"/>
        <v>Valid</v>
      </c>
    </row>
    <row r="1099" spans="1:19" x14ac:dyDescent="0.25">
      <c r="A1099" s="1">
        <v>45470</v>
      </c>
      <c r="B1099" s="1" t="str">
        <f t="shared" si="85"/>
        <v>2024-06</v>
      </c>
      <c r="C1099" t="s">
        <v>28</v>
      </c>
      <c r="D1099" t="s">
        <v>21</v>
      </c>
      <c r="E1099" t="s">
        <v>25</v>
      </c>
      <c r="F1099" t="s">
        <v>20</v>
      </c>
      <c r="G1099" s="4">
        <v>117696</v>
      </c>
      <c r="H1099" s="4">
        <v>4531</v>
      </c>
      <c r="I1099" s="5">
        <v>3.85E-2</v>
      </c>
      <c r="J1099" s="2">
        <v>1.0900000000000001</v>
      </c>
      <c r="K1099" s="6">
        <v>4938.79</v>
      </c>
      <c r="L1099" s="4">
        <v>325</v>
      </c>
      <c r="M1099" s="2">
        <v>15.2</v>
      </c>
      <c r="N1099" s="6">
        <v>19270.73</v>
      </c>
      <c r="O1099" s="6">
        <f t="shared" si="86"/>
        <v>14331.939999999999</v>
      </c>
      <c r="P1099" s="6">
        <f t="shared" si="87"/>
        <v>2.901913221659556</v>
      </c>
      <c r="Q1099" s="3">
        <v>3.9</v>
      </c>
      <c r="R1099" t="str">
        <f t="shared" si="88"/>
        <v>High</v>
      </c>
      <c r="S1099" t="str">
        <f t="shared" si="89"/>
        <v>Valid</v>
      </c>
    </row>
    <row r="1100" spans="1:19" x14ac:dyDescent="0.25">
      <c r="A1100" s="1">
        <v>45584</v>
      </c>
      <c r="B1100" s="1" t="str">
        <f t="shared" si="85"/>
        <v>2024-10</v>
      </c>
      <c r="C1100" t="s">
        <v>28</v>
      </c>
      <c r="D1100" t="s">
        <v>15</v>
      </c>
      <c r="E1100" t="s">
        <v>22</v>
      </c>
      <c r="F1100" t="s">
        <v>27</v>
      </c>
      <c r="G1100" s="4">
        <v>147324</v>
      </c>
      <c r="H1100" s="4">
        <v>1325</v>
      </c>
      <c r="I1100" s="5">
        <v>8.9999999999999993E-3</v>
      </c>
      <c r="J1100" s="2">
        <v>1.72</v>
      </c>
      <c r="K1100" s="6">
        <v>2279</v>
      </c>
      <c r="L1100" s="4">
        <v>96</v>
      </c>
      <c r="M1100" s="2">
        <v>23.74</v>
      </c>
      <c r="N1100" s="6">
        <v>10356.84</v>
      </c>
      <c r="O1100" s="6">
        <f t="shared" si="86"/>
        <v>8077.84</v>
      </c>
      <c r="P1100" s="6">
        <f t="shared" si="87"/>
        <v>3.5444668714348397</v>
      </c>
      <c r="Q1100" s="3">
        <v>4.54</v>
      </c>
      <c r="R1100" t="str">
        <f t="shared" si="88"/>
        <v>High</v>
      </c>
      <c r="S1100" t="str">
        <f t="shared" si="89"/>
        <v>Valid</v>
      </c>
    </row>
    <row r="1101" spans="1:19" x14ac:dyDescent="0.25">
      <c r="A1101" s="1">
        <v>45508</v>
      </c>
      <c r="B1101" s="1" t="str">
        <f t="shared" si="85"/>
        <v>2024-08</v>
      </c>
      <c r="C1101" t="s">
        <v>14</v>
      </c>
      <c r="D1101" t="s">
        <v>21</v>
      </c>
      <c r="E1101" t="s">
        <v>16</v>
      </c>
      <c r="F1101" t="s">
        <v>32</v>
      </c>
      <c r="G1101" s="4">
        <v>39001</v>
      </c>
      <c r="H1101" s="4">
        <v>1450</v>
      </c>
      <c r="I1101" s="5">
        <v>3.7199999999999997E-2</v>
      </c>
      <c r="J1101" s="2">
        <v>2.62</v>
      </c>
      <c r="K1101" s="6">
        <v>3799</v>
      </c>
      <c r="L1101" s="4">
        <v>18</v>
      </c>
      <c r="M1101" s="2">
        <v>211.06</v>
      </c>
      <c r="N1101" s="6">
        <v>5256.07</v>
      </c>
      <c r="O1101" s="6">
        <f t="shared" si="86"/>
        <v>1457.0699999999997</v>
      </c>
      <c r="P1101" s="6">
        <f t="shared" si="87"/>
        <v>0.38354040536983408</v>
      </c>
      <c r="Q1101" s="3">
        <v>1.38</v>
      </c>
      <c r="R1101" t="str">
        <f t="shared" si="88"/>
        <v>Medium</v>
      </c>
      <c r="S1101" t="str">
        <f t="shared" si="89"/>
        <v>Valid</v>
      </c>
    </row>
    <row r="1102" spans="1:19" x14ac:dyDescent="0.25">
      <c r="A1102" s="1">
        <v>45294</v>
      </c>
      <c r="B1102" s="1" t="str">
        <f t="shared" si="85"/>
        <v>2024-01</v>
      </c>
      <c r="C1102" t="s">
        <v>18</v>
      </c>
      <c r="D1102" t="s">
        <v>15</v>
      </c>
      <c r="E1102" t="s">
        <v>22</v>
      </c>
      <c r="F1102" t="s">
        <v>23</v>
      </c>
      <c r="G1102" s="4">
        <v>69277</v>
      </c>
      <c r="H1102" s="4">
        <v>5057</v>
      </c>
      <c r="I1102" s="5">
        <v>7.2999999999999995E-2</v>
      </c>
      <c r="J1102" s="2">
        <v>1.06</v>
      </c>
      <c r="K1102" s="6">
        <v>5360.42</v>
      </c>
      <c r="L1102" s="4">
        <v>268</v>
      </c>
      <c r="M1102" s="2">
        <v>20</v>
      </c>
      <c r="N1102" s="6">
        <v>57608.77</v>
      </c>
      <c r="O1102" s="6">
        <f t="shared" si="86"/>
        <v>52248.35</v>
      </c>
      <c r="P1102" s="6">
        <f t="shared" si="87"/>
        <v>9.7470627301592039</v>
      </c>
      <c r="Q1102" s="3">
        <v>10.75</v>
      </c>
      <c r="R1102" t="str">
        <f t="shared" si="88"/>
        <v>High</v>
      </c>
      <c r="S1102" t="str">
        <f t="shared" si="89"/>
        <v>Valid</v>
      </c>
    </row>
    <row r="1103" spans="1:19" x14ac:dyDescent="0.25">
      <c r="A1103" s="1">
        <v>45392</v>
      </c>
      <c r="B1103" s="1" t="str">
        <f t="shared" si="85"/>
        <v>2024-04</v>
      </c>
      <c r="C1103" t="s">
        <v>14</v>
      </c>
      <c r="D1103" t="s">
        <v>15</v>
      </c>
      <c r="E1103" t="s">
        <v>30</v>
      </c>
      <c r="F1103" t="s">
        <v>23</v>
      </c>
      <c r="G1103" s="4">
        <v>166687</v>
      </c>
      <c r="H1103" s="4">
        <v>11384</v>
      </c>
      <c r="I1103" s="5">
        <v>6.83E-2</v>
      </c>
      <c r="J1103" s="2">
        <v>0.73</v>
      </c>
      <c r="K1103" s="6">
        <v>8310.32</v>
      </c>
      <c r="L1103" s="4">
        <v>899</v>
      </c>
      <c r="M1103" s="2">
        <v>9.24</v>
      </c>
      <c r="N1103" s="6">
        <v>139644.20000000001</v>
      </c>
      <c r="O1103" s="6">
        <f t="shared" si="86"/>
        <v>131333.88</v>
      </c>
      <c r="P1103" s="6">
        <f t="shared" si="87"/>
        <v>15.803709123114395</v>
      </c>
      <c r="Q1103" s="3">
        <v>16.8</v>
      </c>
      <c r="R1103" t="str">
        <f t="shared" si="88"/>
        <v>High</v>
      </c>
      <c r="S1103" t="str">
        <f t="shared" si="89"/>
        <v>Valid</v>
      </c>
    </row>
    <row r="1104" spans="1:19" x14ac:dyDescent="0.25">
      <c r="A1104" s="1">
        <v>45628</v>
      </c>
      <c r="B1104" s="1" t="str">
        <f t="shared" si="85"/>
        <v>2024-12</v>
      </c>
      <c r="C1104" t="s">
        <v>28</v>
      </c>
      <c r="D1104" t="s">
        <v>21</v>
      </c>
      <c r="E1104" t="s">
        <v>30</v>
      </c>
      <c r="F1104" t="s">
        <v>27</v>
      </c>
      <c r="G1104" s="4">
        <v>173898</v>
      </c>
      <c r="H1104" s="4">
        <v>5321</v>
      </c>
      <c r="I1104" s="5">
        <v>3.0599999999999999E-2</v>
      </c>
      <c r="J1104" s="2">
        <v>0.53</v>
      </c>
      <c r="K1104" s="6">
        <v>2820.13</v>
      </c>
      <c r="L1104" s="4">
        <v>239</v>
      </c>
      <c r="M1104" s="2">
        <v>11.8</v>
      </c>
      <c r="N1104" s="6">
        <v>52181.09</v>
      </c>
      <c r="O1104" s="6">
        <f t="shared" si="86"/>
        <v>49360.959999999999</v>
      </c>
      <c r="P1104" s="6">
        <f t="shared" si="87"/>
        <v>17.503079645264577</v>
      </c>
      <c r="Q1104" s="3">
        <v>18.5</v>
      </c>
      <c r="R1104" t="str">
        <f t="shared" si="88"/>
        <v>High</v>
      </c>
      <c r="S1104" t="str">
        <f t="shared" si="89"/>
        <v>Valid</v>
      </c>
    </row>
    <row r="1105" spans="1:19" x14ac:dyDescent="0.25">
      <c r="A1105" s="1">
        <v>45443</v>
      </c>
      <c r="B1105" s="1" t="str">
        <f t="shared" si="85"/>
        <v>2024-05</v>
      </c>
      <c r="C1105" t="s">
        <v>14</v>
      </c>
      <c r="D1105" t="s">
        <v>29</v>
      </c>
      <c r="E1105" t="s">
        <v>25</v>
      </c>
      <c r="F1105" t="s">
        <v>27</v>
      </c>
      <c r="G1105" s="4">
        <v>117000</v>
      </c>
      <c r="H1105" s="4">
        <v>7979</v>
      </c>
      <c r="I1105" s="5">
        <v>6.8199999999999997E-2</v>
      </c>
      <c r="J1105" s="2">
        <v>1.47</v>
      </c>
      <c r="K1105" s="6">
        <v>11729.13</v>
      </c>
      <c r="L1105" s="4">
        <v>366</v>
      </c>
      <c r="M1105" s="2">
        <v>32.049999999999997</v>
      </c>
      <c r="N1105" s="6">
        <v>14373.81</v>
      </c>
      <c r="O1105" s="6">
        <f t="shared" si="86"/>
        <v>2644.6800000000003</v>
      </c>
      <c r="P1105" s="6">
        <f t="shared" si="87"/>
        <v>0.22547963915482228</v>
      </c>
      <c r="Q1105" s="3">
        <v>1.23</v>
      </c>
      <c r="R1105" t="str">
        <f t="shared" si="88"/>
        <v>Medium</v>
      </c>
      <c r="S1105" t="str">
        <f t="shared" si="89"/>
        <v>Valid</v>
      </c>
    </row>
    <row r="1106" spans="1:19" x14ac:dyDescent="0.25">
      <c r="A1106" s="1">
        <v>45590</v>
      </c>
      <c r="B1106" s="1" t="str">
        <f t="shared" si="85"/>
        <v>2024-10</v>
      </c>
      <c r="C1106" t="s">
        <v>28</v>
      </c>
      <c r="D1106" t="s">
        <v>24</v>
      </c>
      <c r="E1106" t="s">
        <v>25</v>
      </c>
      <c r="F1106" t="s">
        <v>20</v>
      </c>
      <c r="G1106" s="4">
        <v>55697</v>
      </c>
      <c r="H1106" s="4">
        <v>957</v>
      </c>
      <c r="I1106" s="5">
        <v>1.72E-2</v>
      </c>
      <c r="J1106" s="2">
        <v>0.91</v>
      </c>
      <c r="K1106" s="6">
        <v>870.87</v>
      </c>
      <c r="L1106" s="4">
        <v>12</v>
      </c>
      <c r="M1106" s="2">
        <v>72.569999999999993</v>
      </c>
      <c r="N1106" s="6">
        <v>1673.31</v>
      </c>
      <c r="O1106" s="6">
        <f t="shared" si="86"/>
        <v>802.43999999999994</v>
      </c>
      <c r="P1106" s="6">
        <f t="shared" si="87"/>
        <v>0.92142340418202484</v>
      </c>
      <c r="Q1106" s="3">
        <v>1.92</v>
      </c>
      <c r="R1106" t="str">
        <f t="shared" si="88"/>
        <v>Medium</v>
      </c>
      <c r="S1106" t="str">
        <f t="shared" si="89"/>
        <v>Valid</v>
      </c>
    </row>
    <row r="1107" spans="1:19" x14ac:dyDescent="0.25">
      <c r="A1107" s="1">
        <v>45476</v>
      </c>
      <c r="B1107" s="1" t="str">
        <f t="shared" si="85"/>
        <v>2024-07</v>
      </c>
      <c r="C1107" t="s">
        <v>14</v>
      </c>
      <c r="D1107" t="s">
        <v>29</v>
      </c>
      <c r="E1107" t="s">
        <v>16</v>
      </c>
      <c r="F1107" t="s">
        <v>20</v>
      </c>
      <c r="G1107" s="4">
        <v>46585</v>
      </c>
      <c r="H1107" s="4">
        <v>1504</v>
      </c>
      <c r="I1107" s="5">
        <v>3.2300000000000002E-2</v>
      </c>
      <c r="J1107" s="2">
        <v>2.2000000000000002</v>
      </c>
      <c r="K1107" s="6">
        <v>3308.8</v>
      </c>
      <c r="L1107" s="4">
        <v>85</v>
      </c>
      <c r="M1107" s="2">
        <v>38.93</v>
      </c>
      <c r="N1107" s="6">
        <v>13372.82</v>
      </c>
      <c r="O1107" s="6">
        <f t="shared" si="86"/>
        <v>10064.02</v>
      </c>
      <c r="P1107" s="6">
        <f t="shared" si="87"/>
        <v>3.0415921179883947</v>
      </c>
      <c r="Q1107" s="3">
        <v>4.04</v>
      </c>
      <c r="R1107" t="str">
        <f t="shared" si="88"/>
        <v>High</v>
      </c>
      <c r="S1107" t="str">
        <f t="shared" si="89"/>
        <v>Valid</v>
      </c>
    </row>
    <row r="1108" spans="1:19" x14ac:dyDescent="0.25">
      <c r="A1108" s="1">
        <v>45518</v>
      </c>
      <c r="B1108" s="1" t="str">
        <f t="shared" si="85"/>
        <v>2024-08</v>
      </c>
      <c r="C1108" t="s">
        <v>18</v>
      </c>
      <c r="D1108" t="s">
        <v>15</v>
      </c>
      <c r="E1108" t="s">
        <v>30</v>
      </c>
      <c r="F1108" t="s">
        <v>26</v>
      </c>
      <c r="G1108" s="4">
        <v>97345</v>
      </c>
      <c r="H1108" s="4">
        <v>5178</v>
      </c>
      <c r="I1108" s="5">
        <v>5.3199999999999997E-2</v>
      </c>
      <c r="J1108" s="2">
        <v>0.61</v>
      </c>
      <c r="K1108" s="6">
        <v>3158.58</v>
      </c>
      <c r="L1108" s="4">
        <v>289</v>
      </c>
      <c r="M1108" s="2">
        <v>10.93</v>
      </c>
      <c r="N1108" s="6">
        <v>44113.49</v>
      </c>
      <c r="O1108" s="6">
        <f t="shared" si="86"/>
        <v>40954.909999999996</v>
      </c>
      <c r="P1108" s="6">
        <f t="shared" si="87"/>
        <v>12.966241159001829</v>
      </c>
      <c r="Q1108" s="3">
        <v>13.97</v>
      </c>
      <c r="R1108" t="str">
        <f t="shared" si="88"/>
        <v>High</v>
      </c>
      <c r="S1108" t="str">
        <f t="shared" si="89"/>
        <v>Valid</v>
      </c>
    </row>
    <row r="1109" spans="1:19" x14ac:dyDescent="0.25">
      <c r="A1109" s="1">
        <v>45461</v>
      </c>
      <c r="B1109" s="1" t="str">
        <f t="shared" si="85"/>
        <v>2024-06</v>
      </c>
      <c r="C1109" t="s">
        <v>18</v>
      </c>
      <c r="D1109" t="s">
        <v>21</v>
      </c>
      <c r="E1109" t="s">
        <v>30</v>
      </c>
      <c r="F1109" t="s">
        <v>31</v>
      </c>
      <c r="G1109" s="4">
        <v>143519</v>
      </c>
      <c r="H1109" s="4">
        <v>10519</v>
      </c>
      <c r="I1109" s="5">
        <v>7.3300000000000004E-2</v>
      </c>
      <c r="J1109" s="2">
        <v>0.86</v>
      </c>
      <c r="K1109" s="6">
        <v>9046.34</v>
      </c>
      <c r="L1109" s="4">
        <v>673</v>
      </c>
      <c r="M1109" s="2">
        <v>13.44</v>
      </c>
      <c r="N1109" s="6">
        <v>28878.71</v>
      </c>
      <c r="O1109" s="6">
        <f t="shared" si="86"/>
        <v>19832.37</v>
      </c>
      <c r="P1109" s="6">
        <f t="shared" si="87"/>
        <v>2.1923087126948575</v>
      </c>
      <c r="Q1109" s="3">
        <v>3.19</v>
      </c>
      <c r="R1109" t="str">
        <f t="shared" si="88"/>
        <v>High</v>
      </c>
      <c r="S1109" t="str">
        <f t="shared" si="89"/>
        <v>Valid</v>
      </c>
    </row>
    <row r="1110" spans="1:19" x14ac:dyDescent="0.25">
      <c r="A1110" s="1">
        <v>45413</v>
      </c>
      <c r="B1110" s="1" t="str">
        <f t="shared" si="85"/>
        <v>2024-05</v>
      </c>
      <c r="C1110" t="s">
        <v>28</v>
      </c>
      <c r="D1110" t="s">
        <v>29</v>
      </c>
      <c r="E1110" t="s">
        <v>30</v>
      </c>
      <c r="F1110" t="s">
        <v>27</v>
      </c>
      <c r="G1110" s="4">
        <v>68843</v>
      </c>
      <c r="H1110" s="4">
        <v>633</v>
      </c>
      <c r="I1110" s="5">
        <v>9.1999999999999998E-3</v>
      </c>
      <c r="J1110" s="2">
        <v>0.89</v>
      </c>
      <c r="K1110" s="6">
        <v>563.37</v>
      </c>
      <c r="L1110" s="4">
        <v>25</v>
      </c>
      <c r="M1110" s="2">
        <v>22.53</v>
      </c>
      <c r="N1110" s="6">
        <v>2441.19</v>
      </c>
      <c r="O1110" s="6">
        <f t="shared" si="86"/>
        <v>1877.8200000000002</v>
      </c>
      <c r="P1110" s="6">
        <f t="shared" si="87"/>
        <v>3.3331913307417862</v>
      </c>
      <c r="Q1110" s="3">
        <v>4.33</v>
      </c>
      <c r="R1110" t="str">
        <f t="shared" si="88"/>
        <v>High</v>
      </c>
      <c r="S1110" t="str">
        <f t="shared" si="89"/>
        <v>Valid</v>
      </c>
    </row>
    <row r="1111" spans="1:19" x14ac:dyDescent="0.25">
      <c r="A1111" s="1">
        <v>45378</v>
      </c>
      <c r="B1111" s="1" t="str">
        <f t="shared" si="85"/>
        <v>2024-03</v>
      </c>
      <c r="C1111" t="s">
        <v>14</v>
      </c>
      <c r="D1111" t="s">
        <v>29</v>
      </c>
      <c r="E1111" t="s">
        <v>16</v>
      </c>
      <c r="F1111" t="s">
        <v>23</v>
      </c>
      <c r="G1111" s="4">
        <v>129679</v>
      </c>
      <c r="H1111" s="4">
        <v>5848</v>
      </c>
      <c r="I1111" s="5">
        <v>4.5100000000000001E-2</v>
      </c>
      <c r="J1111" s="2">
        <v>1.48</v>
      </c>
      <c r="K1111" s="6">
        <v>8655.0400000000009</v>
      </c>
      <c r="L1111" s="4">
        <v>158</v>
      </c>
      <c r="M1111" s="2">
        <v>54.78</v>
      </c>
      <c r="N1111" s="6">
        <v>32419.87</v>
      </c>
      <c r="O1111" s="6">
        <f t="shared" si="86"/>
        <v>23764.829999999998</v>
      </c>
      <c r="P1111" s="6">
        <f t="shared" si="87"/>
        <v>2.7457793378193509</v>
      </c>
      <c r="Q1111" s="3">
        <v>3.75</v>
      </c>
      <c r="R1111" t="str">
        <f t="shared" si="88"/>
        <v>High</v>
      </c>
      <c r="S1111" t="str">
        <f t="shared" si="89"/>
        <v>Valid</v>
      </c>
    </row>
    <row r="1112" spans="1:19" x14ac:dyDescent="0.25">
      <c r="A1112" s="1">
        <v>45322</v>
      </c>
      <c r="B1112" s="1" t="str">
        <f t="shared" si="85"/>
        <v>2024-01</v>
      </c>
      <c r="C1112" t="s">
        <v>28</v>
      </c>
      <c r="D1112" t="s">
        <v>15</v>
      </c>
      <c r="E1112" t="s">
        <v>16</v>
      </c>
      <c r="F1112" t="s">
        <v>20</v>
      </c>
      <c r="G1112" s="4">
        <v>153157</v>
      </c>
      <c r="H1112" s="4">
        <v>5498</v>
      </c>
      <c r="I1112" s="5">
        <v>3.5900000000000001E-2</v>
      </c>
      <c r="J1112" s="2">
        <v>1.8</v>
      </c>
      <c r="K1112" s="6">
        <v>9896.4</v>
      </c>
      <c r="L1112" s="4">
        <v>401</v>
      </c>
      <c r="M1112" s="2">
        <v>24.68</v>
      </c>
      <c r="N1112" s="6">
        <v>90694.52</v>
      </c>
      <c r="O1112" s="6">
        <f t="shared" si="86"/>
        <v>80798.12000000001</v>
      </c>
      <c r="P1112" s="6">
        <f t="shared" si="87"/>
        <v>8.1643951335839304</v>
      </c>
      <c r="Q1112" s="3">
        <v>9.16</v>
      </c>
      <c r="R1112" t="str">
        <f t="shared" si="88"/>
        <v>High</v>
      </c>
      <c r="S1112" t="str">
        <f t="shared" si="89"/>
        <v>Valid</v>
      </c>
    </row>
    <row r="1113" spans="1:19" x14ac:dyDescent="0.25">
      <c r="A1113" s="1">
        <v>45525</v>
      </c>
      <c r="B1113" s="1" t="str">
        <f t="shared" si="85"/>
        <v>2024-08</v>
      </c>
      <c r="C1113" t="s">
        <v>28</v>
      </c>
      <c r="D1113" t="s">
        <v>29</v>
      </c>
      <c r="E1113" t="s">
        <v>30</v>
      </c>
      <c r="F1113" t="s">
        <v>27</v>
      </c>
      <c r="G1113" s="4">
        <v>138074</v>
      </c>
      <c r="H1113" s="4">
        <v>3313</v>
      </c>
      <c r="I1113" s="5">
        <v>2.4E-2</v>
      </c>
      <c r="J1113" s="2">
        <v>1.91</v>
      </c>
      <c r="K1113" s="6">
        <v>6327.83</v>
      </c>
      <c r="L1113" s="4">
        <v>209</v>
      </c>
      <c r="M1113" s="2">
        <v>30.28</v>
      </c>
      <c r="N1113" s="6">
        <v>16533.53</v>
      </c>
      <c r="O1113" s="6">
        <f t="shared" si="86"/>
        <v>10205.699999999999</v>
      </c>
      <c r="P1113" s="6">
        <f t="shared" si="87"/>
        <v>1.6128277782430942</v>
      </c>
      <c r="Q1113" s="3">
        <v>2.61</v>
      </c>
      <c r="R1113" t="str">
        <f t="shared" si="88"/>
        <v>Medium</v>
      </c>
      <c r="S1113" t="str">
        <f t="shared" si="89"/>
        <v>Valid</v>
      </c>
    </row>
    <row r="1114" spans="1:19" x14ac:dyDescent="0.25">
      <c r="A1114" s="1">
        <v>45612</v>
      </c>
      <c r="B1114" s="1" t="str">
        <f t="shared" si="85"/>
        <v>2024-11</v>
      </c>
      <c r="C1114" t="s">
        <v>14</v>
      </c>
      <c r="D1114" t="s">
        <v>24</v>
      </c>
      <c r="E1114" t="s">
        <v>25</v>
      </c>
      <c r="F1114" t="s">
        <v>26</v>
      </c>
      <c r="G1114" s="4">
        <v>119132</v>
      </c>
      <c r="H1114" s="4">
        <v>3466</v>
      </c>
      <c r="I1114" s="5">
        <v>2.9100000000000001E-2</v>
      </c>
      <c r="J1114" s="2">
        <v>2.19</v>
      </c>
      <c r="K1114" s="6">
        <v>7590.54</v>
      </c>
      <c r="L1114" s="4">
        <v>261</v>
      </c>
      <c r="M1114" s="2">
        <v>29.08</v>
      </c>
      <c r="N1114" s="6">
        <v>30598.06</v>
      </c>
      <c r="O1114" s="6">
        <f t="shared" si="86"/>
        <v>23007.52</v>
      </c>
      <c r="P1114" s="6">
        <f t="shared" si="87"/>
        <v>3.0310781578122241</v>
      </c>
      <c r="Q1114" s="3">
        <v>4.03</v>
      </c>
      <c r="R1114" t="str">
        <f t="shared" si="88"/>
        <v>High</v>
      </c>
      <c r="S1114" t="str">
        <f t="shared" si="89"/>
        <v>Valid</v>
      </c>
    </row>
    <row r="1115" spans="1:19" x14ac:dyDescent="0.25">
      <c r="A1115" s="1">
        <v>45417</v>
      </c>
      <c r="B1115" s="1" t="str">
        <f t="shared" si="85"/>
        <v>2024-05</v>
      </c>
      <c r="C1115" t="s">
        <v>14</v>
      </c>
      <c r="D1115" t="s">
        <v>21</v>
      </c>
      <c r="E1115" t="s">
        <v>30</v>
      </c>
      <c r="F1115" t="s">
        <v>27</v>
      </c>
      <c r="G1115" s="4">
        <v>43634</v>
      </c>
      <c r="H1115" s="4">
        <v>1937</v>
      </c>
      <c r="I1115" s="5">
        <v>4.4400000000000002E-2</v>
      </c>
      <c r="J1115" s="2">
        <v>2.38</v>
      </c>
      <c r="K1115" s="6">
        <v>4610.0600000000004</v>
      </c>
      <c r="L1115" s="4">
        <v>58</v>
      </c>
      <c r="M1115" s="2">
        <v>79.48</v>
      </c>
      <c r="N1115" s="6">
        <v>15065.19</v>
      </c>
      <c r="O1115" s="6">
        <f t="shared" si="86"/>
        <v>10455.130000000001</v>
      </c>
      <c r="P1115" s="6">
        <f t="shared" si="87"/>
        <v>2.2678945610252361</v>
      </c>
      <c r="Q1115" s="3">
        <v>3.27</v>
      </c>
      <c r="R1115" t="str">
        <f t="shared" si="88"/>
        <v>High</v>
      </c>
      <c r="S1115" t="str">
        <f t="shared" si="89"/>
        <v>Valid</v>
      </c>
    </row>
    <row r="1116" spans="1:19" x14ac:dyDescent="0.25">
      <c r="A1116" s="1">
        <v>45470</v>
      </c>
      <c r="B1116" s="1" t="str">
        <f t="shared" si="85"/>
        <v>2024-06</v>
      </c>
      <c r="C1116" t="s">
        <v>28</v>
      </c>
      <c r="D1116" t="s">
        <v>24</v>
      </c>
      <c r="E1116" t="s">
        <v>16</v>
      </c>
      <c r="F1116" t="s">
        <v>23</v>
      </c>
      <c r="G1116" s="4">
        <v>198899</v>
      </c>
      <c r="H1116" s="4">
        <v>2923</v>
      </c>
      <c r="I1116" s="5">
        <v>1.47E-2</v>
      </c>
      <c r="J1116" s="2">
        <v>1.97</v>
      </c>
      <c r="K1116" s="6">
        <v>5758.31</v>
      </c>
      <c r="L1116" s="4">
        <v>95</v>
      </c>
      <c r="M1116" s="2">
        <v>60.61</v>
      </c>
      <c r="N1116" s="6">
        <v>3750</v>
      </c>
      <c r="O1116" s="6">
        <f t="shared" si="86"/>
        <v>-2008.3100000000004</v>
      </c>
      <c r="P1116" s="6">
        <f t="shared" si="87"/>
        <v>-0.34876725983839013</v>
      </c>
      <c r="Q1116" s="3">
        <v>0.65</v>
      </c>
      <c r="R1116" t="str">
        <f t="shared" si="88"/>
        <v>Low</v>
      </c>
      <c r="S1116" t="str">
        <f t="shared" si="89"/>
        <v>Valid</v>
      </c>
    </row>
    <row r="1117" spans="1:19" x14ac:dyDescent="0.25">
      <c r="A1117" s="1">
        <v>45427</v>
      </c>
      <c r="B1117" s="1" t="str">
        <f t="shared" si="85"/>
        <v>2024-05</v>
      </c>
      <c r="C1117" t="s">
        <v>28</v>
      </c>
      <c r="D1117" t="s">
        <v>21</v>
      </c>
      <c r="E1117" t="s">
        <v>25</v>
      </c>
      <c r="F1117" t="s">
        <v>26</v>
      </c>
      <c r="G1117" s="4">
        <v>143383</v>
      </c>
      <c r="H1117" s="4">
        <v>3412</v>
      </c>
      <c r="I1117" s="5">
        <v>2.3800000000000002E-2</v>
      </c>
      <c r="J1117" s="2">
        <v>1.02</v>
      </c>
      <c r="K1117" s="6">
        <v>3480.24</v>
      </c>
      <c r="L1117" s="4">
        <v>117</v>
      </c>
      <c r="M1117" s="2">
        <v>29.75</v>
      </c>
      <c r="N1117" s="6">
        <v>19100.2</v>
      </c>
      <c r="O1117" s="6">
        <f t="shared" si="86"/>
        <v>15619.960000000001</v>
      </c>
      <c r="P1117" s="6">
        <f t="shared" si="87"/>
        <v>4.488184722892675</v>
      </c>
      <c r="Q1117" s="3">
        <v>5.49</v>
      </c>
      <c r="R1117" t="str">
        <f t="shared" si="88"/>
        <v>High</v>
      </c>
      <c r="S1117" t="str">
        <f t="shared" si="89"/>
        <v>Valid</v>
      </c>
    </row>
    <row r="1118" spans="1:19" x14ac:dyDescent="0.25">
      <c r="A1118" s="1">
        <v>45328</v>
      </c>
      <c r="B1118" s="1" t="str">
        <f t="shared" si="85"/>
        <v>2024-02</v>
      </c>
      <c r="C1118" t="s">
        <v>28</v>
      </c>
      <c r="D1118" t="s">
        <v>21</v>
      </c>
      <c r="E1118" t="s">
        <v>30</v>
      </c>
      <c r="F1118" t="s">
        <v>17</v>
      </c>
      <c r="G1118" s="4">
        <v>92469</v>
      </c>
      <c r="H1118" s="4">
        <v>2487</v>
      </c>
      <c r="I1118" s="5">
        <v>2.69E-2</v>
      </c>
      <c r="J1118" s="2">
        <v>0.6</v>
      </c>
      <c r="K1118" s="6">
        <v>1492.2</v>
      </c>
      <c r="L1118" s="4">
        <v>48</v>
      </c>
      <c r="M1118" s="2">
        <v>31.09</v>
      </c>
      <c r="N1118" s="6">
        <v>14164.35</v>
      </c>
      <c r="O1118" s="6">
        <f t="shared" si="86"/>
        <v>12672.15</v>
      </c>
      <c r="P1118" s="6">
        <f t="shared" si="87"/>
        <v>8.4922597507036581</v>
      </c>
      <c r="Q1118" s="3">
        <v>9.49</v>
      </c>
      <c r="R1118" t="str">
        <f t="shared" si="88"/>
        <v>High</v>
      </c>
      <c r="S1118" t="str">
        <f t="shared" si="89"/>
        <v>Valid</v>
      </c>
    </row>
    <row r="1119" spans="1:19" x14ac:dyDescent="0.25">
      <c r="A1119" s="1">
        <v>45605</v>
      </c>
      <c r="B1119" s="1" t="str">
        <f t="shared" si="85"/>
        <v>2024-11</v>
      </c>
      <c r="C1119" t="s">
        <v>14</v>
      </c>
      <c r="D1119" t="s">
        <v>24</v>
      </c>
      <c r="E1119" t="s">
        <v>25</v>
      </c>
      <c r="F1119" t="s">
        <v>26</v>
      </c>
      <c r="G1119" s="4">
        <v>30852</v>
      </c>
      <c r="H1119" s="4">
        <v>684</v>
      </c>
      <c r="I1119" s="5">
        <v>2.2200000000000001E-2</v>
      </c>
      <c r="J1119" s="2">
        <v>1.59</v>
      </c>
      <c r="K1119" s="6">
        <v>1087.56</v>
      </c>
      <c r="L1119" s="4">
        <v>11</v>
      </c>
      <c r="M1119" s="2">
        <v>98.87</v>
      </c>
      <c r="N1119" s="6">
        <v>2813.84</v>
      </c>
      <c r="O1119" s="6">
        <f t="shared" si="86"/>
        <v>1726.2800000000002</v>
      </c>
      <c r="P1119" s="6">
        <f t="shared" si="87"/>
        <v>1.5872963330758765</v>
      </c>
      <c r="Q1119" s="3">
        <v>2.59</v>
      </c>
      <c r="R1119" t="str">
        <f t="shared" si="88"/>
        <v>Medium</v>
      </c>
      <c r="S1119" t="str">
        <f t="shared" si="89"/>
        <v>Valid</v>
      </c>
    </row>
    <row r="1120" spans="1:19" x14ac:dyDescent="0.25">
      <c r="A1120" s="1">
        <v>45612</v>
      </c>
      <c r="B1120" s="1" t="str">
        <f t="shared" si="85"/>
        <v>2024-11</v>
      </c>
      <c r="C1120" t="s">
        <v>28</v>
      </c>
      <c r="D1120" t="s">
        <v>15</v>
      </c>
      <c r="E1120" t="s">
        <v>22</v>
      </c>
      <c r="F1120" t="s">
        <v>26</v>
      </c>
      <c r="G1120" s="4">
        <v>87565</v>
      </c>
      <c r="H1120" s="4">
        <v>3213</v>
      </c>
      <c r="I1120" s="5">
        <v>3.6700000000000003E-2</v>
      </c>
      <c r="J1120" s="2">
        <v>2.2000000000000002</v>
      </c>
      <c r="K1120" s="6">
        <v>7068.6</v>
      </c>
      <c r="L1120" s="4">
        <v>106</v>
      </c>
      <c r="M1120" s="2">
        <v>66.680000000000007</v>
      </c>
      <c r="N1120" s="6">
        <v>13715.98</v>
      </c>
      <c r="O1120" s="6">
        <f t="shared" si="86"/>
        <v>6647.3799999999992</v>
      </c>
      <c r="P1120" s="6">
        <f t="shared" si="87"/>
        <v>0.94040969923322848</v>
      </c>
      <c r="Q1120" s="3">
        <v>1.94</v>
      </c>
      <c r="R1120" t="str">
        <f t="shared" si="88"/>
        <v>Medium</v>
      </c>
      <c r="S1120" t="str">
        <f t="shared" si="89"/>
        <v>Valid</v>
      </c>
    </row>
    <row r="1121" spans="1:19" x14ac:dyDescent="0.25">
      <c r="A1121" s="1">
        <v>45637</v>
      </c>
      <c r="B1121" s="1" t="str">
        <f t="shared" si="85"/>
        <v>2024-12</v>
      </c>
      <c r="C1121" t="s">
        <v>14</v>
      </c>
      <c r="D1121" t="s">
        <v>24</v>
      </c>
      <c r="E1121" t="s">
        <v>19</v>
      </c>
      <c r="F1121" t="s">
        <v>20</v>
      </c>
      <c r="G1121" s="4">
        <v>154058</v>
      </c>
      <c r="H1121" s="4">
        <v>3728</v>
      </c>
      <c r="I1121" s="5">
        <v>2.4199999999999999E-2</v>
      </c>
      <c r="J1121" s="2">
        <v>2.46</v>
      </c>
      <c r="K1121" s="6">
        <v>9170.8799999999992</v>
      </c>
      <c r="L1121" s="4">
        <v>125</v>
      </c>
      <c r="M1121" s="2">
        <v>73.37</v>
      </c>
      <c r="N1121" s="6">
        <v>7520.81</v>
      </c>
      <c r="O1121" s="6">
        <f t="shared" si="86"/>
        <v>-1650.0699999999988</v>
      </c>
      <c r="P1121" s="6">
        <f t="shared" si="87"/>
        <v>-0.17992493632017853</v>
      </c>
      <c r="Q1121" s="3">
        <v>0.82</v>
      </c>
      <c r="R1121" t="str">
        <f t="shared" si="88"/>
        <v>Low</v>
      </c>
      <c r="S1121" t="str">
        <f t="shared" si="89"/>
        <v>Valid</v>
      </c>
    </row>
    <row r="1122" spans="1:19" x14ac:dyDescent="0.25">
      <c r="A1122" s="1">
        <v>45457</v>
      </c>
      <c r="B1122" s="1" t="str">
        <f t="shared" si="85"/>
        <v>2024-06</v>
      </c>
      <c r="C1122" t="s">
        <v>14</v>
      </c>
      <c r="D1122" t="s">
        <v>29</v>
      </c>
      <c r="E1122" t="s">
        <v>25</v>
      </c>
      <c r="F1122" t="s">
        <v>31</v>
      </c>
      <c r="G1122" s="4">
        <v>160579</v>
      </c>
      <c r="H1122" s="4">
        <v>7804</v>
      </c>
      <c r="I1122" s="5">
        <v>4.8599999999999997E-2</v>
      </c>
      <c r="J1122" s="2">
        <v>1.36</v>
      </c>
      <c r="K1122" s="6">
        <v>10613.44</v>
      </c>
      <c r="L1122" s="4">
        <v>193</v>
      </c>
      <c r="M1122" s="2">
        <v>54.99</v>
      </c>
      <c r="N1122" s="6">
        <v>9996.49</v>
      </c>
      <c r="O1122" s="6">
        <f t="shared" si="86"/>
        <v>-616.95000000000073</v>
      </c>
      <c r="P1122" s="6">
        <f t="shared" si="87"/>
        <v>-5.8129126842946369E-2</v>
      </c>
      <c r="Q1122" s="3">
        <v>0.94</v>
      </c>
      <c r="R1122" t="str">
        <f t="shared" si="88"/>
        <v>Low</v>
      </c>
      <c r="S1122" t="str">
        <f t="shared" si="89"/>
        <v>Valid</v>
      </c>
    </row>
    <row r="1123" spans="1:19" x14ac:dyDescent="0.25">
      <c r="A1123" s="1">
        <v>45589</v>
      </c>
      <c r="B1123" s="1" t="str">
        <f t="shared" si="85"/>
        <v>2024-10</v>
      </c>
      <c r="C1123" t="s">
        <v>18</v>
      </c>
      <c r="D1123" t="s">
        <v>15</v>
      </c>
      <c r="E1123" t="s">
        <v>25</v>
      </c>
      <c r="F1123" t="s">
        <v>17</v>
      </c>
      <c r="G1123" s="4">
        <v>34076</v>
      </c>
      <c r="H1123" s="4">
        <v>1363</v>
      </c>
      <c r="I1123" s="5">
        <v>0.04</v>
      </c>
      <c r="J1123" s="2">
        <v>1.1399999999999999</v>
      </c>
      <c r="K1123" s="6">
        <v>1553.82</v>
      </c>
      <c r="L1123" s="4">
        <v>16</v>
      </c>
      <c r="M1123" s="2">
        <v>97.11</v>
      </c>
      <c r="N1123" s="6">
        <v>2219.67</v>
      </c>
      <c r="O1123" s="6">
        <f t="shared" si="86"/>
        <v>665.85000000000014</v>
      </c>
      <c r="P1123" s="6">
        <f t="shared" si="87"/>
        <v>0.42852453952195246</v>
      </c>
      <c r="Q1123" s="3">
        <v>1.43</v>
      </c>
      <c r="R1123" t="str">
        <f t="shared" si="88"/>
        <v>Medium</v>
      </c>
      <c r="S1123" t="str">
        <f t="shared" si="89"/>
        <v>Valid</v>
      </c>
    </row>
    <row r="1124" spans="1:19" x14ac:dyDescent="0.25">
      <c r="A1124" s="1">
        <v>45441</v>
      </c>
      <c r="B1124" s="1" t="str">
        <f t="shared" si="85"/>
        <v>2024-05</v>
      </c>
      <c r="C1124" t="s">
        <v>18</v>
      </c>
      <c r="D1124" t="s">
        <v>24</v>
      </c>
      <c r="E1124" t="s">
        <v>22</v>
      </c>
      <c r="F1124" t="s">
        <v>26</v>
      </c>
      <c r="G1124" s="4">
        <v>37261</v>
      </c>
      <c r="H1124" s="4">
        <v>1591</v>
      </c>
      <c r="I1124" s="5">
        <v>4.2700000000000002E-2</v>
      </c>
      <c r="J1124" s="2">
        <v>1.08</v>
      </c>
      <c r="K1124" s="6">
        <v>1718.28</v>
      </c>
      <c r="L1124" s="4">
        <v>40</v>
      </c>
      <c r="M1124" s="2">
        <v>42.96</v>
      </c>
      <c r="N1124" s="6">
        <v>8930.0400000000009</v>
      </c>
      <c r="O1124" s="6">
        <f t="shared" si="86"/>
        <v>7211.7600000000011</v>
      </c>
      <c r="P1124" s="6">
        <f t="shared" si="87"/>
        <v>4.197080801731965</v>
      </c>
      <c r="Q1124" s="3">
        <v>5.2</v>
      </c>
      <c r="R1124" t="str">
        <f t="shared" si="88"/>
        <v>High</v>
      </c>
      <c r="S1124" t="str">
        <f t="shared" si="89"/>
        <v>Valid</v>
      </c>
    </row>
    <row r="1125" spans="1:19" x14ac:dyDescent="0.25">
      <c r="A1125" s="1">
        <v>45338</v>
      </c>
      <c r="B1125" s="1" t="str">
        <f t="shared" si="85"/>
        <v>2024-02</v>
      </c>
      <c r="C1125" t="s">
        <v>28</v>
      </c>
      <c r="D1125" t="s">
        <v>24</v>
      </c>
      <c r="E1125" t="s">
        <v>16</v>
      </c>
      <c r="F1125" t="s">
        <v>23</v>
      </c>
      <c r="G1125" s="4">
        <v>178553</v>
      </c>
      <c r="H1125" s="4">
        <v>7213</v>
      </c>
      <c r="I1125" s="5">
        <v>4.0399999999999998E-2</v>
      </c>
      <c r="J1125" s="2">
        <v>2.2799999999999998</v>
      </c>
      <c r="K1125" s="6">
        <v>16445.64</v>
      </c>
      <c r="L1125" s="4">
        <v>556</v>
      </c>
      <c r="M1125" s="2">
        <v>29.58</v>
      </c>
      <c r="N1125" s="6">
        <v>50559.85</v>
      </c>
      <c r="O1125" s="6">
        <f t="shared" si="86"/>
        <v>34114.21</v>
      </c>
      <c r="P1125" s="6">
        <f t="shared" si="87"/>
        <v>2.0743619585494999</v>
      </c>
      <c r="Q1125" s="3">
        <v>3.07</v>
      </c>
      <c r="R1125" t="str">
        <f t="shared" si="88"/>
        <v>High</v>
      </c>
      <c r="S1125" t="str">
        <f t="shared" si="89"/>
        <v>Valid</v>
      </c>
    </row>
    <row r="1126" spans="1:19" x14ac:dyDescent="0.25">
      <c r="A1126" s="1">
        <v>45357</v>
      </c>
      <c r="B1126" s="1" t="str">
        <f t="shared" si="85"/>
        <v>2024-03</v>
      </c>
      <c r="C1126" t="s">
        <v>28</v>
      </c>
      <c r="D1126" t="s">
        <v>15</v>
      </c>
      <c r="E1126" t="s">
        <v>22</v>
      </c>
      <c r="F1126" t="s">
        <v>32</v>
      </c>
      <c r="G1126" s="4">
        <v>132390</v>
      </c>
      <c r="H1126" s="4">
        <v>2780</v>
      </c>
      <c r="I1126" s="5">
        <v>2.1000000000000001E-2</v>
      </c>
      <c r="J1126" s="2">
        <v>1.01</v>
      </c>
      <c r="K1126" s="6">
        <v>2807.8</v>
      </c>
      <c r="L1126" s="4">
        <v>133</v>
      </c>
      <c r="M1126" s="2">
        <v>21.11</v>
      </c>
      <c r="N1126" s="6">
        <v>39444.5</v>
      </c>
      <c r="O1126" s="6">
        <f t="shared" si="86"/>
        <v>36636.699999999997</v>
      </c>
      <c r="P1126" s="6">
        <f t="shared" si="87"/>
        <v>13.04818719282</v>
      </c>
      <c r="Q1126" s="3">
        <v>14.05</v>
      </c>
      <c r="R1126" t="str">
        <f t="shared" si="88"/>
        <v>High</v>
      </c>
      <c r="S1126" t="str">
        <f t="shared" si="89"/>
        <v>Valid</v>
      </c>
    </row>
    <row r="1127" spans="1:19" x14ac:dyDescent="0.25">
      <c r="A1127" s="1">
        <v>45521</v>
      </c>
      <c r="B1127" s="1" t="str">
        <f t="shared" si="85"/>
        <v>2024-08</v>
      </c>
      <c r="C1127" t="s">
        <v>18</v>
      </c>
      <c r="D1127" t="s">
        <v>15</v>
      </c>
      <c r="E1127" t="s">
        <v>22</v>
      </c>
      <c r="F1127" t="s">
        <v>32</v>
      </c>
      <c r="G1127" s="4">
        <v>166446</v>
      </c>
      <c r="H1127" s="4">
        <v>7822</v>
      </c>
      <c r="I1127" s="5">
        <v>4.7E-2</v>
      </c>
      <c r="J1127" s="2">
        <v>1.1499999999999999</v>
      </c>
      <c r="K1127" s="6">
        <v>8995.2999999999993</v>
      </c>
      <c r="L1127" s="4">
        <v>218</v>
      </c>
      <c r="M1127" s="2">
        <v>41.26</v>
      </c>
      <c r="N1127" s="6">
        <v>21100.54</v>
      </c>
      <c r="O1127" s="6">
        <f t="shared" si="86"/>
        <v>12105.240000000002</v>
      </c>
      <c r="P1127" s="6">
        <f t="shared" si="87"/>
        <v>1.3457294364834973</v>
      </c>
      <c r="Q1127" s="3">
        <v>2.35</v>
      </c>
      <c r="R1127" t="str">
        <f t="shared" si="88"/>
        <v>Medium</v>
      </c>
      <c r="S1127" t="str">
        <f t="shared" si="89"/>
        <v>Valid</v>
      </c>
    </row>
    <row r="1128" spans="1:19" x14ac:dyDescent="0.25">
      <c r="A1128" s="1">
        <v>45595</v>
      </c>
      <c r="B1128" s="1" t="str">
        <f t="shared" si="85"/>
        <v>2024-10</v>
      </c>
      <c r="C1128" t="s">
        <v>18</v>
      </c>
      <c r="D1128" t="s">
        <v>24</v>
      </c>
      <c r="E1128" t="s">
        <v>19</v>
      </c>
      <c r="F1128" t="s">
        <v>26</v>
      </c>
      <c r="G1128" s="4">
        <v>158807</v>
      </c>
      <c r="H1128" s="4">
        <v>5859</v>
      </c>
      <c r="I1128" s="5">
        <v>3.6900000000000002E-2</v>
      </c>
      <c r="J1128" s="2">
        <v>0.56999999999999995</v>
      </c>
      <c r="K1128" s="6">
        <v>3339.63</v>
      </c>
      <c r="L1128" s="4">
        <v>73</v>
      </c>
      <c r="M1128" s="2">
        <v>45.75</v>
      </c>
      <c r="N1128" s="6">
        <v>7304.51</v>
      </c>
      <c r="O1128" s="6">
        <f t="shared" si="86"/>
        <v>3964.88</v>
      </c>
      <c r="P1128" s="6">
        <f t="shared" si="87"/>
        <v>1.1872213388908353</v>
      </c>
      <c r="Q1128" s="3">
        <v>2.19</v>
      </c>
      <c r="R1128" t="str">
        <f t="shared" si="88"/>
        <v>Medium</v>
      </c>
      <c r="S1128" t="str">
        <f t="shared" si="89"/>
        <v>Valid</v>
      </c>
    </row>
    <row r="1129" spans="1:19" x14ac:dyDescent="0.25">
      <c r="A1129" s="1">
        <v>45583</v>
      </c>
      <c r="B1129" s="1" t="str">
        <f t="shared" si="85"/>
        <v>2024-10</v>
      </c>
      <c r="C1129" t="s">
        <v>28</v>
      </c>
      <c r="D1129" t="s">
        <v>21</v>
      </c>
      <c r="E1129" t="s">
        <v>19</v>
      </c>
      <c r="F1129" t="s">
        <v>32</v>
      </c>
      <c r="G1129" s="4">
        <v>66265</v>
      </c>
      <c r="H1129" s="4">
        <v>1881</v>
      </c>
      <c r="I1129" s="5">
        <v>2.8400000000000002E-2</v>
      </c>
      <c r="J1129" s="2">
        <v>2.04</v>
      </c>
      <c r="K1129" s="6">
        <v>3837.24</v>
      </c>
      <c r="L1129" s="4">
        <v>76</v>
      </c>
      <c r="M1129" s="2">
        <v>50.49</v>
      </c>
      <c r="N1129" s="6">
        <v>2782.02</v>
      </c>
      <c r="O1129" s="6">
        <f t="shared" si="86"/>
        <v>-1055.2199999999998</v>
      </c>
      <c r="P1129" s="6">
        <f t="shared" si="87"/>
        <v>-0.2749945273165087</v>
      </c>
      <c r="Q1129" s="3">
        <v>0.73</v>
      </c>
      <c r="R1129" t="str">
        <f t="shared" si="88"/>
        <v>Low</v>
      </c>
      <c r="S1129" t="str">
        <f t="shared" si="89"/>
        <v>Valid</v>
      </c>
    </row>
    <row r="1130" spans="1:19" x14ac:dyDescent="0.25">
      <c r="A1130" s="1">
        <v>45333</v>
      </c>
      <c r="B1130" s="1" t="str">
        <f t="shared" si="85"/>
        <v>2024-02</v>
      </c>
      <c r="C1130" t="s">
        <v>14</v>
      </c>
      <c r="D1130" t="s">
        <v>15</v>
      </c>
      <c r="E1130" t="s">
        <v>25</v>
      </c>
      <c r="F1130" t="s">
        <v>20</v>
      </c>
      <c r="G1130" s="4">
        <v>137156</v>
      </c>
      <c r="H1130" s="4">
        <v>5253</v>
      </c>
      <c r="I1130" s="5">
        <v>3.8300000000000001E-2</v>
      </c>
      <c r="J1130" s="2">
        <v>2.15</v>
      </c>
      <c r="K1130" s="6">
        <v>11293.95</v>
      </c>
      <c r="L1130" s="4">
        <v>280</v>
      </c>
      <c r="M1130" s="2">
        <v>40.340000000000003</v>
      </c>
      <c r="N1130" s="6">
        <v>75085.66</v>
      </c>
      <c r="O1130" s="6">
        <f t="shared" si="86"/>
        <v>63791.710000000006</v>
      </c>
      <c r="P1130" s="6">
        <f t="shared" si="87"/>
        <v>5.6483081649909908</v>
      </c>
      <c r="Q1130" s="3">
        <v>6.65</v>
      </c>
      <c r="R1130" t="str">
        <f t="shared" si="88"/>
        <v>High</v>
      </c>
      <c r="S1130" t="str">
        <f t="shared" si="89"/>
        <v>Valid</v>
      </c>
    </row>
    <row r="1131" spans="1:19" x14ac:dyDescent="0.25">
      <c r="A1131" s="1">
        <v>45654</v>
      </c>
      <c r="B1131" s="1" t="str">
        <f t="shared" si="85"/>
        <v>2024-12</v>
      </c>
      <c r="C1131" t="s">
        <v>14</v>
      </c>
      <c r="D1131" t="s">
        <v>24</v>
      </c>
      <c r="E1131" t="s">
        <v>16</v>
      </c>
      <c r="F1131" t="s">
        <v>31</v>
      </c>
      <c r="G1131" s="4">
        <v>123292</v>
      </c>
      <c r="H1131" s="4">
        <v>2527</v>
      </c>
      <c r="I1131" s="5">
        <v>2.0500000000000001E-2</v>
      </c>
      <c r="J1131" s="2">
        <v>3.55</v>
      </c>
      <c r="K1131" s="6">
        <v>8970.85</v>
      </c>
      <c r="L1131" s="4">
        <v>179</v>
      </c>
      <c r="M1131" s="2">
        <v>50.12</v>
      </c>
      <c r="N1131" s="6">
        <v>36566.559999999998</v>
      </c>
      <c r="O1131" s="6">
        <f t="shared" si="86"/>
        <v>27595.71</v>
      </c>
      <c r="P1131" s="6">
        <f t="shared" si="87"/>
        <v>3.0761533188047951</v>
      </c>
      <c r="Q1131" s="3">
        <v>4.08</v>
      </c>
      <c r="R1131" t="str">
        <f t="shared" si="88"/>
        <v>High</v>
      </c>
      <c r="S1131" t="str">
        <f t="shared" si="89"/>
        <v>Valid</v>
      </c>
    </row>
    <row r="1132" spans="1:19" x14ac:dyDescent="0.25">
      <c r="A1132" s="1">
        <v>45511</v>
      </c>
      <c r="B1132" s="1" t="str">
        <f t="shared" si="85"/>
        <v>2024-08</v>
      </c>
      <c r="C1132" t="s">
        <v>18</v>
      </c>
      <c r="D1132" t="s">
        <v>29</v>
      </c>
      <c r="E1132" t="s">
        <v>16</v>
      </c>
      <c r="F1132" t="s">
        <v>20</v>
      </c>
      <c r="G1132" s="4">
        <v>68642</v>
      </c>
      <c r="H1132" s="4">
        <v>3363</v>
      </c>
      <c r="I1132" s="5">
        <v>4.9000000000000002E-2</v>
      </c>
      <c r="J1132" s="2">
        <v>0.37</v>
      </c>
      <c r="K1132" s="6">
        <v>1244.31</v>
      </c>
      <c r="L1132" s="4">
        <v>37</v>
      </c>
      <c r="M1132" s="2">
        <v>33.630000000000003</v>
      </c>
      <c r="N1132" s="6">
        <v>8887.57</v>
      </c>
      <c r="O1132" s="6">
        <f t="shared" si="86"/>
        <v>7643.26</v>
      </c>
      <c r="P1132" s="6">
        <f t="shared" si="87"/>
        <v>6.1425689739695093</v>
      </c>
      <c r="Q1132" s="3">
        <v>7.14</v>
      </c>
      <c r="R1132" t="str">
        <f t="shared" si="88"/>
        <v>High</v>
      </c>
      <c r="S1132" t="str">
        <f t="shared" si="89"/>
        <v>Valid</v>
      </c>
    </row>
    <row r="1133" spans="1:19" x14ac:dyDescent="0.25">
      <c r="A1133" s="1">
        <v>45342</v>
      </c>
      <c r="B1133" s="1" t="str">
        <f t="shared" si="85"/>
        <v>2024-02</v>
      </c>
      <c r="C1133" t="s">
        <v>14</v>
      </c>
      <c r="D1133" t="s">
        <v>24</v>
      </c>
      <c r="E1133" t="s">
        <v>25</v>
      </c>
      <c r="F1133" t="s">
        <v>27</v>
      </c>
      <c r="G1133" s="4">
        <v>147727</v>
      </c>
      <c r="H1133" s="4">
        <v>7534</v>
      </c>
      <c r="I1133" s="5">
        <v>5.0999999999999997E-2</v>
      </c>
      <c r="J1133" s="2">
        <v>2.33</v>
      </c>
      <c r="K1133" s="6">
        <v>17554.22</v>
      </c>
      <c r="L1133" s="4">
        <v>206</v>
      </c>
      <c r="M1133" s="2">
        <v>85.21</v>
      </c>
      <c r="N1133" s="6">
        <v>23788.98</v>
      </c>
      <c r="O1133" s="6">
        <f t="shared" si="86"/>
        <v>6234.7599999999984</v>
      </c>
      <c r="P1133" s="6">
        <f t="shared" si="87"/>
        <v>0.35517157697693191</v>
      </c>
      <c r="Q1133" s="3">
        <v>1.36</v>
      </c>
      <c r="R1133" t="str">
        <f t="shared" si="88"/>
        <v>Medium</v>
      </c>
      <c r="S1133" t="str">
        <f t="shared" si="89"/>
        <v>Valid</v>
      </c>
    </row>
    <row r="1134" spans="1:19" x14ac:dyDescent="0.25">
      <c r="A1134" s="1">
        <v>45361</v>
      </c>
      <c r="B1134" s="1" t="str">
        <f t="shared" si="85"/>
        <v>2024-03</v>
      </c>
      <c r="C1134" t="s">
        <v>18</v>
      </c>
      <c r="D1134" t="s">
        <v>15</v>
      </c>
      <c r="E1134" t="s">
        <v>30</v>
      </c>
      <c r="F1134" t="s">
        <v>32</v>
      </c>
      <c r="G1134" s="4">
        <v>179818</v>
      </c>
      <c r="H1134" s="4">
        <v>11724</v>
      </c>
      <c r="I1134" s="5">
        <v>6.5199999999999994E-2</v>
      </c>
      <c r="J1134" s="2">
        <v>1.03</v>
      </c>
      <c r="K1134" s="6">
        <v>12075.72</v>
      </c>
      <c r="L1134" s="4">
        <v>880</v>
      </c>
      <c r="M1134" s="2">
        <v>13.72</v>
      </c>
      <c r="N1134" s="6">
        <v>242039.99</v>
      </c>
      <c r="O1134" s="6">
        <f t="shared" si="86"/>
        <v>229964.27</v>
      </c>
      <c r="P1134" s="6">
        <f t="shared" si="87"/>
        <v>19.043524526901916</v>
      </c>
      <c r="Q1134" s="3">
        <v>20.04</v>
      </c>
      <c r="R1134" t="str">
        <f t="shared" si="88"/>
        <v>High</v>
      </c>
      <c r="S1134" t="str">
        <f t="shared" si="89"/>
        <v>Valid</v>
      </c>
    </row>
    <row r="1135" spans="1:19" x14ac:dyDescent="0.25">
      <c r="A1135" s="1">
        <v>45590</v>
      </c>
      <c r="B1135" s="1" t="str">
        <f t="shared" si="85"/>
        <v>2024-10</v>
      </c>
      <c r="C1135" t="s">
        <v>14</v>
      </c>
      <c r="D1135" t="s">
        <v>29</v>
      </c>
      <c r="E1135" t="s">
        <v>16</v>
      </c>
      <c r="F1135" t="s">
        <v>32</v>
      </c>
      <c r="G1135" s="4">
        <v>158481</v>
      </c>
      <c r="H1135" s="4">
        <v>6053</v>
      </c>
      <c r="I1135" s="5">
        <v>3.8199999999999998E-2</v>
      </c>
      <c r="J1135" s="2">
        <v>1.63</v>
      </c>
      <c r="K1135" s="6">
        <v>9866.39</v>
      </c>
      <c r="L1135" s="4">
        <v>116</v>
      </c>
      <c r="M1135" s="2">
        <v>85.06</v>
      </c>
      <c r="N1135" s="6">
        <v>30091.81</v>
      </c>
      <c r="O1135" s="6">
        <f t="shared" si="86"/>
        <v>20225.420000000002</v>
      </c>
      <c r="P1135" s="6">
        <f t="shared" si="87"/>
        <v>2.0499311298256</v>
      </c>
      <c r="Q1135" s="3">
        <v>3.05</v>
      </c>
      <c r="R1135" t="str">
        <f t="shared" si="88"/>
        <v>High</v>
      </c>
      <c r="S1135" t="str">
        <f t="shared" si="89"/>
        <v>Valid</v>
      </c>
    </row>
    <row r="1136" spans="1:19" x14ac:dyDescent="0.25">
      <c r="A1136" s="1">
        <v>45453</v>
      </c>
      <c r="B1136" s="1" t="str">
        <f t="shared" si="85"/>
        <v>2024-06</v>
      </c>
      <c r="C1136" t="s">
        <v>18</v>
      </c>
      <c r="D1136" t="s">
        <v>15</v>
      </c>
      <c r="E1136" t="s">
        <v>16</v>
      </c>
      <c r="F1136" t="s">
        <v>31</v>
      </c>
      <c r="G1136" s="4">
        <v>12784</v>
      </c>
      <c r="H1136" s="4">
        <v>1055</v>
      </c>
      <c r="I1136" s="5">
        <v>8.2600000000000007E-2</v>
      </c>
      <c r="J1136" s="2">
        <v>0.38</v>
      </c>
      <c r="K1136" s="6">
        <v>400.9</v>
      </c>
      <c r="L1136" s="4">
        <v>67</v>
      </c>
      <c r="M1136" s="2">
        <v>5.98</v>
      </c>
      <c r="N1136" s="6">
        <v>12031.35</v>
      </c>
      <c r="O1136" s="6">
        <f t="shared" si="86"/>
        <v>11630.45</v>
      </c>
      <c r="P1136" s="6">
        <f t="shared" si="87"/>
        <v>29.010850586181096</v>
      </c>
      <c r="Q1136" s="3">
        <v>30.01</v>
      </c>
      <c r="R1136" t="str">
        <f t="shared" si="88"/>
        <v>High</v>
      </c>
      <c r="S1136" t="str">
        <f t="shared" si="89"/>
        <v>Valid</v>
      </c>
    </row>
    <row r="1137" spans="1:19" x14ac:dyDescent="0.25">
      <c r="A1137" s="1">
        <v>45637</v>
      </c>
      <c r="B1137" s="1" t="str">
        <f t="shared" si="85"/>
        <v>2024-12</v>
      </c>
      <c r="C1137" t="s">
        <v>28</v>
      </c>
      <c r="D1137" t="s">
        <v>21</v>
      </c>
      <c r="E1137" t="s">
        <v>19</v>
      </c>
      <c r="F1137" t="s">
        <v>32</v>
      </c>
      <c r="G1137" s="4">
        <v>117169</v>
      </c>
      <c r="H1137" s="4">
        <v>3304</v>
      </c>
      <c r="I1137" s="5">
        <v>2.8199999999999999E-2</v>
      </c>
      <c r="J1137" s="2">
        <v>1.27</v>
      </c>
      <c r="K1137" s="6">
        <v>4196.08</v>
      </c>
      <c r="L1137" s="4">
        <v>83</v>
      </c>
      <c r="M1137" s="2">
        <v>50.56</v>
      </c>
      <c r="N1137" s="6">
        <v>20949.79</v>
      </c>
      <c r="O1137" s="6">
        <f t="shared" si="86"/>
        <v>16753.71</v>
      </c>
      <c r="P1137" s="6">
        <f t="shared" si="87"/>
        <v>3.9927050961850106</v>
      </c>
      <c r="Q1137" s="3">
        <v>4.99</v>
      </c>
      <c r="R1137" t="str">
        <f t="shared" si="88"/>
        <v>High</v>
      </c>
      <c r="S1137" t="str">
        <f t="shared" si="89"/>
        <v>Valid</v>
      </c>
    </row>
    <row r="1138" spans="1:19" x14ac:dyDescent="0.25">
      <c r="A1138" s="1">
        <v>45308</v>
      </c>
      <c r="B1138" s="1" t="str">
        <f t="shared" si="85"/>
        <v>2024-01</v>
      </c>
      <c r="C1138" t="s">
        <v>28</v>
      </c>
      <c r="D1138" t="s">
        <v>21</v>
      </c>
      <c r="E1138" t="s">
        <v>19</v>
      </c>
      <c r="F1138" t="s">
        <v>26</v>
      </c>
      <c r="G1138" s="4">
        <v>190928</v>
      </c>
      <c r="H1138" s="4">
        <v>5078</v>
      </c>
      <c r="I1138" s="5">
        <v>2.6599999999999999E-2</v>
      </c>
      <c r="J1138" s="2">
        <v>1.45</v>
      </c>
      <c r="K1138" s="6">
        <v>7363.1</v>
      </c>
      <c r="L1138" s="4">
        <v>186</v>
      </c>
      <c r="M1138" s="2">
        <v>39.590000000000003</v>
      </c>
      <c r="N1138" s="6">
        <v>47430.11</v>
      </c>
      <c r="O1138" s="6">
        <f t="shared" si="86"/>
        <v>40067.01</v>
      </c>
      <c r="P1138" s="6">
        <f t="shared" si="87"/>
        <v>5.4415952519998374</v>
      </c>
      <c r="Q1138" s="3">
        <v>6.44</v>
      </c>
      <c r="R1138" t="str">
        <f t="shared" si="88"/>
        <v>High</v>
      </c>
      <c r="S1138" t="str">
        <f t="shared" si="89"/>
        <v>Valid</v>
      </c>
    </row>
    <row r="1139" spans="1:19" x14ac:dyDescent="0.25">
      <c r="A1139" s="1">
        <v>45638</v>
      </c>
      <c r="B1139" s="1" t="str">
        <f t="shared" si="85"/>
        <v>2024-12</v>
      </c>
      <c r="C1139" t="s">
        <v>14</v>
      </c>
      <c r="D1139" t="s">
        <v>15</v>
      </c>
      <c r="E1139" t="s">
        <v>30</v>
      </c>
      <c r="F1139" t="s">
        <v>31</v>
      </c>
      <c r="G1139" s="4">
        <v>38512</v>
      </c>
      <c r="H1139" s="4">
        <v>1840</v>
      </c>
      <c r="I1139" s="5">
        <v>4.7800000000000002E-2</v>
      </c>
      <c r="J1139" s="2">
        <v>1.34</v>
      </c>
      <c r="K1139" s="6">
        <v>2465.6</v>
      </c>
      <c r="L1139" s="4">
        <v>53</v>
      </c>
      <c r="M1139" s="2">
        <v>46.52</v>
      </c>
      <c r="N1139" s="6">
        <v>3324.76</v>
      </c>
      <c r="O1139" s="6">
        <f t="shared" si="86"/>
        <v>859.16000000000031</v>
      </c>
      <c r="P1139" s="6">
        <f t="shared" si="87"/>
        <v>0.34845879299156407</v>
      </c>
      <c r="Q1139" s="3">
        <v>1.35</v>
      </c>
      <c r="R1139" t="str">
        <f t="shared" si="88"/>
        <v>Medium</v>
      </c>
      <c r="S1139" t="str">
        <f t="shared" si="89"/>
        <v>Valid</v>
      </c>
    </row>
    <row r="1140" spans="1:19" x14ac:dyDescent="0.25">
      <c r="A1140" s="1">
        <v>45333</v>
      </c>
      <c r="B1140" s="1" t="str">
        <f t="shared" si="85"/>
        <v>2024-02</v>
      </c>
      <c r="C1140" t="s">
        <v>28</v>
      </c>
      <c r="D1140" t="s">
        <v>21</v>
      </c>
      <c r="E1140" t="s">
        <v>25</v>
      </c>
      <c r="F1140" t="s">
        <v>17</v>
      </c>
      <c r="G1140" s="4">
        <v>92986</v>
      </c>
      <c r="H1140" s="4">
        <v>2082</v>
      </c>
      <c r="I1140" s="5">
        <v>2.24E-2</v>
      </c>
      <c r="J1140" s="2">
        <v>1.73</v>
      </c>
      <c r="K1140" s="6">
        <v>3601.86</v>
      </c>
      <c r="L1140" s="4">
        <v>108</v>
      </c>
      <c r="M1140" s="2">
        <v>33.35</v>
      </c>
      <c r="N1140" s="6">
        <v>6838.55</v>
      </c>
      <c r="O1140" s="6">
        <f t="shared" si="86"/>
        <v>3236.69</v>
      </c>
      <c r="P1140" s="6">
        <f t="shared" si="87"/>
        <v>0.89861627048247295</v>
      </c>
      <c r="Q1140" s="3">
        <v>1.9</v>
      </c>
      <c r="R1140" t="str">
        <f t="shared" si="88"/>
        <v>Medium</v>
      </c>
      <c r="S1140" t="str">
        <f t="shared" si="89"/>
        <v>Valid</v>
      </c>
    </row>
    <row r="1141" spans="1:19" x14ac:dyDescent="0.25">
      <c r="A1141" s="1">
        <v>45411</v>
      </c>
      <c r="B1141" s="1" t="str">
        <f t="shared" si="85"/>
        <v>2024-04</v>
      </c>
      <c r="C1141" t="s">
        <v>28</v>
      </c>
      <c r="D1141" t="s">
        <v>15</v>
      </c>
      <c r="E1141" t="s">
        <v>22</v>
      </c>
      <c r="F1141" t="s">
        <v>17</v>
      </c>
      <c r="G1141" s="4">
        <v>80589</v>
      </c>
      <c r="H1141" s="4">
        <v>1160</v>
      </c>
      <c r="I1141" s="5">
        <v>1.44E-2</v>
      </c>
      <c r="J1141" s="2">
        <v>0.95</v>
      </c>
      <c r="K1141" s="6">
        <v>1102</v>
      </c>
      <c r="L1141" s="4">
        <v>75</v>
      </c>
      <c r="M1141" s="2">
        <v>14.69</v>
      </c>
      <c r="N1141" s="6">
        <v>21781.43</v>
      </c>
      <c r="O1141" s="6">
        <f t="shared" si="86"/>
        <v>20679.43</v>
      </c>
      <c r="P1141" s="6">
        <f t="shared" si="87"/>
        <v>18.765362976406532</v>
      </c>
      <c r="Q1141" s="3">
        <v>19.77</v>
      </c>
      <c r="R1141" t="str">
        <f t="shared" si="88"/>
        <v>High</v>
      </c>
      <c r="S1141" t="str">
        <f t="shared" si="89"/>
        <v>Valid</v>
      </c>
    </row>
    <row r="1142" spans="1:19" x14ac:dyDescent="0.25">
      <c r="A1142" s="1">
        <v>45492</v>
      </c>
      <c r="B1142" s="1" t="str">
        <f t="shared" si="85"/>
        <v>2024-07</v>
      </c>
      <c r="C1142" t="s">
        <v>28</v>
      </c>
      <c r="D1142" t="s">
        <v>29</v>
      </c>
      <c r="E1142" t="s">
        <v>19</v>
      </c>
      <c r="F1142" t="s">
        <v>31</v>
      </c>
      <c r="G1142" s="4">
        <v>140475</v>
      </c>
      <c r="H1142" s="4">
        <v>5043</v>
      </c>
      <c r="I1142" s="5">
        <v>3.5900000000000001E-2</v>
      </c>
      <c r="J1142" s="2">
        <v>2.04</v>
      </c>
      <c r="K1142" s="6">
        <v>10287.719999999999</v>
      </c>
      <c r="L1142" s="4">
        <v>327</v>
      </c>
      <c r="M1142" s="2">
        <v>31.46</v>
      </c>
      <c r="N1142" s="6">
        <v>96504.49</v>
      </c>
      <c r="O1142" s="6">
        <f t="shared" si="86"/>
        <v>86216.77</v>
      </c>
      <c r="P1142" s="6">
        <f t="shared" si="87"/>
        <v>8.3805517646281213</v>
      </c>
      <c r="Q1142" s="3">
        <v>9.3800000000000008</v>
      </c>
      <c r="R1142" t="str">
        <f t="shared" si="88"/>
        <v>High</v>
      </c>
      <c r="S1142" t="str">
        <f t="shared" si="89"/>
        <v>Valid</v>
      </c>
    </row>
    <row r="1143" spans="1:19" x14ac:dyDescent="0.25">
      <c r="A1143" s="1">
        <v>45544</v>
      </c>
      <c r="B1143" s="1" t="str">
        <f t="shared" si="85"/>
        <v>2024-09</v>
      </c>
      <c r="C1143" t="s">
        <v>14</v>
      </c>
      <c r="D1143" t="s">
        <v>21</v>
      </c>
      <c r="E1143" t="s">
        <v>30</v>
      </c>
      <c r="F1143" t="s">
        <v>27</v>
      </c>
      <c r="G1143" s="4">
        <v>103348</v>
      </c>
      <c r="H1143" s="4">
        <v>1891</v>
      </c>
      <c r="I1143" s="5">
        <v>1.83E-2</v>
      </c>
      <c r="J1143" s="2">
        <v>1.54</v>
      </c>
      <c r="K1143" s="6">
        <v>2912.14</v>
      </c>
      <c r="L1143" s="4">
        <v>30</v>
      </c>
      <c r="M1143" s="2">
        <v>97.07</v>
      </c>
      <c r="N1143" s="6">
        <v>1064.02</v>
      </c>
      <c r="O1143" s="6">
        <f t="shared" si="86"/>
        <v>-1848.12</v>
      </c>
      <c r="P1143" s="6">
        <f t="shared" si="87"/>
        <v>-0.63462608253724062</v>
      </c>
      <c r="Q1143" s="3">
        <v>0.37</v>
      </c>
      <c r="R1143" t="str">
        <f t="shared" si="88"/>
        <v>Low</v>
      </c>
      <c r="S1143" t="str">
        <f t="shared" si="89"/>
        <v>Valid</v>
      </c>
    </row>
    <row r="1144" spans="1:19" x14ac:dyDescent="0.25">
      <c r="A1144" s="1">
        <v>45308</v>
      </c>
      <c r="B1144" s="1" t="str">
        <f t="shared" si="85"/>
        <v>2024-01</v>
      </c>
      <c r="C1144" t="s">
        <v>28</v>
      </c>
      <c r="D1144" t="s">
        <v>15</v>
      </c>
      <c r="E1144" t="s">
        <v>19</v>
      </c>
      <c r="F1144" t="s">
        <v>32</v>
      </c>
      <c r="G1144" s="4">
        <v>100343</v>
      </c>
      <c r="H1144" s="4">
        <v>3461</v>
      </c>
      <c r="I1144" s="5">
        <v>3.4500000000000003E-2</v>
      </c>
      <c r="J1144" s="2">
        <v>1.08</v>
      </c>
      <c r="K1144" s="6">
        <v>3737.88</v>
      </c>
      <c r="L1144" s="4">
        <v>259</v>
      </c>
      <c r="M1144" s="2">
        <v>14.43</v>
      </c>
      <c r="N1144" s="6">
        <v>51755.16</v>
      </c>
      <c r="O1144" s="6">
        <f t="shared" si="86"/>
        <v>48017.280000000006</v>
      </c>
      <c r="P1144" s="6">
        <f t="shared" si="87"/>
        <v>12.846126681434397</v>
      </c>
      <c r="Q1144" s="3">
        <v>13.85</v>
      </c>
      <c r="R1144" t="str">
        <f t="shared" si="88"/>
        <v>High</v>
      </c>
      <c r="S1144" t="str">
        <f t="shared" si="89"/>
        <v>Valid</v>
      </c>
    </row>
    <row r="1145" spans="1:19" x14ac:dyDescent="0.25">
      <c r="A1145" s="1">
        <v>45494</v>
      </c>
      <c r="B1145" s="1" t="str">
        <f t="shared" si="85"/>
        <v>2024-07</v>
      </c>
      <c r="C1145" t="s">
        <v>18</v>
      </c>
      <c r="D1145" t="s">
        <v>29</v>
      </c>
      <c r="E1145" t="s">
        <v>25</v>
      </c>
      <c r="F1145" t="s">
        <v>17</v>
      </c>
      <c r="G1145" s="4">
        <v>179039</v>
      </c>
      <c r="H1145" s="4">
        <v>14663</v>
      </c>
      <c r="I1145" s="5">
        <v>8.1900000000000001E-2</v>
      </c>
      <c r="J1145" s="2">
        <v>1.36</v>
      </c>
      <c r="K1145" s="6">
        <v>19941.68</v>
      </c>
      <c r="L1145" s="4">
        <v>1151</v>
      </c>
      <c r="M1145" s="2">
        <v>17.329999999999998</v>
      </c>
      <c r="N1145" s="6">
        <v>281693.26</v>
      </c>
      <c r="O1145" s="6">
        <f t="shared" si="86"/>
        <v>261751.58000000002</v>
      </c>
      <c r="P1145" s="6">
        <f t="shared" si="87"/>
        <v>13.125853990235527</v>
      </c>
      <c r="Q1145" s="3">
        <v>14.13</v>
      </c>
      <c r="R1145" t="str">
        <f t="shared" si="88"/>
        <v>High</v>
      </c>
      <c r="S1145" t="str">
        <f t="shared" si="89"/>
        <v>Valid</v>
      </c>
    </row>
    <row r="1146" spans="1:19" x14ac:dyDescent="0.25">
      <c r="A1146" s="1">
        <v>45402</v>
      </c>
      <c r="B1146" s="1" t="str">
        <f t="shared" si="85"/>
        <v>2024-04</v>
      </c>
      <c r="C1146" t="s">
        <v>28</v>
      </c>
      <c r="D1146" t="s">
        <v>29</v>
      </c>
      <c r="E1146" t="s">
        <v>25</v>
      </c>
      <c r="F1146" t="s">
        <v>20</v>
      </c>
      <c r="G1146" s="4">
        <v>13100</v>
      </c>
      <c r="H1146" s="4">
        <v>186</v>
      </c>
      <c r="I1146" s="5">
        <v>1.4200000000000001E-2</v>
      </c>
      <c r="J1146" s="2">
        <v>1.5</v>
      </c>
      <c r="K1146" s="6">
        <v>279</v>
      </c>
      <c r="L1146" s="4">
        <v>10</v>
      </c>
      <c r="M1146" s="2">
        <v>27.9</v>
      </c>
      <c r="N1146" s="6">
        <v>1347.41</v>
      </c>
      <c r="O1146" s="6">
        <f t="shared" si="86"/>
        <v>1068.4100000000001</v>
      </c>
      <c r="P1146" s="6">
        <f t="shared" si="87"/>
        <v>3.8294265232974913</v>
      </c>
      <c r="Q1146" s="3">
        <v>4.83</v>
      </c>
      <c r="R1146" t="str">
        <f t="shared" si="88"/>
        <v>High</v>
      </c>
      <c r="S1146" t="str">
        <f t="shared" si="89"/>
        <v>Valid</v>
      </c>
    </row>
    <row r="1147" spans="1:19" x14ac:dyDescent="0.25">
      <c r="A1147" s="1">
        <v>45326</v>
      </c>
      <c r="B1147" s="1" t="str">
        <f t="shared" si="85"/>
        <v>2024-02</v>
      </c>
      <c r="C1147" t="s">
        <v>14</v>
      </c>
      <c r="D1147" t="s">
        <v>15</v>
      </c>
      <c r="E1147" t="s">
        <v>19</v>
      </c>
      <c r="F1147" t="s">
        <v>17</v>
      </c>
      <c r="G1147" s="4">
        <v>167198</v>
      </c>
      <c r="H1147" s="4">
        <v>5132</v>
      </c>
      <c r="I1147" s="5">
        <v>3.0700000000000002E-2</v>
      </c>
      <c r="J1147" s="2">
        <v>2.31</v>
      </c>
      <c r="K1147" s="6">
        <v>11854.92</v>
      </c>
      <c r="L1147" s="4">
        <v>120</v>
      </c>
      <c r="M1147" s="2">
        <v>98.79</v>
      </c>
      <c r="N1147" s="6">
        <v>19874.34</v>
      </c>
      <c r="O1147" s="6">
        <f t="shared" si="86"/>
        <v>8019.42</v>
      </c>
      <c r="P1147" s="6">
        <f t="shared" si="87"/>
        <v>0.67646344302618655</v>
      </c>
      <c r="Q1147" s="3">
        <v>1.68</v>
      </c>
      <c r="R1147" t="str">
        <f t="shared" si="88"/>
        <v>Medium</v>
      </c>
      <c r="S1147" t="str">
        <f t="shared" si="89"/>
        <v>Valid</v>
      </c>
    </row>
    <row r="1148" spans="1:19" x14ac:dyDescent="0.25">
      <c r="A1148" s="1">
        <v>45543</v>
      </c>
      <c r="B1148" s="1" t="str">
        <f t="shared" si="85"/>
        <v>2024-09</v>
      </c>
      <c r="C1148" t="s">
        <v>28</v>
      </c>
      <c r="D1148" t="s">
        <v>21</v>
      </c>
      <c r="E1148" t="s">
        <v>30</v>
      </c>
      <c r="F1148" t="s">
        <v>20</v>
      </c>
      <c r="G1148" s="4">
        <v>35755</v>
      </c>
      <c r="H1148" s="4">
        <v>672</v>
      </c>
      <c r="I1148" s="5">
        <v>1.8800000000000001E-2</v>
      </c>
      <c r="J1148" s="2">
        <v>2.0099999999999998</v>
      </c>
      <c r="K1148" s="6">
        <v>1350.72</v>
      </c>
      <c r="L1148" s="4">
        <v>39</v>
      </c>
      <c r="M1148" s="2">
        <v>34.630000000000003</v>
      </c>
      <c r="N1148" s="6">
        <v>1411.24</v>
      </c>
      <c r="O1148" s="6">
        <f t="shared" si="86"/>
        <v>60.519999999999982</v>
      </c>
      <c r="P1148" s="6">
        <f t="shared" si="87"/>
        <v>4.4805733238569047E-2</v>
      </c>
      <c r="Q1148" s="3">
        <v>1.04</v>
      </c>
      <c r="R1148" t="str">
        <f t="shared" si="88"/>
        <v>Medium</v>
      </c>
      <c r="S1148" t="str">
        <f t="shared" si="89"/>
        <v>Valid</v>
      </c>
    </row>
    <row r="1149" spans="1:19" x14ac:dyDescent="0.25">
      <c r="A1149" s="1">
        <v>45399</v>
      </c>
      <c r="B1149" s="1" t="str">
        <f t="shared" si="85"/>
        <v>2024-04</v>
      </c>
      <c r="C1149" t="s">
        <v>14</v>
      </c>
      <c r="D1149" t="s">
        <v>29</v>
      </c>
      <c r="E1149" t="s">
        <v>30</v>
      </c>
      <c r="F1149" t="s">
        <v>26</v>
      </c>
      <c r="G1149" s="4">
        <v>177420</v>
      </c>
      <c r="H1149" s="4">
        <v>7646</v>
      </c>
      <c r="I1149" s="5">
        <v>4.3099999999999999E-2</v>
      </c>
      <c r="J1149" s="2">
        <v>2.42</v>
      </c>
      <c r="K1149" s="6">
        <v>18503.32</v>
      </c>
      <c r="L1149" s="4">
        <v>478</v>
      </c>
      <c r="M1149" s="2">
        <v>38.71</v>
      </c>
      <c r="N1149" s="6">
        <v>110744.54</v>
      </c>
      <c r="O1149" s="6">
        <f t="shared" si="86"/>
        <v>92241.22</v>
      </c>
      <c r="P1149" s="6">
        <f t="shared" si="87"/>
        <v>4.9851172654420939</v>
      </c>
      <c r="Q1149" s="3">
        <v>5.99</v>
      </c>
      <c r="R1149" t="str">
        <f t="shared" si="88"/>
        <v>High</v>
      </c>
      <c r="S1149" t="str">
        <f t="shared" si="89"/>
        <v>Valid</v>
      </c>
    </row>
    <row r="1150" spans="1:19" x14ac:dyDescent="0.25">
      <c r="A1150" s="1">
        <v>45343</v>
      </c>
      <c r="B1150" s="1" t="str">
        <f t="shared" si="85"/>
        <v>2024-02</v>
      </c>
      <c r="C1150" t="s">
        <v>14</v>
      </c>
      <c r="D1150" t="s">
        <v>15</v>
      </c>
      <c r="E1150" t="s">
        <v>25</v>
      </c>
      <c r="F1150" t="s">
        <v>17</v>
      </c>
      <c r="G1150" s="4">
        <v>195067</v>
      </c>
      <c r="H1150" s="4">
        <v>9129</v>
      </c>
      <c r="I1150" s="5">
        <v>4.6800000000000001E-2</v>
      </c>
      <c r="J1150" s="2">
        <v>0.95</v>
      </c>
      <c r="K1150" s="6">
        <v>8672.5499999999993</v>
      </c>
      <c r="L1150" s="4">
        <v>128</v>
      </c>
      <c r="M1150" s="2">
        <v>67.75</v>
      </c>
      <c r="N1150" s="6">
        <v>24006.78</v>
      </c>
      <c r="O1150" s="6">
        <f t="shared" si="86"/>
        <v>15334.23</v>
      </c>
      <c r="P1150" s="6">
        <f t="shared" si="87"/>
        <v>1.7681339398446825</v>
      </c>
      <c r="Q1150" s="3">
        <v>2.77</v>
      </c>
      <c r="R1150" t="str">
        <f t="shared" si="88"/>
        <v>Medium</v>
      </c>
      <c r="S1150" t="str">
        <f t="shared" si="89"/>
        <v>Valid</v>
      </c>
    </row>
    <row r="1151" spans="1:19" x14ac:dyDescent="0.25">
      <c r="A1151" s="1">
        <v>45321</v>
      </c>
      <c r="B1151" s="1" t="str">
        <f t="shared" si="85"/>
        <v>2024-01</v>
      </c>
      <c r="C1151" t="s">
        <v>14</v>
      </c>
      <c r="D1151" t="s">
        <v>29</v>
      </c>
      <c r="E1151" t="s">
        <v>19</v>
      </c>
      <c r="F1151" t="s">
        <v>23</v>
      </c>
      <c r="G1151" s="4">
        <v>44435</v>
      </c>
      <c r="H1151" s="4">
        <v>1453</v>
      </c>
      <c r="I1151" s="5">
        <v>3.27E-2</v>
      </c>
      <c r="J1151" s="2">
        <v>2.68</v>
      </c>
      <c r="K1151" s="6">
        <v>3894.04</v>
      </c>
      <c r="L1151" s="4">
        <v>48</v>
      </c>
      <c r="M1151" s="2">
        <v>81.13</v>
      </c>
      <c r="N1151" s="6">
        <v>6345.04</v>
      </c>
      <c r="O1151" s="6">
        <f t="shared" si="86"/>
        <v>2451</v>
      </c>
      <c r="P1151" s="6">
        <f t="shared" si="87"/>
        <v>0.62942342656983497</v>
      </c>
      <c r="Q1151" s="3">
        <v>1.63</v>
      </c>
      <c r="R1151" t="str">
        <f t="shared" si="88"/>
        <v>Medium</v>
      </c>
      <c r="S1151" t="str">
        <f t="shared" si="89"/>
        <v>Valid</v>
      </c>
    </row>
    <row r="1152" spans="1:19" x14ac:dyDescent="0.25">
      <c r="A1152" s="1">
        <v>45386</v>
      </c>
      <c r="B1152" s="1" t="str">
        <f t="shared" si="85"/>
        <v>2024-04</v>
      </c>
      <c r="C1152" t="s">
        <v>18</v>
      </c>
      <c r="D1152" t="s">
        <v>15</v>
      </c>
      <c r="E1152" t="s">
        <v>25</v>
      </c>
      <c r="F1152" t="s">
        <v>17</v>
      </c>
      <c r="G1152" s="4">
        <v>57448</v>
      </c>
      <c r="H1152" s="4">
        <v>2338</v>
      </c>
      <c r="I1152" s="5">
        <v>4.07E-2</v>
      </c>
      <c r="J1152" s="2">
        <v>0.5</v>
      </c>
      <c r="K1152" s="6">
        <v>1169</v>
      </c>
      <c r="L1152" s="4">
        <v>143</v>
      </c>
      <c r="M1152" s="2">
        <v>8.17</v>
      </c>
      <c r="N1152" s="6">
        <v>25654.560000000001</v>
      </c>
      <c r="O1152" s="6">
        <f t="shared" si="86"/>
        <v>24485.56</v>
      </c>
      <c r="P1152" s="6">
        <f t="shared" si="87"/>
        <v>20.945731394354151</v>
      </c>
      <c r="Q1152" s="3">
        <v>21.95</v>
      </c>
      <c r="R1152" t="str">
        <f t="shared" si="88"/>
        <v>High</v>
      </c>
      <c r="S1152" t="str">
        <f t="shared" si="89"/>
        <v>Valid</v>
      </c>
    </row>
    <row r="1153" spans="1:19" x14ac:dyDescent="0.25">
      <c r="A1153" s="1">
        <v>45297</v>
      </c>
      <c r="B1153" s="1" t="str">
        <f t="shared" si="85"/>
        <v>2024-01</v>
      </c>
      <c r="C1153" t="s">
        <v>14</v>
      </c>
      <c r="D1153" t="s">
        <v>21</v>
      </c>
      <c r="E1153" t="s">
        <v>30</v>
      </c>
      <c r="F1153" t="s">
        <v>20</v>
      </c>
      <c r="G1153" s="4">
        <v>139158</v>
      </c>
      <c r="H1153" s="4">
        <v>3061</v>
      </c>
      <c r="I1153" s="5">
        <v>2.1999999999999999E-2</v>
      </c>
      <c r="J1153" s="2">
        <v>1.27</v>
      </c>
      <c r="K1153" s="6">
        <v>3887.47</v>
      </c>
      <c r="L1153" s="4">
        <v>118</v>
      </c>
      <c r="M1153" s="2">
        <v>32.94</v>
      </c>
      <c r="N1153" s="6">
        <v>15835.46</v>
      </c>
      <c r="O1153" s="6">
        <f t="shared" si="86"/>
        <v>11947.99</v>
      </c>
      <c r="P1153" s="6">
        <f t="shared" si="87"/>
        <v>3.0734616601542908</v>
      </c>
      <c r="Q1153" s="3">
        <v>4.07</v>
      </c>
      <c r="R1153" t="str">
        <f t="shared" si="88"/>
        <v>High</v>
      </c>
      <c r="S1153" t="str">
        <f t="shared" si="89"/>
        <v>Valid</v>
      </c>
    </row>
    <row r="1154" spans="1:19" x14ac:dyDescent="0.25">
      <c r="A1154" s="1">
        <v>45351</v>
      </c>
      <c r="B1154" s="1" t="str">
        <f t="shared" si="85"/>
        <v>2024-02</v>
      </c>
      <c r="C1154" t="s">
        <v>28</v>
      </c>
      <c r="D1154" t="s">
        <v>29</v>
      </c>
      <c r="E1154" t="s">
        <v>22</v>
      </c>
      <c r="F1154" t="s">
        <v>26</v>
      </c>
      <c r="G1154" s="4">
        <v>148463</v>
      </c>
      <c r="H1154" s="4">
        <v>4810</v>
      </c>
      <c r="I1154" s="5">
        <v>3.2399999999999998E-2</v>
      </c>
      <c r="J1154" s="2">
        <v>2.11</v>
      </c>
      <c r="K1154" s="6">
        <v>10149.1</v>
      </c>
      <c r="L1154" s="4">
        <v>286</v>
      </c>
      <c r="M1154" s="2">
        <v>35.49</v>
      </c>
      <c r="N1154" s="6">
        <v>68709.259999999995</v>
      </c>
      <c r="O1154" s="6">
        <f t="shared" si="86"/>
        <v>58560.159999999996</v>
      </c>
      <c r="P1154" s="6">
        <f t="shared" si="87"/>
        <v>5.769985515957079</v>
      </c>
      <c r="Q1154" s="3">
        <v>6.77</v>
      </c>
      <c r="R1154" t="str">
        <f t="shared" si="88"/>
        <v>High</v>
      </c>
      <c r="S1154" t="str">
        <f t="shared" si="89"/>
        <v>Valid</v>
      </c>
    </row>
    <row r="1155" spans="1:19" x14ac:dyDescent="0.25">
      <c r="A1155" s="1">
        <v>45318</v>
      </c>
      <c r="B1155" s="1" t="str">
        <f t="shared" ref="B1155:B1218" si="90">TEXT(A1155, "yyyy-mm")</f>
        <v>2024-01</v>
      </c>
      <c r="C1155" t="s">
        <v>28</v>
      </c>
      <c r="D1155" t="s">
        <v>15</v>
      </c>
      <c r="E1155" t="s">
        <v>30</v>
      </c>
      <c r="F1155" t="s">
        <v>32</v>
      </c>
      <c r="G1155" s="4">
        <v>30123</v>
      </c>
      <c r="H1155" s="4">
        <v>554</v>
      </c>
      <c r="I1155" s="5">
        <v>1.84E-2</v>
      </c>
      <c r="J1155" s="2">
        <v>1.78</v>
      </c>
      <c r="K1155" s="6">
        <v>986.12</v>
      </c>
      <c r="L1155" s="4">
        <v>15</v>
      </c>
      <c r="M1155" s="2">
        <v>65.739999999999995</v>
      </c>
      <c r="N1155" s="6">
        <v>2874.83</v>
      </c>
      <c r="O1155" s="6">
        <f t="shared" ref="O1155:O1218" si="91">N1155-K1155</f>
        <v>1888.71</v>
      </c>
      <c r="P1155" s="6">
        <f t="shared" ref="P1155:P1218" si="92">IFERROR(O1155/K1155, "")</f>
        <v>1.9152942846712369</v>
      </c>
      <c r="Q1155" s="3">
        <v>2.92</v>
      </c>
      <c r="R1155" t="str">
        <f t="shared" ref="R1155:R1218" si="93">IF(Q1155 &gt;= 3, "High", IF(Q1155&gt;=1, "Medium", "Low"))</f>
        <v>Medium</v>
      </c>
      <c r="S1155" t="str">
        <f t="shared" ref="S1155:S1218" si="94">IF(OR(G1155=0, H1155&gt;G1155, L1155&gt;H1155), "Invalid", "Valid")</f>
        <v>Valid</v>
      </c>
    </row>
    <row r="1156" spans="1:19" x14ac:dyDescent="0.25">
      <c r="A1156" s="1">
        <v>45296</v>
      </c>
      <c r="B1156" s="1" t="str">
        <f t="shared" si="90"/>
        <v>2024-01</v>
      </c>
      <c r="C1156" t="s">
        <v>28</v>
      </c>
      <c r="D1156" t="s">
        <v>24</v>
      </c>
      <c r="E1156" t="s">
        <v>30</v>
      </c>
      <c r="F1156" t="s">
        <v>23</v>
      </c>
      <c r="G1156" s="4">
        <v>139257</v>
      </c>
      <c r="H1156" s="4">
        <v>2631</v>
      </c>
      <c r="I1156" s="5">
        <v>1.89E-2</v>
      </c>
      <c r="J1156" s="2">
        <v>1.61</v>
      </c>
      <c r="K1156" s="6">
        <v>4235.91</v>
      </c>
      <c r="L1156" s="4">
        <v>99</v>
      </c>
      <c r="M1156" s="2">
        <v>42.79</v>
      </c>
      <c r="N1156" s="6">
        <v>9781.2800000000007</v>
      </c>
      <c r="O1156" s="6">
        <f t="shared" si="91"/>
        <v>5545.3700000000008</v>
      </c>
      <c r="P1156" s="6">
        <f t="shared" si="92"/>
        <v>1.3091331024502411</v>
      </c>
      <c r="Q1156" s="3">
        <v>2.31</v>
      </c>
      <c r="R1156" t="str">
        <f t="shared" si="93"/>
        <v>Medium</v>
      </c>
      <c r="S1156" t="str">
        <f t="shared" si="94"/>
        <v>Valid</v>
      </c>
    </row>
    <row r="1157" spans="1:19" x14ac:dyDescent="0.25">
      <c r="A1157" s="1">
        <v>45479</v>
      </c>
      <c r="B1157" s="1" t="str">
        <f t="shared" si="90"/>
        <v>2024-07</v>
      </c>
      <c r="C1157" t="s">
        <v>14</v>
      </c>
      <c r="D1157" t="s">
        <v>15</v>
      </c>
      <c r="E1157" t="s">
        <v>22</v>
      </c>
      <c r="F1157" t="s">
        <v>26</v>
      </c>
      <c r="G1157" s="4">
        <v>103053</v>
      </c>
      <c r="H1157" s="4">
        <v>2607</v>
      </c>
      <c r="I1157" s="5">
        <v>2.53E-2</v>
      </c>
      <c r="J1157" s="2">
        <v>2.19</v>
      </c>
      <c r="K1157" s="6">
        <v>5709.33</v>
      </c>
      <c r="L1157" s="4">
        <v>194</v>
      </c>
      <c r="M1157" s="2">
        <v>29.43</v>
      </c>
      <c r="N1157" s="6">
        <v>39533.49</v>
      </c>
      <c r="O1157" s="6">
        <f t="shared" si="91"/>
        <v>33824.159999999996</v>
      </c>
      <c r="P1157" s="6">
        <f t="shared" si="92"/>
        <v>5.924365906332266</v>
      </c>
      <c r="Q1157" s="3">
        <v>6.92</v>
      </c>
      <c r="R1157" t="str">
        <f t="shared" si="93"/>
        <v>High</v>
      </c>
      <c r="S1157" t="str">
        <f t="shared" si="94"/>
        <v>Valid</v>
      </c>
    </row>
    <row r="1158" spans="1:19" x14ac:dyDescent="0.25">
      <c r="A1158" s="1">
        <v>45351</v>
      </c>
      <c r="B1158" s="1" t="str">
        <f t="shared" si="90"/>
        <v>2024-02</v>
      </c>
      <c r="C1158" t="s">
        <v>14</v>
      </c>
      <c r="D1158" t="s">
        <v>29</v>
      </c>
      <c r="E1158" t="s">
        <v>16</v>
      </c>
      <c r="F1158" t="s">
        <v>27</v>
      </c>
      <c r="G1158" s="4">
        <v>44140</v>
      </c>
      <c r="H1158" s="4">
        <v>2101</v>
      </c>
      <c r="I1158" s="5">
        <v>4.7600000000000003E-2</v>
      </c>
      <c r="J1158" s="2">
        <v>1.05</v>
      </c>
      <c r="K1158" s="6">
        <v>2206.0500000000002</v>
      </c>
      <c r="L1158" s="4">
        <v>55</v>
      </c>
      <c r="M1158" s="2">
        <v>40.11</v>
      </c>
      <c r="N1158" s="6">
        <v>6735.72</v>
      </c>
      <c r="O1158" s="6">
        <f t="shared" si="91"/>
        <v>4529.67</v>
      </c>
      <c r="P1158" s="6">
        <f t="shared" si="92"/>
        <v>2.0532943496294278</v>
      </c>
      <c r="Q1158" s="3">
        <v>3.05</v>
      </c>
      <c r="R1158" t="str">
        <f t="shared" si="93"/>
        <v>High</v>
      </c>
      <c r="S1158" t="str">
        <f t="shared" si="94"/>
        <v>Valid</v>
      </c>
    </row>
    <row r="1159" spans="1:19" x14ac:dyDescent="0.25">
      <c r="A1159" s="1">
        <v>45477</v>
      </c>
      <c r="B1159" s="1" t="str">
        <f t="shared" si="90"/>
        <v>2024-07</v>
      </c>
      <c r="C1159" t="s">
        <v>28</v>
      </c>
      <c r="D1159" t="s">
        <v>29</v>
      </c>
      <c r="E1159" t="s">
        <v>25</v>
      </c>
      <c r="F1159" t="s">
        <v>31</v>
      </c>
      <c r="G1159" s="4">
        <v>88698</v>
      </c>
      <c r="H1159" s="4">
        <v>1073</v>
      </c>
      <c r="I1159" s="5">
        <v>1.21E-2</v>
      </c>
      <c r="J1159" s="2">
        <v>0.92</v>
      </c>
      <c r="K1159" s="6">
        <v>987.16</v>
      </c>
      <c r="L1159" s="4">
        <v>43</v>
      </c>
      <c r="M1159" s="2">
        <v>22.96</v>
      </c>
      <c r="N1159" s="6">
        <v>5727.99</v>
      </c>
      <c r="O1159" s="6">
        <f t="shared" si="91"/>
        <v>4740.83</v>
      </c>
      <c r="P1159" s="6">
        <f t="shared" si="92"/>
        <v>4.8024940232586406</v>
      </c>
      <c r="Q1159" s="3">
        <v>5.8</v>
      </c>
      <c r="R1159" t="str">
        <f t="shared" si="93"/>
        <v>High</v>
      </c>
      <c r="S1159" t="str">
        <f t="shared" si="94"/>
        <v>Valid</v>
      </c>
    </row>
    <row r="1160" spans="1:19" x14ac:dyDescent="0.25">
      <c r="A1160" s="1">
        <v>45303</v>
      </c>
      <c r="B1160" s="1" t="str">
        <f t="shared" si="90"/>
        <v>2024-01</v>
      </c>
      <c r="C1160" t="s">
        <v>28</v>
      </c>
      <c r="D1160" t="s">
        <v>29</v>
      </c>
      <c r="E1160" t="s">
        <v>19</v>
      </c>
      <c r="F1160" t="s">
        <v>27</v>
      </c>
      <c r="G1160" s="4">
        <v>182011</v>
      </c>
      <c r="H1160" s="4">
        <v>1911</v>
      </c>
      <c r="I1160" s="5">
        <v>1.0500000000000001E-2</v>
      </c>
      <c r="J1160" s="2">
        <v>0.55000000000000004</v>
      </c>
      <c r="K1160" s="6">
        <v>1051.05</v>
      </c>
      <c r="L1160" s="4">
        <v>35</v>
      </c>
      <c r="M1160" s="2">
        <v>30.03</v>
      </c>
      <c r="N1160" s="6">
        <v>3848.31</v>
      </c>
      <c r="O1160" s="6">
        <f t="shared" si="91"/>
        <v>2797.26</v>
      </c>
      <c r="P1160" s="6">
        <f t="shared" si="92"/>
        <v>2.6613957471100331</v>
      </c>
      <c r="Q1160" s="3">
        <v>3.66</v>
      </c>
      <c r="R1160" t="str">
        <f t="shared" si="93"/>
        <v>High</v>
      </c>
      <c r="S1160" t="str">
        <f t="shared" si="94"/>
        <v>Valid</v>
      </c>
    </row>
    <row r="1161" spans="1:19" x14ac:dyDescent="0.25">
      <c r="A1161" s="1">
        <v>45311</v>
      </c>
      <c r="B1161" s="1" t="str">
        <f t="shared" si="90"/>
        <v>2024-01</v>
      </c>
      <c r="C1161" t="s">
        <v>18</v>
      </c>
      <c r="D1161" t="s">
        <v>29</v>
      </c>
      <c r="E1161" t="s">
        <v>16</v>
      </c>
      <c r="F1161" t="s">
        <v>31</v>
      </c>
      <c r="G1161" s="4">
        <v>29180</v>
      </c>
      <c r="H1161" s="4">
        <v>1464</v>
      </c>
      <c r="I1161" s="5">
        <v>5.0200000000000002E-2</v>
      </c>
      <c r="J1161" s="2">
        <v>0.53</v>
      </c>
      <c r="K1161" s="6">
        <v>775.92</v>
      </c>
      <c r="L1161" s="4">
        <v>59</v>
      </c>
      <c r="M1161" s="2">
        <v>13.15</v>
      </c>
      <c r="N1161" s="6">
        <v>11729.57</v>
      </c>
      <c r="O1161" s="6">
        <f t="shared" si="91"/>
        <v>10953.65</v>
      </c>
      <c r="P1161" s="6">
        <f t="shared" si="92"/>
        <v>14.11698370966079</v>
      </c>
      <c r="Q1161" s="3">
        <v>15.12</v>
      </c>
      <c r="R1161" t="str">
        <f t="shared" si="93"/>
        <v>High</v>
      </c>
      <c r="S1161" t="str">
        <f t="shared" si="94"/>
        <v>Valid</v>
      </c>
    </row>
    <row r="1162" spans="1:19" x14ac:dyDescent="0.25">
      <c r="A1162" s="1">
        <v>45304</v>
      </c>
      <c r="B1162" s="1" t="str">
        <f t="shared" si="90"/>
        <v>2024-01</v>
      </c>
      <c r="C1162" t="s">
        <v>28</v>
      </c>
      <c r="D1162" t="s">
        <v>21</v>
      </c>
      <c r="E1162" t="s">
        <v>30</v>
      </c>
      <c r="F1162" t="s">
        <v>20</v>
      </c>
      <c r="G1162" s="4">
        <v>138686</v>
      </c>
      <c r="H1162" s="4">
        <v>2621</v>
      </c>
      <c r="I1162" s="5">
        <v>1.89E-2</v>
      </c>
      <c r="J1162" s="2">
        <v>1.52</v>
      </c>
      <c r="K1162" s="6">
        <v>3983.92</v>
      </c>
      <c r="L1162" s="4">
        <v>195</v>
      </c>
      <c r="M1162" s="2">
        <v>20.43</v>
      </c>
      <c r="N1162" s="6">
        <v>52398.49</v>
      </c>
      <c r="O1162" s="6">
        <f t="shared" si="91"/>
        <v>48414.57</v>
      </c>
      <c r="P1162" s="6">
        <f t="shared" si="92"/>
        <v>12.152495532038795</v>
      </c>
      <c r="Q1162" s="3">
        <v>13.15</v>
      </c>
      <c r="R1162" t="str">
        <f t="shared" si="93"/>
        <v>High</v>
      </c>
      <c r="S1162" t="str">
        <f t="shared" si="94"/>
        <v>Valid</v>
      </c>
    </row>
    <row r="1163" spans="1:19" x14ac:dyDescent="0.25">
      <c r="A1163" s="1">
        <v>45557</v>
      </c>
      <c r="B1163" s="1" t="str">
        <f t="shared" si="90"/>
        <v>2024-09</v>
      </c>
      <c r="C1163" t="s">
        <v>14</v>
      </c>
      <c r="D1163" t="s">
        <v>15</v>
      </c>
      <c r="E1163" t="s">
        <v>16</v>
      </c>
      <c r="F1163" t="s">
        <v>31</v>
      </c>
      <c r="G1163" s="4">
        <v>181976</v>
      </c>
      <c r="H1163" s="4">
        <v>7752</v>
      </c>
      <c r="I1163" s="5">
        <v>4.2599999999999999E-2</v>
      </c>
      <c r="J1163" s="2">
        <v>1.72</v>
      </c>
      <c r="K1163" s="6">
        <v>13333.44</v>
      </c>
      <c r="L1163" s="4">
        <v>255</v>
      </c>
      <c r="M1163" s="2">
        <v>52.29</v>
      </c>
      <c r="N1163" s="6">
        <v>75491.87</v>
      </c>
      <c r="O1163" s="6">
        <f t="shared" si="91"/>
        <v>62158.429999999993</v>
      </c>
      <c r="P1163" s="6">
        <f t="shared" si="92"/>
        <v>4.6618449552403574</v>
      </c>
      <c r="Q1163" s="3">
        <v>5.66</v>
      </c>
      <c r="R1163" t="str">
        <f t="shared" si="93"/>
        <v>High</v>
      </c>
      <c r="S1163" t="str">
        <f t="shared" si="94"/>
        <v>Valid</v>
      </c>
    </row>
    <row r="1164" spans="1:19" x14ac:dyDescent="0.25">
      <c r="A1164" s="1">
        <v>45636</v>
      </c>
      <c r="B1164" s="1" t="str">
        <f t="shared" si="90"/>
        <v>2024-12</v>
      </c>
      <c r="C1164" t="s">
        <v>14</v>
      </c>
      <c r="D1164" t="s">
        <v>24</v>
      </c>
      <c r="E1164" t="s">
        <v>22</v>
      </c>
      <c r="F1164" t="s">
        <v>20</v>
      </c>
      <c r="G1164" s="4">
        <v>103902</v>
      </c>
      <c r="H1164" s="4">
        <v>3927</v>
      </c>
      <c r="I1164" s="5">
        <v>3.78E-2</v>
      </c>
      <c r="J1164" s="2">
        <v>1.1599999999999999</v>
      </c>
      <c r="K1164" s="6">
        <v>4555.32</v>
      </c>
      <c r="L1164" s="4">
        <v>215</v>
      </c>
      <c r="M1164" s="2">
        <v>21.19</v>
      </c>
      <c r="N1164" s="6">
        <v>37434.379999999997</v>
      </c>
      <c r="O1164" s="6">
        <f t="shared" si="91"/>
        <v>32879.06</v>
      </c>
      <c r="P1164" s="6">
        <f t="shared" si="92"/>
        <v>7.2177278434884924</v>
      </c>
      <c r="Q1164" s="3">
        <v>8.2200000000000006</v>
      </c>
      <c r="R1164" t="str">
        <f t="shared" si="93"/>
        <v>High</v>
      </c>
      <c r="S1164" t="str">
        <f t="shared" si="94"/>
        <v>Valid</v>
      </c>
    </row>
    <row r="1165" spans="1:19" x14ac:dyDescent="0.25">
      <c r="A1165" s="1">
        <v>45387</v>
      </c>
      <c r="B1165" s="1" t="str">
        <f t="shared" si="90"/>
        <v>2024-04</v>
      </c>
      <c r="C1165" t="s">
        <v>18</v>
      </c>
      <c r="D1165" t="s">
        <v>29</v>
      </c>
      <c r="E1165" t="s">
        <v>25</v>
      </c>
      <c r="F1165" t="s">
        <v>27</v>
      </c>
      <c r="G1165" s="4">
        <v>132081</v>
      </c>
      <c r="H1165" s="4">
        <v>10051</v>
      </c>
      <c r="I1165" s="5">
        <v>7.6100000000000001E-2</v>
      </c>
      <c r="J1165" s="2">
        <v>0.71</v>
      </c>
      <c r="K1165" s="6">
        <v>7136.21</v>
      </c>
      <c r="L1165" s="4">
        <v>229</v>
      </c>
      <c r="M1165" s="2">
        <v>31.16</v>
      </c>
      <c r="N1165" s="6">
        <v>62261.45</v>
      </c>
      <c r="O1165" s="6">
        <f t="shared" si="91"/>
        <v>55125.24</v>
      </c>
      <c r="P1165" s="6">
        <f t="shared" si="92"/>
        <v>7.7247222265039843</v>
      </c>
      <c r="Q1165" s="3">
        <v>8.7200000000000006</v>
      </c>
      <c r="R1165" t="str">
        <f t="shared" si="93"/>
        <v>High</v>
      </c>
      <c r="S1165" t="str">
        <f t="shared" si="94"/>
        <v>Valid</v>
      </c>
    </row>
    <row r="1166" spans="1:19" x14ac:dyDescent="0.25">
      <c r="A1166" s="1">
        <v>45430</v>
      </c>
      <c r="B1166" s="1" t="str">
        <f t="shared" si="90"/>
        <v>2024-05</v>
      </c>
      <c r="C1166" t="s">
        <v>28</v>
      </c>
      <c r="D1166" t="s">
        <v>21</v>
      </c>
      <c r="E1166" t="s">
        <v>30</v>
      </c>
      <c r="F1166" t="s">
        <v>20</v>
      </c>
      <c r="G1166" s="4">
        <v>25077</v>
      </c>
      <c r="H1166" s="4">
        <v>341</v>
      </c>
      <c r="I1166" s="5">
        <v>1.3599999999999999E-2</v>
      </c>
      <c r="J1166" s="2">
        <v>0.42</v>
      </c>
      <c r="K1166" s="6">
        <v>143.22</v>
      </c>
      <c r="L1166" s="4">
        <v>5</v>
      </c>
      <c r="M1166" s="2">
        <v>28.64</v>
      </c>
      <c r="N1166" s="6">
        <v>779.52</v>
      </c>
      <c r="O1166" s="6">
        <f t="shared" si="91"/>
        <v>636.29999999999995</v>
      </c>
      <c r="P1166" s="6">
        <f t="shared" si="92"/>
        <v>4.4428152492668618</v>
      </c>
      <c r="Q1166" s="3">
        <v>5.44</v>
      </c>
      <c r="R1166" t="str">
        <f t="shared" si="93"/>
        <v>High</v>
      </c>
      <c r="S1166" t="str">
        <f t="shared" si="94"/>
        <v>Valid</v>
      </c>
    </row>
    <row r="1167" spans="1:19" x14ac:dyDescent="0.25">
      <c r="A1167" s="1">
        <v>45398</v>
      </c>
      <c r="B1167" s="1" t="str">
        <f t="shared" si="90"/>
        <v>2024-04</v>
      </c>
      <c r="C1167" t="s">
        <v>28</v>
      </c>
      <c r="D1167" t="s">
        <v>21</v>
      </c>
      <c r="E1167" t="s">
        <v>30</v>
      </c>
      <c r="F1167" t="s">
        <v>17</v>
      </c>
      <c r="G1167" s="4">
        <v>113987</v>
      </c>
      <c r="H1167" s="4">
        <v>3579</v>
      </c>
      <c r="I1167" s="5">
        <v>3.1399999999999997E-2</v>
      </c>
      <c r="J1167" s="2">
        <v>0.76</v>
      </c>
      <c r="K1167" s="6">
        <v>2720.04</v>
      </c>
      <c r="L1167" s="4">
        <v>229</v>
      </c>
      <c r="M1167" s="2">
        <v>11.88</v>
      </c>
      <c r="N1167" s="6">
        <v>31787.48</v>
      </c>
      <c r="O1167" s="6">
        <f t="shared" si="91"/>
        <v>29067.439999999999</v>
      </c>
      <c r="P1167" s="6">
        <f t="shared" si="92"/>
        <v>10.686401670563669</v>
      </c>
      <c r="Q1167" s="3">
        <v>11.69</v>
      </c>
      <c r="R1167" t="str">
        <f t="shared" si="93"/>
        <v>High</v>
      </c>
      <c r="S1167" t="str">
        <f t="shared" si="94"/>
        <v>Valid</v>
      </c>
    </row>
    <row r="1168" spans="1:19" x14ac:dyDescent="0.25">
      <c r="A1168" s="1">
        <v>45371</v>
      </c>
      <c r="B1168" s="1" t="str">
        <f t="shared" si="90"/>
        <v>2024-03</v>
      </c>
      <c r="C1168" t="s">
        <v>28</v>
      </c>
      <c r="D1168" t="s">
        <v>24</v>
      </c>
      <c r="E1168" t="s">
        <v>16</v>
      </c>
      <c r="F1168" t="s">
        <v>27</v>
      </c>
      <c r="G1168" s="4">
        <v>14705</v>
      </c>
      <c r="H1168" s="4">
        <v>363</v>
      </c>
      <c r="I1168" s="5">
        <v>2.47E-2</v>
      </c>
      <c r="J1168" s="2">
        <v>0.94</v>
      </c>
      <c r="K1168" s="6">
        <v>341.22</v>
      </c>
      <c r="L1168" s="4">
        <v>4</v>
      </c>
      <c r="M1168" s="2">
        <v>85.31</v>
      </c>
      <c r="N1168" s="6">
        <v>738.37</v>
      </c>
      <c r="O1168" s="6">
        <f t="shared" si="91"/>
        <v>397.15</v>
      </c>
      <c r="P1168" s="6">
        <f t="shared" si="92"/>
        <v>1.1639118457300275</v>
      </c>
      <c r="Q1168" s="3">
        <v>2.16</v>
      </c>
      <c r="R1168" t="str">
        <f t="shared" si="93"/>
        <v>Medium</v>
      </c>
      <c r="S1168" t="str">
        <f t="shared" si="94"/>
        <v>Valid</v>
      </c>
    </row>
    <row r="1169" spans="1:19" x14ac:dyDescent="0.25">
      <c r="A1169" s="1">
        <v>45445</v>
      </c>
      <c r="B1169" s="1" t="str">
        <f t="shared" si="90"/>
        <v>2024-06</v>
      </c>
      <c r="C1169" t="s">
        <v>14</v>
      </c>
      <c r="D1169" t="s">
        <v>15</v>
      </c>
      <c r="E1169" t="s">
        <v>19</v>
      </c>
      <c r="F1169" t="s">
        <v>23</v>
      </c>
      <c r="G1169" s="4">
        <v>16955</v>
      </c>
      <c r="H1169" s="4">
        <v>440</v>
      </c>
      <c r="I1169" s="5">
        <v>2.5999999999999999E-2</v>
      </c>
      <c r="J1169" s="2">
        <v>1.82</v>
      </c>
      <c r="K1169" s="6">
        <v>800.8</v>
      </c>
      <c r="L1169" s="4">
        <v>30</v>
      </c>
      <c r="M1169" s="2">
        <v>26.69</v>
      </c>
      <c r="N1169" s="6">
        <v>3274.44</v>
      </c>
      <c r="O1169" s="6">
        <f t="shared" si="91"/>
        <v>2473.6400000000003</v>
      </c>
      <c r="P1169" s="6">
        <f t="shared" si="92"/>
        <v>3.0889610389610396</v>
      </c>
      <c r="Q1169" s="3">
        <v>4.09</v>
      </c>
      <c r="R1169" t="str">
        <f t="shared" si="93"/>
        <v>High</v>
      </c>
      <c r="S1169" t="str">
        <f t="shared" si="94"/>
        <v>Valid</v>
      </c>
    </row>
    <row r="1170" spans="1:19" x14ac:dyDescent="0.25">
      <c r="A1170" s="1">
        <v>45557</v>
      </c>
      <c r="B1170" s="1" t="str">
        <f t="shared" si="90"/>
        <v>2024-09</v>
      </c>
      <c r="C1170" t="s">
        <v>28</v>
      </c>
      <c r="D1170" t="s">
        <v>29</v>
      </c>
      <c r="E1170" t="s">
        <v>30</v>
      </c>
      <c r="F1170" t="s">
        <v>31</v>
      </c>
      <c r="G1170" s="4">
        <v>127082</v>
      </c>
      <c r="H1170" s="4">
        <v>2452</v>
      </c>
      <c r="I1170" s="5">
        <v>1.9300000000000001E-2</v>
      </c>
      <c r="J1170" s="2">
        <v>2.1800000000000002</v>
      </c>
      <c r="K1170" s="6">
        <v>5345.36</v>
      </c>
      <c r="L1170" s="4">
        <v>53</v>
      </c>
      <c r="M1170" s="2">
        <v>100.86</v>
      </c>
      <c r="N1170" s="6">
        <v>8408.4500000000007</v>
      </c>
      <c r="O1170" s="6">
        <f t="shared" si="91"/>
        <v>3063.0900000000011</v>
      </c>
      <c r="P1170" s="6">
        <f t="shared" si="92"/>
        <v>0.57303717616774197</v>
      </c>
      <c r="Q1170" s="3">
        <v>1.57</v>
      </c>
      <c r="R1170" t="str">
        <f t="shared" si="93"/>
        <v>Medium</v>
      </c>
      <c r="S1170" t="str">
        <f t="shared" si="94"/>
        <v>Valid</v>
      </c>
    </row>
    <row r="1171" spans="1:19" x14ac:dyDescent="0.25">
      <c r="A1171" s="1">
        <v>45335</v>
      </c>
      <c r="B1171" s="1" t="str">
        <f t="shared" si="90"/>
        <v>2024-02</v>
      </c>
      <c r="C1171" t="s">
        <v>28</v>
      </c>
      <c r="D1171" t="s">
        <v>21</v>
      </c>
      <c r="E1171" t="s">
        <v>30</v>
      </c>
      <c r="F1171" t="s">
        <v>31</v>
      </c>
      <c r="G1171" s="4">
        <v>57299</v>
      </c>
      <c r="H1171" s="4">
        <v>1186</v>
      </c>
      <c r="I1171" s="5">
        <v>2.07E-2</v>
      </c>
      <c r="J1171" s="2">
        <v>1.35</v>
      </c>
      <c r="K1171" s="6">
        <v>1601.1</v>
      </c>
      <c r="L1171" s="4">
        <v>25</v>
      </c>
      <c r="M1171" s="2">
        <v>64.040000000000006</v>
      </c>
      <c r="N1171" s="6">
        <v>5383.27</v>
      </c>
      <c r="O1171" s="6">
        <f t="shared" si="91"/>
        <v>3782.1700000000005</v>
      </c>
      <c r="P1171" s="6">
        <f t="shared" si="92"/>
        <v>2.3622322153519462</v>
      </c>
      <c r="Q1171" s="3">
        <v>3.36</v>
      </c>
      <c r="R1171" t="str">
        <f t="shared" si="93"/>
        <v>High</v>
      </c>
      <c r="S1171" t="str">
        <f t="shared" si="94"/>
        <v>Valid</v>
      </c>
    </row>
    <row r="1172" spans="1:19" x14ac:dyDescent="0.25">
      <c r="A1172" s="1">
        <v>45462</v>
      </c>
      <c r="B1172" s="1" t="str">
        <f t="shared" si="90"/>
        <v>2024-06</v>
      </c>
      <c r="C1172" t="s">
        <v>28</v>
      </c>
      <c r="D1172" t="s">
        <v>24</v>
      </c>
      <c r="E1172" t="s">
        <v>16</v>
      </c>
      <c r="F1172" t="s">
        <v>32</v>
      </c>
      <c r="G1172" s="4">
        <v>134986</v>
      </c>
      <c r="H1172" s="4">
        <v>4346</v>
      </c>
      <c r="I1172" s="5">
        <v>3.2199999999999999E-2</v>
      </c>
      <c r="J1172" s="2">
        <v>1.63</v>
      </c>
      <c r="K1172" s="6">
        <v>7083.98</v>
      </c>
      <c r="L1172" s="4">
        <v>149</v>
      </c>
      <c r="M1172" s="2">
        <v>47.54</v>
      </c>
      <c r="N1172" s="6">
        <v>28100.44</v>
      </c>
      <c r="O1172" s="6">
        <f t="shared" si="91"/>
        <v>21016.46</v>
      </c>
      <c r="P1172" s="6">
        <f t="shared" si="92"/>
        <v>2.966758799431958</v>
      </c>
      <c r="Q1172" s="3">
        <v>3.97</v>
      </c>
      <c r="R1172" t="str">
        <f t="shared" si="93"/>
        <v>High</v>
      </c>
      <c r="S1172" t="str">
        <f t="shared" si="94"/>
        <v>Valid</v>
      </c>
    </row>
    <row r="1173" spans="1:19" x14ac:dyDescent="0.25">
      <c r="A1173" s="1">
        <v>45495</v>
      </c>
      <c r="B1173" s="1" t="str">
        <f t="shared" si="90"/>
        <v>2024-07</v>
      </c>
      <c r="C1173" t="s">
        <v>14</v>
      </c>
      <c r="D1173" t="s">
        <v>29</v>
      </c>
      <c r="E1173" t="s">
        <v>30</v>
      </c>
      <c r="F1173" t="s">
        <v>32</v>
      </c>
      <c r="G1173" s="4">
        <v>12546</v>
      </c>
      <c r="H1173" s="4">
        <v>725</v>
      </c>
      <c r="I1173" s="5">
        <v>5.7799999999999997E-2</v>
      </c>
      <c r="J1173" s="2">
        <v>1.45</v>
      </c>
      <c r="K1173" s="6">
        <v>1051.25</v>
      </c>
      <c r="L1173" s="4">
        <v>43</v>
      </c>
      <c r="M1173" s="2">
        <v>24.45</v>
      </c>
      <c r="N1173" s="6">
        <v>2269.7800000000002</v>
      </c>
      <c r="O1173" s="6">
        <f t="shared" si="91"/>
        <v>1218.5300000000002</v>
      </c>
      <c r="P1173" s="6">
        <f t="shared" si="92"/>
        <v>1.1591248513674199</v>
      </c>
      <c r="Q1173" s="3">
        <v>2.16</v>
      </c>
      <c r="R1173" t="str">
        <f t="shared" si="93"/>
        <v>Medium</v>
      </c>
      <c r="S1173" t="str">
        <f t="shared" si="94"/>
        <v>Valid</v>
      </c>
    </row>
    <row r="1174" spans="1:19" x14ac:dyDescent="0.25">
      <c r="A1174" s="1">
        <v>45439</v>
      </c>
      <c r="B1174" s="1" t="str">
        <f t="shared" si="90"/>
        <v>2024-05</v>
      </c>
      <c r="C1174" t="s">
        <v>14</v>
      </c>
      <c r="D1174" t="s">
        <v>15</v>
      </c>
      <c r="E1174" t="s">
        <v>16</v>
      </c>
      <c r="F1174" t="s">
        <v>27</v>
      </c>
      <c r="G1174" s="4">
        <v>161554</v>
      </c>
      <c r="H1174" s="4">
        <v>6252</v>
      </c>
      <c r="I1174" s="5">
        <v>3.8699999999999998E-2</v>
      </c>
      <c r="J1174" s="2">
        <v>3.05</v>
      </c>
      <c r="K1174" s="6">
        <v>19068.599999999999</v>
      </c>
      <c r="L1174" s="4">
        <v>361</v>
      </c>
      <c r="M1174" s="2">
        <v>52.82</v>
      </c>
      <c r="N1174" s="6">
        <v>57767.01</v>
      </c>
      <c r="O1174" s="6">
        <f t="shared" si="91"/>
        <v>38698.410000000003</v>
      </c>
      <c r="P1174" s="6">
        <f t="shared" si="92"/>
        <v>2.0294311066360406</v>
      </c>
      <c r="Q1174" s="3">
        <v>3.03</v>
      </c>
      <c r="R1174" t="str">
        <f t="shared" si="93"/>
        <v>High</v>
      </c>
      <c r="S1174" t="str">
        <f t="shared" si="94"/>
        <v>Valid</v>
      </c>
    </row>
    <row r="1175" spans="1:19" x14ac:dyDescent="0.25">
      <c r="A1175" s="1">
        <v>45316</v>
      </c>
      <c r="B1175" s="1" t="str">
        <f t="shared" si="90"/>
        <v>2024-01</v>
      </c>
      <c r="C1175" t="s">
        <v>28</v>
      </c>
      <c r="D1175" t="s">
        <v>15</v>
      </c>
      <c r="E1175" t="s">
        <v>22</v>
      </c>
      <c r="F1175" t="s">
        <v>31</v>
      </c>
      <c r="G1175" s="4">
        <v>27499</v>
      </c>
      <c r="H1175" s="4">
        <v>728</v>
      </c>
      <c r="I1175" s="5">
        <v>2.6499999999999999E-2</v>
      </c>
      <c r="J1175" s="2">
        <v>1.07</v>
      </c>
      <c r="K1175" s="6">
        <v>778.96</v>
      </c>
      <c r="L1175" s="4">
        <v>17</v>
      </c>
      <c r="M1175" s="2">
        <v>45.82</v>
      </c>
      <c r="N1175" s="6">
        <v>3860.75</v>
      </c>
      <c r="O1175" s="6">
        <f t="shared" si="91"/>
        <v>3081.79</v>
      </c>
      <c r="P1175" s="6">
        <f t="shared" si="92"/>
        <v>3.9562878710074969</v>
      </c>
      <c r="Q1175" s="3">
        <v>4.96</v>
      </c>
      <c r="R1175" t="str">
        <f t="shared" si="93"/>
        <v>High</v>
      </c>
      <c r="S1175" t="str">
        <f t="shared" si="94"/>
        <v>Valid</v>
      </c>
    </row>
    <row r="1176" spans="1:19" x14ac:dyDescent="0.25">
      <c r="A1176" s="1">
        <v>45646</v>
      </c>
      <c r="B1176" s="1" t="str">
        <f t="shared" si="90"/>
        <v>2024-12</v>
      </c>
      <c r="C1176" t="s">
        <v>18</v>
      </c>
      <c r="D1176" t="s">
        <v>29</v>
      </c>
      <c r="E1176" t="s">
        <v>19</v>
      </c>
      <c r="F1176" t="s">
        <v>31</v>
      </c>
      <c r="G1176" s="4">
        <v>153936</v>
      </c>
      <c r="H1176" s="4">
        <v>5895</v>
      </c>
      <c r="I1176" s="5">
        <v>3.8300000000000001E-2</v>
      </c>
      <c r="J1176" s="2">
        <v>0.89</v>
      </c>
      <c r="K1176" s="6">
        <v>5246.55</v>
      </c>
      <c r="L1176" s="4">
        <v>373</v>
      </c>
      <c r="M1176" s="2">
        <v>14.07</v>
      </c>
      <c r="N1176" s="6">
        <v>85268.07</v>
      </c>
      <c r="O1176" s="6">
        <f t="shared" si="91"/>
        <v>80021.52</v>
      </c>
      <c r="P1176" s="6">
        <f t="shared" si="92"/>
        <v>15.252217171283986</v>
      </c>
      <c r="Q1176" s="3">
        <v>16.25</v>
      </c>
      <c r="R1176" t="str">
        <f t="shared" si="93"/>
        <v>High</v>
      </c>
      <c r="S1176" t="str">
        <f t="shared" si="94"/>
        <v>Valid</v>
      </c>
    </row>
    <row r="1177" spans="1:19" x14ac:dyDescent="0.25">
      <c r="A1177" s="1">
        <v>45389</v>
      </c>
      <c r="B1177" s="1" t="str">
        <f t="shared" si="90"/>
        <v>2024-04</v>
      </c>
      <c r="C1177" t="s">
        <v>18</v>
      </c>
      <c r="D1177" t="s">
        <v>29</v>
      </c>
      <c r="E1177" t="s">
        <v>30</v>
      </c>
      <c r="F1177" t="s">
        <v>26</v>
      </c>
      <c r="G1177" s="4">
        <v>41232</v>
      </c>
      <c r="H1177" s="4">
        <v>1859</v>
      </c>
      <c r="I1177" s="5">
        <v>4.5100000000000001E-2</v>
      </c>
      <c r="J1177" s="2">
        <v>1.06</v>
      </c>
      <c r="K1177" s="6">
        <v>1970.54</v>
      </c>
      <c r="L1177" s="4">
        <v>126</v>
      </c>
      <c r="M1177" s="2">
        <v>15.64</v>
      </c>
      <c r="N1177" s="6">
        <v>22069.99</v>
      </c>
      <c r="O1177" s="6">
        <f t="shared" si="91"/>
        <v>20099.45</v>
      </c>
      <c r="P1177" s="6">
        <f t="shared" si="92"/>
        <v>10.199970566443717</v>
      </c>
      <c r="Q1177" s="3">
        <v>11.2</v>
      </c>
      <c r="R1177" t="str">
        <f t="shared" si="93"/>
        <v>High</v>
      </c>
      <c r="S1177" t="str">
        <f t="shared" si="94"/>
        <v>Valid</v>
      </c>
    </row>
    <row r="1178" spans="1:19" x14ac:dyDescent="0.25">
      <c r="A1178" s="1">
        <v>45338</v>
      </c>
      <c r="B1178" s="1" t="str">
        <f t="shared" si="90"/>
        <v>2024-02</v>
      </c>
      <c r="C1178" t="s">
        <v>28</v>
      </c>
      <c r="D1178" t="s">
        <v>21</v>
      </c>
      <c r="E1178" t="s">
        <v>22</v>
      </c>
      <c r="F1178" t="s">
        <v>27</v>
      </c>
      <c r="G1178" s="4">
        <v>133088</v>
      </c>
      <c r="H1178" s="4">
        <v>5243</v>
      </c>
      <c r="I1178" s="5">
        <v>3.9399999999999998E-2</v>
      </c>
      <c r="J1178" s="2">
        <v>1.68</v>
      </c>
      <c r="K1178" s="6">
        <v>8808.24</v>
      </c>
      <c r="L1178" s="4">
        <v>226</v>
      </c>
      <c r="M1178" s="2">
        <v>38.97</v>
      </c>
      <c r="N1178" s="6">
        <v>48389.85</v>
      </c>
      <c r="O1178" s="6">
        <f t="shared" si="91"/>
        <v>39581.61</v>
      </c>
      <c r="P1178" s="6">
        <f t="shared" si="92"/>
        <v>4.4937024876706362</v>
      </c>
      <c r="Q1178" s="3">
        <v>5.49</v>
      </c>
      <c r="R1178" t="str">
        <f t="shared" si="93"/>
        <v>High</v>
      </c>
      <c r="S1178" t="str">
        <f t="shared" si="94"/>
        <v>Valid</v>
      </c>
    </row>
    <row r="1179" spans="1:19" x14ac:dyDescent="0.25">
      <c r="A1179" s="1">
        <v>45400</v>
      </c>
      <c r="B1179" s="1" t="str">
        <f t="shared" si="90"/>
        <v>2024-04</v>
      </c>
      <c r="C1179" t="s">
        <v>28</v>
      </c>
      <c r="D1179" t="s">
        <v>15</v>
      </c>
      <c r="E1179" t="s">
        <v>25</v>
      </c>
      <c r="F1179" t="s">
        <v>32</v>
      </c>
      <c r="G1179" s="4">
        <v>33082</v>
      </c>
      <c r="H1179" s="4">
        <v>340</v>
      </c>
      <c r="I1179" s="5">
        <v>1.03E-2</v>
      </c>
      <c r="J1179" s="2">
        <v>1.86</v>
      </c>
      <c r="K1179" s="6">
        <v>632.4</v>
      </c>
      <c r="L1179" s="4">
        <v>9</v>
      </c>
      <c r="M1179" s="2">
        <v>70.27</v>
      </c>
      <c r="N1179" s="6">
        <v>2116.06</v>
      </c>
      <c r="O1179" s="6">
        <f t="shared" si="91"/>
        <v>1483.6599999999999</v>
      </c>
      <c r="P1179" s="6">
        <f t="shared" si="92"/>
        <v>2.3460784313725487</v>
      </c>
      <c r="Q1179" s="3">
        <v>3.35</v>
      </c>
      <c r="R1179" t="str">
        <f t="shared" si="93"/>
        <v>High</v>
      </c>
      <c r="S1179" t="str">
        <f t="shared" si="94"/>
        <v>Valid</v>
      </c>
    </row>
    <row r="1180" spans="1:19" x14ac:dyDescent="0.25">
      <c r="A1180" s="1">
        <v>45398</v>
      </c>
      <c r="B1180" s="1" t="str">
        <f t="shared" si="90"/>
        <v>2024-04</v>
      </c>
      <c r="C1180" t="s">
        <v>28</v>
      </c>
      <c r="D1180" t="s">
        <v>29</v>
      </c>
      <c r="E1180" t="s">
        <v>16</v>
      </c>
      <c r="F1180" t="s">
        <v>26</v>
      </c>
      <c r="G1180" s="4">
        <v>179504</v>
      </c>
      <c r="H1180" s="4">
        <v>5026</v>
      </c>
      <c r="I1180" s="5">
        <v>2.8000000000000001E-2</v>
      </c>
      <c r="J1180" s="2">
        <v>1.1100000000000001</v>
      </c>
      <c r="K1180" s="6">
        <v>5578.86</v>
      </c>
      <c r="L1180" s="4">
        <v>203</v>
      </c>
      <c r="M1180" s="2">
        <v>27.48</v>
      </c>
      <c r="N1180" s="6">
        <v>10121.879999999999</v>
      </c>
      <c r="O1180" s="6">
        <f t="shared" si="91"/>
        <v>4543.0199999999995</v>
      </c>
      <c r="P1180" s="6">
        <f t="shared" si="92"/>
        <v>0.81432765833880039</v>
      </c>
      <c r="Q1180" s="3">
        <v>1.81</v>
      </c>
      <c r="R1180" t="str">
        <f t="shared" si="93"/>
        <v>Medium</v>
      </c>
      <c r="S1180" t="str">
        <f t="shared" si="94"/>
        <v>Valid</v>
      </c>
    </row>
    <row r="1181" spans="1:19" x14ac:dyDescent="0.25">
      <c r="A1181" s="1">
        <v>45454</v>
      </c>
      <c r="B1181" s="1" t="str">
        <f t="shared" si="90"/>
        <v>2024-06</v>
      </c>
      <c r="C1181" t="s">
        <v>28</v>
      </c>
      <c r="D1181" t="s">
        <v>24</v>
      </c>
      <c r="E1181" t="s">
        <v>22</v>
      </c>
      <c r="F1181" t="s">
        <v>23</v>
      </c>
      <c r="G1181" s="4">
        <v>16344</v>
      </c>
      <c r="H1181" s="4">
        <v>534</v>
      </c>
      <c r="I1181" s="5">
        <v>3.27E-2</v>
      </c>
      <c r="J1181" s="2">
        <v>0.9</v>
      </c>
      <c r="K1181" s="6">
        <v>480.6</v>
      </c>
      <c r="L1181" s="4">
        <v>11</v>
      </c>
      <c r="M1181" s="2">
        <v>43.69</v>
      </c>
      <c r="N1181" s="6">
        <v>465.35</v>
      </c>
      <c r="O1181" s="6">
        <f t="shared" si="91"/>
        <v>-15.25</v>
      </c>
      <c r="P1181" s="6">
        <f t="shared" si="92"/>
        <v>-3.1731169371618809E-2</v>
      </c>
      <c r="Q1181" s="3">
        <v>0.97</v>
      </c>
      <c r="R1181" t="str">
        <f t="shared" si="93"/>
        <v>Low</v>
      </c>
      <c r="S1181" t="str">
        <f t="shared" si="94"/>
        <v>Valid</v>
      </c>
    </row>
    <row r="1182" spans="1:19" x14ac:dyDescent="0.25">
      <c r="A1182" s="1">
        <v>45356</v>
      </c>
      <c r="B1182" s="1" t="str">
        <f t="shared" si="90"/>
        <v>2024-03</v>
      </c>
      <c r="C1182" t="s">
        <v>18</v>
      </c>
      <c r="D1182" t="s">
        <v>29</v>
      </c>
      <c r="E1182" t="s">
        <v>30</v>
      </c>
      <c r="F1182" t="s">
        <v>27</v>
      </c>
      <c r="G1182" s="4">
        <v>196312</v>
      </c>
      <c r="H1182" s="4">
        <v>12642</v>
      </c>
      <c r="I1182" s="5">
        <v>6.4399999999999999E-2</v>
      </c>
      <c r="J1182" s="2">
        <v>1.28</v>
      </c>
      <c r="K1182" s="6">
        <v>16181.76</v>
      </c>
      <c r="L1182" s="4">
        <v>584</v>
      </c>
      <c r="M1182" s="2">
        <v>27.71</v>
      </c>
      <c r="N1182" s="6">
        <v>148695.91</v>
      </c>
      <c r="O1182" s="6">
        <f t="shared" si="91"/>
        <v>132514.15</v>
      </c>
      <c r="P1182" s="6">
        <f t="shared" si="92"/>
        <v>8.1891061293703515</v>
      </c>
      <c r="Q1182" s="3">
        <v>9.19</v>
      </c>
      <c r="R1182" t="str">
        <f t="shared" si="93"/>
        <v>High</v>
      </c>
      <c r="S1182" t="str">
        <f t="shared" si="94"/>
        <v>Valid</v>
      </c>
    </row>
    <row r="1183" spans="1:19" x14ac:dyDescent="0.25">
      <c r="A1183" s="1">
        <v>45596</v>
      </c>
      <c r="B1183" s="1" t="str">
        <f t="shared" si="90"/>
        <v>2024-10</v>
      </c>
      <c r="C1183" t="s">
        <v>18</v>
      </c>
      <c r="D1183" t="s">
        <v>24</v>
      </c>
      <c r="E1183" t="s">
        <v>30</v>
      </c>
      <c r="F1183" t="s">
        <v>23</v>
      </c>
      <c r="G1183" s="4">
        <v>17626</v>
      </c>
      <c r="H1183" s="4">
        <v>1113</v>
      </c>
      <c r="I1183" s="5">
        <v>6.3200000000000006E-2</v>
      </c>
      <c r="J1183" s="2">
        <v>0.54</v>
      </c>
      <c r="K1183" s="6">
        <v>601.02</v>
      </c>
      <c r="L1183" s="4">
        <v>50</v>
      </c>
      <c r="M1183" s="2">
        <v>12.02</v>
      </c>
      <c r="N1183" s="6">
        <v>2568.5100000000002</v>
      </c>
      <c r="O1183" s="6">
        <f t="shared" si="91"/>
        <v>1967.4900000000002</v>
      </c>
      <c r="P1183" s="6">
        <f t="shared" si="92"/>
        <v>3.2735849056603779</v>
      </c>
      <c r="Q1183" s="3">
        <v>4.2699999999999996</v>
      </c>
      <c r="R1183" t="str">
        <f t="shared" si="93"/>
        <v>High</v>
      </c>
      <c r="S1183" t="str">
        <f t="shared" si="94"/>
        <v>Valid</v>
      </c>
    </row>
    <row r="1184" spans="1:19" x14ac:dyDescent="0.25">
      <c r="A1184" s="1">
        <v>45434</v>
      </c>
      <c r="B1184" s="1" t="str">
        <f t="shared" si="90"/>
        <v>2024-05</v>
      </c>
      <c r="C1184" t="s">
        <v>28</v>
      </c>
      <c r="D1184" t="s">
        <v>24</v>
      </c>
      <c r="E1184" t="s">
        <v>25</v>
      </c>
      <c r="F1184" t="s">
        <v>26</v>
      </c>
      <c r="G1184" s="4">
        <v>46603</v>
      </c>
      <c r="H1184" s="4">
        <v>955</v>
      </c>
      <c r="I1184" s="5">
        <v>2.0500000000000001E-2</v>
      </c>
      <c r="J1184" s="2">
        <v>0.69</v>
      </c>
      <c r="K1184" s="6">
        <v>658.95</v>
      </c>
      <c r="L1184" s="4">
        <v>23</v>
      </c>
      <c r="M1184" s="2">
        <v>28.65</v>
      </c>
      <c r="N1184" s="6">
        <v>2614.4899999999998</v>
      </c>
      <c r="O1184" s="6">
        <f t="shared" si="91"/>
        <v>1955.5399999999997</v>
      </c>
      <c r="P1184" s="6">
        <f t="shared" si="92"/>
        <v>2.9676606722816596</v>
      </c>
      <c r="Q1184" s="3">
        <v>3.97</v>
      </c>
      <c r="R1184" t="str">
        <f t="shared" si="93"/>
        <v>High</v>
      </c>
      <c r="S1184" t="str">
        <f t="shared" si="94"/>
        <v>Valid</v>
      </c>
    </row>
    <row r="1185" spans="1:19" x14ac:dyDescent="0.25">
      <c r="A1185" s="1">
        <v>45319</v>
      </c>
      <c r="B1185" s="1" t="str">
        <f t="shared" si="90"/>
        <v>2024-01</v>
      </c>
      <c r="C1185" t="s">
        <v>28</v>
      </c>
      <c r="D1185" t="s">
        <v>15</v>
      </c>
      <c r="E1185" t="s">
        <v>19</v>
      </c>
      <c r="F1185" t="s">
        <v>17</v>
      </c>
      <c r="G1185" s="4">
        <v>113878</v>
      </c>
      <c r="H1185" s="4">
        <v>3678</v>
      </c>
      <c r="I1185" s="5">
        <v>3.2300000000000002E-2</v>
      </c>
      <c r="J1185" s="2">
        <v>0.92</v>
      </c>
      <c r="K1185" s="6">
        <v>3383.76</v>
      </c>
      <c r="L1185" s="4">
        <v>216</v>
      </c>
      <c r="M1185" s="2">
        <v>15.67</v>
      </c>
      <c r="N1185" s="6">
        <v>62162.63</v>
      </c>
      <c r="O1185" s="6">
        <f t="shared" si="91"/>
        <v>58778.869999999995</v>
      </c>
      <c r="P1185" s="6">
        <f t="shared" si="92"/>
        <v>17.370874411896821</v>
      </c>
      <c r="Q1185" s="3">
        <v>18.37</v>
      </c>
      <c r="R1185" t="str">
        <f t="shared" si="93"/>
        <v>High</v>
      </c>
      <c r="S1185" t="str">
        <f t="shared" si="94"/>
        <v>Valid</v>
      </c>
    </row>
    <row r="1186" spans="1:19" x14ac:dyDescent="0.25">
      <c r="A1186" s="1">
        <v>45436</v>
      </c>
      <c r="B1186" s="1" t="str">
        <f t="shared" si="90"/>
        <v>2024-05</v>
      </c>
      <c r="C1186" t="s">
        <v>28</v>
      </c>
      <c r="D1186" t="s">
        <v>29</v>
      </c>
      <c r="E1186" t="s">
        <v>30</v>
      </c>
      <c r="F1186" t="s">
        <v>27</v>
      </c>
      <c r="G1186" s="4">
        <v>196354</v>
      </c>
      <c r="H1186" s="4">
        <v>2945</v>
      </c>
      <c r="I1186" s="5">
        <v>1.4999999999999999E-2</v>
      </c>
      <c r="J1186" s="2">
        <v>1.1100000000000001</v>
      </c>
      <c r="K1186" s="6">
        <v>3268.95</v>
      </c>
      <c r="L1186" s="4">
        <v>177</v>
      </c>
      <c r="M1186" s="2">
        <v>18.47</v>
      </c>
      <c r="N1186" s="6">
        <v>7478.3</v>
      </c>
      <c r="O1186" s="6">
        <f t="shared" si="91"/>
        <v>4209.3500000000004</v>
      </c>
      <c r="P1186" s="6">
        <f t="shared" si="92"/>
        <v>1.287676471038101</v>
      </c>
      <c r="Q1186" s="3">
        <v>2.29</v>
      </c>
      <c r="R1186" t="str">
        <f t="shared" si="93"/>
        <v>Medium</v>
      </c>
      <c r="S1186" t="str">
        <f t="shared" si="94"/>
        <v>Valid</v>
      </c>
    </row>
    <row r="1187" spans="1:19" x14ac:dyDescent="0.25">
      <c r="A1187" s="1">
        <v>45498</v>
      </c>
      <c r="B1187" s="1" t="str">
        <f t="shared" si="90"/>
        <v>2024-07</v>
      </c>
      <c r="C1187" t="s">
        <v>28</v>
      </c>
      <c r="D1187" t="s">
        <v>21</v>
      </c>
      <c r="E1187" t="s">
        <v>19</v>
      </c>
      <c r="F1187" t="s">
        <v>32</v>
      </c>
      <c r="G1187" s="4">
        <v>62194</v>
      </c>
      <c r="H1187" s="4">
        <v>2039</v>
      </c>
      <c r="I1187" s="5">
        <v>3.2800000000000003E-2</v>
      </c>
      <c r="J1187" s="2">
        <v>1.84</v>
      </c>
      <c r="K1187" s="6">
        <v>3751.76</v>
      </c>
      <c r="L1187" s="4">
        <v>129</v>
      </c>
      <c r="M1187" s="2">
        <v>29.08</v>
      </c>
      <c r="N1187" s="6">
        <v>23854.38</v>
      </c>
      <c r="O1187" s="6">
        <f t="shared" si="91"/>
        <v>20102.620000000003</v>
      </c>
      <c r="P1187" s="6">
        <f t="shared" si="92"/>
        <v>5.358183892359853</v>
      </c>
      <c r="Q1187" s="3">
        <v>6.36</v>
      </c>
      <c r="R1187" t="str">
        <f t="shared" si="93"/>
        <v>High</v>
      </c>
      <c r="S1187" t="str">
        <f t="shared" si="94"/>
        <v>Valid</v>
      </c>
    </row>
    <row r="1188" spans="1:19" x14ac:dyDescent="0.25">
      <c r="A1188" s="1">
        <v>45613</v>
      </c>
      <c r="B1188" s="1" t="str">
        <f t="shared" si="90"/>
        <v>2024-11</v>
      </c>
      <c r="C1188" t="s">
        <v>18</v>
      </c>
      <c r="D1188" t="s">
        <v>24</v>
      </c>
      <c r="E1188" t="s">
        <v>22</v>
      </c>
      <c r="F1188" t="s">
        <v>26</v>
      </c>
      <c r="G1188" s="4">
        <v>56069</v>
      </c>
      <c r="H1188" s="4">
        <v>2949</v>
      </c>
      <c r="I1188" s="5">
        <v>5.2600000000000001E-2</v>
      </c>
      <c r="J1188" s="2">
        <v>0.85</v>
      </c>
      <c r="K1188" s="6">
        <v>2506.65</v>
      </c>
      <c r="L1188" s="4">
        <v>150</v>
      </c>
      <c r="M1188" s="2">
        <v>16.71</v>
      </c>
      <c r="N1188" s="6">
        <v>29064.28</v>
      </c>
      <c r="O1188" s="6">
        <f t="shared" si="91"/>
        <v>26557.629999999997</v>
      </c>
      <c r="P1188" s="6">
        <f t="shared" si="92"/>
        <v>10.594869646739671</v>
      </c>
      <c r="Q1188" s="3">
        <v>11.59</v>
      </c>
      <c r="R1188" t="str">
        <f t="shared" si="93"/>
        <v>High</v>
      </c>
      <c r="S1188" t="str">
        <f t="shared" si="94"/>
        <v>Valid</v>
      </c>
    </row>
    <row r="1189" spans="1:19" x14ac:dyDescent="0.25">
      <c r="A1189" s="1">
        <v>45491</v>
      </c>
      <c r="B1189" s="1" t="str">
        <f t="shared" si="90"/>
        <v>2024-07</v>
      </c>
      <c r="C1189" t="s">
        <v>28</v>
      </c>
      <c r="D1189" t="s">
        <v>15</v>
      </c>
      <c r="E1189" t="s">
        <v>19</v>
      </c>
      <c r="F1189" t="s">
        <v>17</v>
      </c>
      <c r="G1189" s="4">
        <v>18706</v>
      </c>
      <c r="H1189" s="4">
        <v>458</v>
      </c>
      <c r="I1189" s="5">
        <v>2.4500000000000001E-2</v>
      </c>
      <c r="J1189" s="2">
        <v>0.44</v>
      </c>
      <c r="K1189" s="6">
        <v>201.52</v>
      </c>
      <c r="L1189" s="4">
        <v>35</v>
      </c>
      <c r="M1189" s="2">
        <v>5.76</v>
      </c>
      <c r="N1189" s="6">
        <v>7330.28</v>
      </c>
      <c r="O1189" s="6">
        <f t="shared" si="91"/>
        <v>7128.7599999999993</v>
      </c>
      <c r="P1189" s="6">
        <f t="shared" si="92"/>
        <v>35.374950377133779</v>
      </c>
      <c r="Q1189" s="3">
        <v>36.369999999999997</v>
      </c>
      <c r="R1189" t="str">
        <f t="shared" si="93"/>
        <v>High</v>
      </c>
      <c r="S1189" t="str">
        <f t="shared" si="94"/>
        <v>Valid</v>
      </c>
    </row>
    <row r="1190" spans="1:19" x14ac:dyDescent="0.25">
      <c r="A1190" s="1">
        <v>45373</v>
      </c>
      <c r="B1190" s="1" t="str">
        <f t="shared" si="90"/>
        <v>2024-03</v>
      </c>
      <c r="C1190" t="s">
        <v>18</v>
      </c>
      <c r="D1190" t="s">
        <v>21</v>
      </c>
      <c r="E1190" t="s">
        <v>25</v>
      </c>
      <c r="F1190" t="s">
        <v>27</v>
      </c>
      <c r="G1190" s="4">
        <v>49390</v>
      </c>
      <c r="H1190" s="4">
        <v>3368</v>
      </c>
      <c r="I1190" s="5">
        <v>6.8199999999999997E-2</v>
      </c>
      <c r="J1190" s="2">
        <v>1.65</v>
      </c>
      <c r="K1190" s="6">
        <v>5557.2</v>
      </c>
      <c r="L1190" s="4">
        <v>195</v>
      </c>
      <c r="M1190" s="2">
        <v>28.5</v>
      </c>
      <c r="N1190" s="6">
        <v>57395.9</v>
      </c>
      <c r="O1190" s="6">
        <f t="shared" si="91"/>
        <v>51838.700000000004</v>
      </c>
      <c r="P1190" s="6">
        <f t="shared" si="92"/>
        <v>9.3282048513639975</v>
      </c>
      <c r="Q1190" s="3">
        <v>10.33</v>
      </c>
      <c r="R1190" t="str">
        <f t="shared" si="93"/>
        <v>High</v>
      </c>
      <c r="S1190" t="str">
        <f t="shared" si="94"/>
        <v>Valid</v>
      </c>
    </row>
    <row r="1191" spans="1:19" x14ac:dyDescent="0.25">
      <c r="A1191" s="1">
        <v>45492</v>
      </c>
      <c r="B1191" s="1" t="str">
        <f t="shared" si="90"/>
        <v>2024-07</v>
      </c>
      <c r="C1191" t="s">
        <v>14</v>
      </c>
      <c r="D1191" t="s">
        <v>24</v>
      </c>
      <c r="E1191" t="s">
        <v>16</v>
      </c>
      <c r="F1191" t="s">
        <v>31</v>
      </c>
      <c r="G1191" s="4">
        <v>23773</v>
      </c>
      <c r="H1191" s="4">
        <v>461</v>
      </c>
      <c r="I1191" s="5">
        <v>1.9400000000000001E-2</v>
      </c>
      <c r="J1191" s="2">
        <v>1.6</v>
      </c>
      <c r="K1191" s="6">
        <v>737.6</v>
      </c>
      <c r="L1191" s="4">
        <v>5</v>
      </c>
      <c r="M1191" s="2">
        <v>147.52000000000001</v>
      </c>
      <c r="N1191" s="6">
        <v>642.97</v>
      </c>
      <c r="O1191" s="6">
        <f t="shared" si="91"/>
        <v>-94.63</v>
      </c>
      <c r="P1191" s="6">
        <f t="shared" si="92"/>
        <v>-0.12829446854663773</v>
      </c>
      <c r="Q1191" s="3">
        <v>0.87</v>
      </c>
      <c r="R1191" t="str">
        <f t="shared" si="93"/>
        <v>Low</v>
      </c>
      <c r="S1191" t="str">
        <f t="shared" si="94"/>
        <v>Valid</v>
      </c>
    </row>
    <row r="1192" spans="1:19" x14ac:dyDescent="0.25">
      <c r="A1192" s="1">
        <v>45538</v>
      </c>
      <c r="B1192" s="1" t="str">
        <f t="shared" si="90"/>
        <v>2024-09</v>
      </c>
      <c r="C1192" t="s">
        <v>28</v>
      </c>
      <c r="D1192" t="s">
        <v>15</v>
      </c>
      <c r="E1192" t="s">
        <v>30</v>
      </c>
      <c r="F1192" t="s">
        <v>27</v>
      </c>
      <c r="G1192" s="4">
        <v>19959</v>
      </c>
      <c r="H1192" s="4">
        <v>586</v>
      </c>
      <c r="I1192" s="5">
        <v>2.9399999999999999E-2</v>
      </c>
      <c r="J1192" s="2">
        <v>1.99</v>
      </c>
      <c r="K1192" s="6">
        <v>1166.1400000000001</v>
      </c>
      <c r="L1192" s="4">
        <v>17</v>
      </c>
      <c r="M1192" s="2">
        <v>68.599999999999994</v>
      </c>
      <c r="N1192" s="6">
        <v>4432.12</v>
      </c>
      <c r="O1192" s="6">
        <f t="shared" si="91"/>
        <v>3265.9799999999996</v>
      </c>
      <c r="P1192" s="6">
        <f t="shared" si="92"/>
        <v>2.8006757336168895</v>
      </c>
      <c r="Q1192" s="3">
        <v>3.8</v>
      </c>
      <c r="R1192" t="str">
        <f t="shared" si="93"/>
        <v>High</v>
      </c>
      <c r="S1192" t="str">
        <f t="shared" si="94"/>
        <v>Valid</v>
      </c>
    </row>
    <row r="1193" spans="1:19" x14ac:dyDescent="0.25">
      <c r="A1193" s="1">
        <v>45321</v>
      </c>
      <c r="B1193" s="1" t="str">
        <f t="shared" si="90"/>
        <v>2024-01</v>
      </c>
      <c r="C1193" t="s">
        <v>28</v>
      </c>
      <c r="D1193" t="s">
        <v>29</v>
      </c>
      <c r="E1193" t="s">
        <v>16</v>
      </c>
      <c r="F1193" t="s">
        <v>17</v>
      </c>
      <c r="G1193" s="4">
        <v>166155</v>
      </c>
      <c r="H1193" s="4">
        <v>6048</v>
      </c>
      <c r="I1193" s="5">
        <v>3.6400000000000002E-2</v>
      </c>
      <c r="J1193" s="2">
        <v>1.46</v>
      </c>
      <c r="K1193" s="6">
        <v>8830.08</v>
      </c>
      <c r="L1193" s="4">
        <v>260</v>
      </c>
      <c r="M1193" s="2">
        <v>33.96</v>
      </c>
      <c r="N1193" s="6">
        <v>28494.38</v>
      </c>
      <c r="O1193" s="6">
        <f t="shared" si="91"/>
        <v>19664.300000000003</v>
      </c>
      <c r="P1193" s="6">
        <f t="shared" si="92"/>
        <v>2.2269673660940787</v>
      </c>
      <c r="Q1193" s="3">
        <v>3.23</v>
      </c>
      <c r="R1193" t="str">
        <f t="shared" si="93"/>
        <v>High</v>
      </c>
      <c r="S1193" t="str">
        <f t="shared" si="94"/>
        <v>Valid</v>
      </c>
    </row>
    <row r="1194" spans="1:19" x14ac:dyDescent="0.25">
      <c r="A1194" s="1">
        <v>45350</v>
      </c>
      <c r="B1194" s="1" t="str">
        <f t="shared" si="90"/>
        <v>2024-02</v>
      </c>
      <c r="C1194" t="s">
        <v>18</v>
      </c>
      <c r="D1194" t="s">
        <v>24</v>
      </c>
      <c r="E1194" t="s">
        <v>25</v>
      </c>
      <c r="F1194" t="s">
        <v>17</v>
      </c>
      <c r="G1194" s="4">
        <v>50819</v>
      </c>
      <c r="H1194" s="4">
        <v>3206</v>
      </c>
      <c r="I1194" s="5">
        <v>6.3100000000000003E-2</v>
      </c>
      <c r="J1194" s="2">
        <v>0.95</v>
      </c>
      <c r="K1194" s="6">
        <v>3045.7</v>
      </c>
      <c r="L1194" s="4">
        <v>222</v>
      </c>
      <c r="M1194" s="2">
        <v>13.72</v>
      </c>
      <c r="N1194" s="6">
        <v>24319.42</v>
      </c>
      <c r="O1194" s="6">
        <f t="shared" si="91"/>
        <v>21273.719999999998</v>
      </c>
      <c r="P1194" s="6">
        <f t="shared" si="92"/>
        <v>6.9848376399514063</v>
      </c>
      <c r="Q1194" s="3">
        <v>7.98</v>
      </c>
      <c r="R1194" t="str">
        <f t="shared" si="93"/>
        <v>High</v>
      </c>
      <c r="S1194" t="str">
        <f t="shared" si="94"/>
        <v>Valid</v>
      </c>
    </row>
    <row r="1195" spans="1:19" x14ac:dyDescent="0.25">
      <c r="A1195" s="1">
        <v>45532</v>
      </c>
      <c r="B1195" s="1" t="str">
        <f t="shared" si="90"/>
        <v>2024-08</v>
      </c>
      <c r="C1195" t="s">
        <v>14</v>
      </c>
      <c r="D1195" t="s">
        <v>29</v>
      </c>
      <c r="E1195" t="s">
        <v>22</v>
      </c>
      <c r="F1195" t="s">
        <v>20</v>
      </c>
      <c r="G1195" s="4">
        <v>15796</v>
      </c>
      <c r="H1195" s="4">
        <v>301</v>
      </c>
      <c r="I1195" s="5">
        <v>1.9099999999999999E-2</v>
      </c>
      <c r="J1195" s="2">
        <v>1.91</v>
      </c>
      <c r="K1195" s="6">
        <v>574.91</v>
      </c>
      <c r="L1195" s="4">
        <v>17</v>
      </c>
      <c r="M1195" s="2">
        <v>33.82</v>
      </c>
      <c r="N1195" s="6">
        <v>1137.71</v>
      </c>
      <c r="O1195" s="6">
        <f t="shared" si="91"/>
        <v>562.80000000000007</v>
      </c>
      <c r="P1195" s="6">
        <f t="shared" si="92"/>
        <v>0.97893583343479862</v>
      </c>
      <c r="Q1195" s="3">
        <v>1.98</v>
      </c>
      <c r="R1195" t="str">
        <f t="shared" si="93"/>
        <v>Medium</v>
      </c>
      <c r="S1195" t="str">
        <f t="shared" si="94"/>
        <v>Valid</v>
      </c>
    </row>
    <row r="1196" spans="1:19" x14ac:dyDescent="0.25">
      <c r="A1196" s="1">
        <v>45346</v>
      </c>
      <c r="B1196" s="1" t="str">
        <f t="shared" si="90"/>
        <v>2024-02</v>
      </c>
      <c r="C1196" t="s">
        <v>18</v>
      </c>
      <c r="D1196" t="s">
        <v>29</v>
      </c>
      <c r="E1196" t="s">
        <v>30</v>
      </c>
      <c r="F1196" t="s">
        <v>31</v>
      </c>
      <c r="G1196" s="4">
        <v>133422</v>
      </c>
      <c r="H1196" s="4">
        <v>8458</v>
      </c>
      <c r="I1196" s="5">
        <v>6.3399999999999998E-2</v>
      </c>
      <c r="J1196" s="2">
        <v>0.82</v>
      </c>
      <c r="K1196" s="6">
        <v>6935.56</v>
      </c>
      <c r="L1196" s="4">
        <v>663</v>
      </c>
      <c r="M1196" s="2">
        <v>10.46</v>
      </c>
      <c r="N1196" s="6">
        <v>111531.65</v>
      </c>
      <c r="O1196" s="6">
        <f t="shared" si="91"/>
        <v>104596.09</v>
      </c>
      <c r="P1196" s="6">
        <f t="shared" si="92"/>
        <v>15.081131155955681</v>
      </c>
      <c r="Q1196" s="3">
        <v>16.079999999999998</v>
      </c>
      <c r="R1196" t="str">
        <f t="shared" si="93"/>
        <v>High</v>
      </c>
      <c r="S1196" t="str">
        <f t="shared" si="94"/>
        <v>Valid</v>
      </c>
    </row>
    <row r="1197" spans="1:19" x14ac:dyDescent="0.25">
      <c r="A1197" s="1">
        <v>45410</v>
      </c>
      <c r="B1197" s="1" t="str">
        <f t="shared" si="90"/>
        <v>2024-04</v>
      </c>
      <c r="C1197" t="s">
        <v>28</v>
      </c>
      <c r="D1197" t="s">
        <v>21</v>
      </c>
      <c r="E1197" t="s">
        <v>19</v>
      </c>
      <c r="F1197" t="s">
        <v>26</v>
      </c>
      <c r="G1197" s="4">
        <v>181026</v>
      </c>
      <c r="H1197" s="4">
        <v>2769</v>
      </c>
      <c r="I1197" s="5">
        <v>1.5299999999999999E-2</v>
      </c>
      <c r="J1197" s="2">
        <v>1.06</v>
      </c>
      <c r="K1197" s="6">
        <v>2935.14</v>
      </c>
      <c r="L1197" s="4">
        <v>155</v>
      </c>
      <c r="M1197" s="2">
        <v>18.940000000000001</v>
      </c>
      <c r="N1197" s="6">
        <v>18246.009999999998</v>
      </c>
      <c r="O1197" s="6">
        <f t="shared" si="91"/>
        <v>15310.869999999999</v>
      </c>
      <c r="P1197" s="6">
        <f t="shared" si="92"/>
        <v>5.2164019433485285</v>
      </c>
      <c r="Q1197" s="3">
        <v>6.22</v>
      </c>
      <c r="R1197" t="str">
        <f t="shared" si="93"/>
        <v>High</v>
      </c>
      <c r="S1197" t="str">
        <f t="shared" si="94"/>
        <v>Valid</v>
      </c>
    </row>
    <row r="1198" spans="1:19" x14ac:dyDescent="0.25">
      <c r="A1198" s="1">
        <v>45368</v>
      </c>
      <c r="B1198" s="1" t="str">
        <f t="shared" si="90"/>
        <v>2024-03</v>
      </c>
      <c r="C1198" t="s">
        <v>28</v>
      </c>
      <c r="D1198" t="s">
        <v>24</v>
      </c>
      <c r="E1198" t="s">
        <v>30</v>
      </c>
      <c r="F1198" t="s">
        <v>26</v>
      </c>
      <c r="G1198" s="4">
        <v>57784</v>
      </c>
      <c r="H1198" s="4">
        <v>907</v>
      </c>
      <c r="I1198" s="5">
        <v>1.5699999999999999E-2</v>
      </c>
      <c r="J1198" s="2">
        <v>1.21</v>
      </c>
      <c r="K1198" s="6">
        <v>1097.47</v>
      </c>
      <c r="L1198" s="4">
        <v>54</v>
      </c>
      <c r="M1198" s="2">
        <v>20.32</v>
      </c>
      <c r="N1198" s="6">
        <v>2856.1</v>
      </c>
      <c r="O1198" s="6">
        <f t="shared" si="91"/>
        <v>1758.6299999999999</v>
      </c>
      <c r="P1198" s="6">
        <f t="shared" si="92"/>
        <v>1.6024401578175256</v>
      </c>
      <c r="Q1198" s="3">
        <v>2.6</v>
      </c>
      <c r="R1198" t="str">
        <f t="shared" si="93"/>
        <v>Medium</v>
      </c>
      <c r="S1198" t="str">
        <f t="shared" si="94"/>
        <v>Valid</v>
      </c>
    </row>
    <row r="1199" spans="1:19" x14ac:dyDescent="0.25">
      <c r="A1199" s="1">
        <v>45465</v>
      </c>
      <c r="B1199" s="1" t="str">
        <f t="shared" si="90"/>
        <v>2024-06</v>
      </c>
      <c r="C1199" t="s">
        <v>28</v>
      </c>
      <c r="D1199" t="s">
        <v>15</v>
      </c>
      <c r="E1199" t="s">
        <v>30</v>
      </c>
      <c r="F1199" t="s">
        <v>31</v>
      </c>
      <c r="G1199" s="4">
        <v>81023</v>
      </c>
      <c r="H1199" s="4">
        <v>1944</v>
      </c>
      <c r="I1199" s="5">
        <v>2.4E-2</v>
      </c>
      <c r="J1199" s="2">
        <v>1.31</v>
      </c>
      <c r="K1199" s="6">
        <v>2546.64</v>
      </c>
      <c r="L1199" s="4">
        <v>146</v>
      </c>
      <c r="M1199" s="2">
        <v>17.440000000000001</v>
      </c>
      <c r="N1199" s="6">
        <v>32752.99</v>
      </c>
      <c r="O1199" s="6">
        <f t="shared" si="91"/>
        <v>30206.350000000002</v>
      </c>
      <c r="P1199" s="6">
        <f t="shared" si="92"/>
        <v>11.861256400590584</v>
      </c>
      <c r="Q1199" s="3">
        <v>12.86</v>
      </c>
      <c r="R1199" t="str">
        <f t="shared" si="93"/>
        <v>High</v>
      </c>
      <c r="S1199" t="str">
        <f t="shared" si="94"/>
        <v>Valid</v>
      </c>
    </row>
    <row r="1200" spans="1:19" x14ac:dyDescent="0.25">
      <c r="A1200" s="1">
        <v>45481</v>
      </c>
      <c r="B1200" s="1" t="str">
        <f t="shared" si="90"/>
        <v>2024-07</v>
      </c>
      <c r="C1200" t="s">
        <v>14</v>
      </c>
      <c r="D1200" t="s">
        <v>24</v>
      </c>
      <c r="E1200" t="s">
        <v>19</v>
      </c>
      <c r="F1200" t="s">
        <v>23</v>
      </c>
      <c r="G1200" s="4">
        <v>93623</v>
      </c>
      <c r="H1200" s="4">
        <v>6319</v>
      </c>
      <c r="I1200" s="5">
        <v>6.7500000000000004E-2</v>
      </c>
      <c r="J1200" s="2">
        <v>1.25</v>
      </c>
      <c r="K1200" s="6">
        <v>7898.75</v>
      </c>
      <c r="L1200" s="4">
        <v>83</v>
      </c>
      <c r="M1200" s="2">
        <v>95.17</v>
      </c>
      <c r="N1200" s="6">
        <v>20925.73</v>
      </c>
      <c r="O1200" s="6">
        <f t="shared" si="91"/>
        <v>13026.98</v>
      </c>
      <c r="P1200" s="6">
        <f t="shared" si="92"/>
        <v>1.6492457667352429</v>
      </c>
      <c r="Q1200" s="3">
        <v>2.65</v>
      </c>
      <c r="R1200" t="str">
        <f t="shared" si="93"/>
        <v>Medium</v>
      </c>
      <c r="S1200" t="str">
        <f t="shared" si="94"/>
        <v>Valid</v>
      </c>
    </row>
    <row r="1201" spans="1:19" x14ac:dyDescent="0.25">
      <c r="A1201" s="1">
        <v>45424</v>
      </c>
      <c r="B1201" s="1" t="str">
        <f t="shared" si="90"/>
        <v>2024-05</v>
      </c>
      <c r="C1201" t="s">
        <v>18</v>
      </c>
      <c r="D1201" t="s">
        <v>15</v>
      </c>
      <c r="E1201" t="s">
        <v>19</v>
      </c>
      <c r="F1201" t="s">
        <v>26</v>
      </c>
      <c r="G1201" s="4">
        <v>118483</v>
      </c>
      <c r="H1201" s="4">
        <v>8826</v>
      </c>
      <c r="I1201" s="5">
        <v>7.4499999999999997E-2</v>
      </c>
      <c r="J1201" s="2">
        <v>1.69</v>
      </c>
      <c r="K1201" s="6">
        <v>14915.94</v>
      </c>
      <c r="L1201" s="4">
        <v>570</v>
      </c>
      <c r="M1201" s="2">
        <v>26.17</v>
      </c>
      <c r="N1201" s="6">
        <v>139364.5</v>
      </c>
      <c r="O1201" s="6">
        <f t="shared" si="91"/>
        <v>124448.56</v>
      </c>
      <c r="P1201" s="6">
        <f t="shared" si="92"/>
        <v>8.3433266693215433</v>
      </c>
      <c r="Q1201" s="3">
        <v>9.34</v>
      </c>
      <c r="R1201" t="str">
        <f t="shared" si="93"/>
        <v>High</v>
      </c>
      <c r="S1201" t="str">
        <f t="shared" si="94"/>
        <v>Valid</v>
      </c>
    </row>
    <row r="1202" spans="1:19" x14ac:dyDescent="0.25">
      <c r="A1202" s="1">
        <v>45412</v>
      </c>
      <c r="B1202" s="1" t="str">
        <f t="shared" si="90"/>
        <v>2024-04</v>
      </c>
      <c r="C1202" t="s">
        <v>14</v>
      </c>
      <c r="D1202" t="s">
        <v>24</v>
      </c>
      <c r="E1202" t="s">
        <v>22</v>
      </c>
      <c r="F1202" t="s">
        <v>17</v>
      </c>
      <c r="G1202" s="4">
        <v>155018</v>
      </c>
      <c r="H1202" s="4">
        <v>9146</v>
      </c>
      <c r="I1202" s="5">
        <v>5.8999999999999997E-2</v>
      </c>
      <c r="J1202" s="2">
        <v>2.96</v>
      </c>
      <c r="K1202" s="6">
        <v>27072.16</v>
      </c>
      <c r="L1202" s="4">
        <v>495</v>
      </c>
      <c r="M1202" s="2">
        <v>54.69</v>
      </c>
      <c r="N1202" s="6">
        <v>33297.83</v>
      </c>
      <c r="O1202" s="6">
        <f t="shared" si="91"/>
        <v>6225.6700000000019</v>
      </c>
      <c r="P1202" s="6">
        <f t="shared" si="92"/>
        <v>0.2299657655687615</v>
      </c>
      <c r="Q1202" s="3">
        <v>1.23</v>
      </c>
      <c r="R1202" t="str">
        <f t="shared" si="93"/>
        <v>Medium</v>
      </c>
      <c r="S1202" t="str">
        <f t="shared" si="94"/>
        <v>Valid</v>
      </c>
    </row>
    <row r="1203" spans="1:19" x14ac:dyDescent="0.25">
      <c r="A1203" s="1">
        <v>45599</v>
      </c>
      <c r="B1203" s="1" t="str">
        <f t="shared" si="90"/>
        <v>2024-11</v>
      </c>
      <c r="C1203" t="s">
        <v>14</v>
      </c>
      <c r="D1203" t="s">
        <v>15</v>
      </c>
      <c r="E1203" t="s">
        <v>19</v>
      </c>
      <c r="F1203" t="s">
        <v>27</v>
      </c>
      <c r="G1203" s="4">
        <v>13614</v>
      </c>
      <c r="H1203" s="4">
        <v>744</v>
      </c>
      <c r="I1203" s="5">
        <v>5.4699999999999999E-2</v>
      </c>
      <c r="J1203" s="2">
        <v>2.97</v>
      </c>
      <c r="K1203" s="6">
        <v>2209.6799999999998</v>
      </c>
      <c r="L1203" s="4">
        <v>54</v>
      </c>
      <c r="M1203" s="2">
        <v>40.92</v>
      </c>
      <c r="N1203" s="6">
        <v>11111.12</v>
      </c>
      <c r="O1203" s="6">
        <f t="shared" si="91"/>
        <v>8901.44</v>
      </c>
      <c r="P1203" s="6">
        <f t="shared" si="92"/>
        <v>4.0283842004272117</v>
      </c>
      <c r="Q1203" s="3">
        <v>5.03</v>
      </c>
      <c r="R1203" t="str">
        <f t="shared" si="93"/>
        <v>High</v>
      </c>
      <c r="S1203" t="str">
        <f t="shared" si="94"/>
        <v>Valid</v>
      </c>
    </row>
    <row r="1204" spans="1:19" x14ac:dyDescent="0.25">
      <c r="A1204" s="1">
        <v>45642</v>
      </c>
      <c r="B1204" s="1" t="str">
        <f t="shared" si="90"/>
        <v>2024-12</v>
      </c>
      <c r="C1204" t="s">
        <v>14</v>
      </c>
      <c r="D1204" t="s">
        <v>29</v>
      </c>
      <c r="E1204" t="s">
        <v>25</v>
      </c>
      <c r="F1204" t="s">
        <v>32</v>
      </c>
      <c r="G1204" s="4">
        <v>7594</v>
      </c>
      <c r="H1204" s="4">
        <v>225</v>
      </c>
      <c r="I1204" s="5">
        <v>2.9700000000000001E-2</v>
      </c>
      <c r="J1204" s="2">
        <v>1.19</v>
      </c>
      <c r="K1204" s="6">
        <v>267.75</v>
      </c>
      <c r="L1204" s="4">
        <v>7</v>
      </c>
      <c r="M1204" s="2">
        <v>38.25</v>
      </c>
      <c r="N1204" s="6">
        <v>1275.1099999999999</v>
      </c>
      <c r="O1204" s="6">
        <f t="shared" si="91"/>
        <v>1007.3599999999999</v>
      </c>
      <c r="P1204" s="6">
        <f t="shared" si="92"/>
        <v>3.7623155929038279</v>
      </c>
      <c r="Q1204" s="3">
        <v>4.76</v>
      </c>
      <c r="R1204" t="str">
        <f t="shared" si="93"/>
        <v>High</v>
      </c>
      <c r="S1204" t="str">
        <f t="shared" si="94"/>
        <v>Valid</v>
      </c>
    </row>
    <row r="1205" spans="1:19" x14ac:dyDescent="0.25">
      <c r="A1205" s="1">
        <v>45520</v>
      </c>
      <c r="B1205" s="1" t="str">
        <f t="shared" si="90"/>
        <v>2024-08</v>
      </c>
      <c r="C1205" t="s">
        <v>18</v>
      </c>
      <c r="D1205" t="s">
        <v>15</v>
      </c>
      <c r="E1205" t="s">
        <v>30</v>
      </c>
      <c r="F1205" t="s">
        <v>32</v>
      </c>
      <c r="G1205" s="4">
        <v>161640</v>
      </c>
      <c r="H1205" s="4">
        <v>5916</v>
      </c>
      <c r="I1205" s="5">
        <v>3.6600000000000001E-2</v>
      </c>
      <c r="J1205" s="2">
        <v>0.46</v>
      </c>
      <c r="K1205" s="6">
        <v>2721.36</v>
      </c>
      <c r="L1205" s="4">
        <v>445</v>
      </c>
      <c r="M1205" s="2">
        <v>6.12</v>
      </c>
      <c r="N1205" s="6">
        <v>30797.18</v>
      </c>
      <c r="O1205" s="6">
        <f t="shared" si="91"/>
        <v>28075.82</v>
      </c>
      <c r="P1205" s="6">
        <f t="shared" si="92"/>
        <v>10.316834229943851</v>
      </c>
      <c r="Q1205" s="3">
        <v>11.32</v>
      </c>
      <c r="R1205" t="str">
        <f t="shared" si="93"/>
        <v>High</v>
      </c>
      <c r="S1205" t="str">
        <f t="shared" si="94"/>
        <v>Valid</v>
      </c>
    </row>
    <row r="1206" spans="1:19" x14ac:dyDescent="0.25">
      <c r="A1206" s="1">
        <v>45649</v>
      </c>
      <c r="B1206" s="1" t="str">
        <f t="shared" si="90"/>
        <v>2024-12</v>
      </c>
      <c r="C1206" t="s">
        <v>14</v>
      </c>
      <c r="D1206" t="s">
        <v>21</v>
      </c>
      <c r="E1206" t="s">
        <v>30</v>
      </c>
      <c r="F1206" t="s">
        <v>17</v>
      </c>
      <c r="G1206" s="4">
        <v>83845</v>
      </c>
      <c r="H1206" s="4">
        <v>2599</v>
      </c>
      <c r="I1206" s="5">
        <v>3.1E-2</v>
      </c>
      <c r="J1206" s="2">
        <v>2.69</v>
      </c>
      <c r="K1206" s="6">
        <v>6991.31</v>
      </c>
      <c r="L1206" s="4">
        <v>137</v>
      </c>
      <c r="M1206" s="2">
        <v>51.03</v>
      </c>
      <c r="N1206" s="6">
        <v>29891.75</v>
      </c>
      <c r="O1206" s="6">
        <f t="shared" si="91"/>
        <v>22900.44</v>
      </c>
      <c r="P1206" s="6">
        <f t="shared" si="92"/>
        <v>3.2755577996112315</v>
      </c>
      <c r="Q1206" s="3">
        <v>4.28</v>
      </c>
      <c r="R1206" t="str">
        <f t="shared" si="93"/>
        <v>High</v>
      </c>
      <c r="S1206" t="str">
        <f t="shared" si="94"/>
        <v>Valid</v>
      </c>
    </row>
    <row r="1207" spans="1:19" x14ac:dyDescent="0.25">
      <c r="A1207" s="1">
        <v>45429</v>
      </c>
      <c r="B1207" s="1" t="str">
        <f t="shared" si="90"/>
        <v>2024-05</v>
      </c>
      <c r="C1207" t="s">
        <v>14</v>
      </c>
      <c r="D1207" t="s">
        <v>29</v>
      </c>
      <c r="E1207" t="s">
        <v>22</v>
      </c>
      <c r="F1207" t="s">
        <v>26</v>
      </c>
      <c r="G1207" s="4">
        <v>195610</v>
      </c>
      <c r="H1207" s="4">
        <v>9956</v>
      </c>
      <c r="I1207" s="5">
        <v>5.0900000000000001E-2</v>
      </c>
      <c r="J1207" s="2">
        <v>2.37</v>
      </c>
      <c r="K1207" s="6">
        <v>23595.72</v>
      </c>
      <c r="L1207" s="4">
        <v>401</v>
      </c>
      <c r="M1207" s="2">
        <v>58.84</v>
      </c>
      <c r="N1207" s="6">
        <v>116291.87</v>
      </c>
      <c r="O1207" s="6">
        <f t="shared" si="91"/>
        <v>92696.15</v>
      </c>
      <c r="P1207" s="6">
        <f t="shared" si="92"/>
        <v>3.9285154256788939</v>
      </c>
      <c r="Q1207" s="3">
        <v>4.93</v>
      </c>
      <c r="R1207" t="str">
        <f t="shared" si="93"/>
        <v>High</v>
      </c>
      <c r="S1207" t="str">
        <f t="shared" si="94"/>
        <v>Valid</v>
      </c>
    </row>
    <row r="1208" spans="1:19" x14ac:dyDescent="0.25">
      <c r="A1208" s="1">
        <v>45549</v>
      </c>
      <c r="B1208" s="1" t="str">
        <f t="shared" si="90"/>
        <v>2024-09</v>
      </c>
      <c r="C1208" t="s">
        <v>14</v>
      </c>
      <c r="D1208" t="s">
        <v>29</v>
      </c>
      <c r="E1208" t="s">
        <v>22</v>
      </c>
      <c r="F1208" t="s">
        <v>17</v>
      </c>
      <c r="G1208" s="4">
        <v>63812</v>
      </c>
      <c r="H1208" s="4">
        <v>2686</v>
      </c>
      <c r="I1208" s="5">
        <v>4.2099999999999999E-2</v>
      </c>
      <c r="J1208" s="2">
        <v>2.98</v>
      </c>
      <c r="K1208" s="6">
        <v>8004.28</v>
      </c>
      <c r="L1208" s="4">
        <v>84</v>
      </c>
      <c r="M1208" s="2">
        <v>95.29</v>
      </c>
      <c r="N1208" s="6">
        <v>6979.61</v>
      </c>
      <c r="O1208" s="6">
        <f t="shared" si="91"/>
        <v>-1024.67</v>
      </c>
      <c r="P1208" s="6">
        <f t="shared" si="92"/>
        <v>-0.12801526183491832</v>
      </c>
      <c r="Q1208" s="3">
        <v>0.87</v>
      </c>
      <c r="R1208" t="str">
        <f t="shared" si="93"/>
        <v>Low</v>
      </c>
      <c r="S1208" t="str">
        <f t="shared" si="94"/>
        <v>Valid</v>
      </c>
    </row>
    <row r="1209" spans="1:19" x14ac:dyDescent="0.25">
      <c r="A1209" s="1">
        <v>45532</v>
      </c>
      <c r="B1209" s="1" t="str">
        <f t="shared" si="90"/>
        <v>2024-08</v>
      </c>
      <c r="C1209" t="s">
        <v>14</v>
      </c>
      <c r="D1209" t="s">
        <v>21</v>
      </c>
      <c r="E1209" t="s">
        <v>16</v>
      </c>
      <c r="F1209" t="s">
        <v>17</v>
      </c>
      <c r="G1209" s="4">
        <v>33794</v>
      </c>
      <c r="H1209" s="4">
        <v>1030</v>
      </c>
      <c r="I1209" s="5">
        <v>3.0499999999999999E-2</v>
      </c>
      <c r="J1209" s="2">
        <v>1.75</v>
      </c>
      <c r="K1209" s="6">
        <v>1802.5</v>
      </c>
      <c r="L1209" s="4">
        <v>25</v>
      </c>
      <c r="M1209" s="2">
        <v>72.099999999999994</v>
      </c>
      <c r="N1209" s="6">
        <v>1849.39</v>
      </c>
      <c r="O1209" s="6">
        <f t="shared" si="91"/>
        <v>46.8900000000001</v>
      </c>
      <c r="P1209" s="6">
        <f t="shared" si="92"/>
        <v>2.6013869625520165E-2</v>
      </c>
      <c r="Q1209" s="3">
        <v>1.03</v>
      </c>
      <c r="R1209" t="str">
        <f t="shared" si="93"/>
        <v>Medium</v>
      </c>
      <c r="S1209" t="str">
        <f t="shared" si="94"/>
        <v>Valid</v>
      </c>
    </row>
    <row r="1210" spans="1:19" x14ac:dyDescent="0.25">
      <c r="A1210" s="1">
        <v>45458</v>
      </c>
      <c r="B1210" s="1" t="str">
        <f t="shared" si="90"/>
        <v>2024-06</v>
      </c>
      <c r="C1210" t="s">
        <v>28</v>
      </c>
      <c r="D1210" t="s">
        <v>24</v>
      </c>
      <c r="E1210" t="s">
        <v>16</v>
      </c>
      <c r="F1210" t="s">
        <v>31</v>
      </c>
      <c r="G1210" s="4">
        <v>130056</v>
      </c>
      <c r="H1210" s="4">
        <v>3537</v>
      </c>
      <c r="I1210" s="5">
        <v>2.7199999999999998E-2</v>
      </c>
      <c r="J1210" s="2">
        <v>0.57999999999999996</v>
      </c>
      <c r="K1210" s="6">
        <v>2051.46</v>
      </c>
      <c r="L1210" s="4">
        <v>207</v>
      </c>
      <c r="M1210" s="2">
        <v>9.91</v>
      </c>
      <c r="N1210" s="6">
        <v>27550.99</v>
      </c>
      <c r="O1210" s="6">
        <f t="shared" si="91"/>
        <v>25499.530000000002</v>
      </c>
      <c r="P1210" s="6">
        <f t="shared" si="92"/>
        <v>12.429942577481404</v>
      </c>
      <c r="Q1210" s="3">
        <v>13.43</v>
      </c>
      <c r="R1210" t="str">
        <f t="shared" si="93"/>
        <v>High</v>
      </c>
      <c r="S1210" t="str">
        <f t="shared" si="94"/>
        <v>Valid</v>
      </c>
    </row>
    <row r="1211" spans="1:19" x14ac:dyDescent="0.25">
      <c r="A1211" s="1">
        <v>45655</v>
      </c>
      <c r="B1211" s="1" t="str">
        <f t="shared" si="90"/>
        <v>2024-12</v>
      </c>
      <c r="C1211" t="s">
        <v>14</v>
      </c>
      <c r="D1211" t="s">
        <v>24</v>
      </c>
      <c r="E1211" t="s">
        <v>25</v>
      </c>
      <c r="F1211" t="s">
        <v>27</v>
      </c>
      <c r="G1211" s="4">
        <v>149438</v>
      </c>
      <c r="H1211" s="4">
        <v>3287</v>
      </c>
      <c r="I1211" s="5">
        <v>2.1999999999999999E-2</v>
      </c>
      <c r="J1211" s="2">
        <v>3.73</v>
      </c>
      <c r="K1211" s="6">
        <v>12260.51</v>
      </c>
      <c r="L1211" s="4">
        <v>153</v>
      </c>
      <c r="M1211" s="2">
        <v>80.13</v>
      </c>
      <c r="N1211" s="6">
        <v>8351.9500000000007</v>
      </c>
      <c r="O1211" s="6">
        <f t="shared" si="91"/>
        <v>-3908.5599999999995</v>
      </c>
      <c r="P1211" s="6">
        <f t="shared" si="92"/>
        <v>-0.31879261140034137</v>
      </c>
      <c r="Q1211" s="3">
        <v>0.68</v>
      </c>
      <c r="R1211" t="str">
        <f t="shared" si="93"/>
        <v>Low</v>
      </c>
      <c r="S1211" t="str">
        <f t="shared" si="94"/>
        <v>Valid</v>
      </c>
    </row>
    <row r="1212" spans="1:19" x14ac:dyDescent="0.25">
      <c r="A1212" s="1">
        <v>45308</v>
      </c>
      <c r="B1212" s="1" t="str">
        <f t="shared" si="90"/>
        <v>2024-01</v>
      </c>
      <c r="C1212" t="s">
        <v>28</v>
      </c>
      <c r="D1212" t="s">
        <v>24</v>
      </c>
      <c r="E1212" t="s">
        <v>22</v>
      </c>
      <c r="F1212" t="s">
        <v>27</v>
      </c>
      <c r="G1212" s="4">
        <v>185750</v>
      </c>
      <c r="H1212" s="4">
        <v>1653</v>
      </c>
      <c r="I1212" s="5">
        <v>8.8999999999999999E-3</v>
      </c>
      <c r="J1212" s="2">
        <v>1.3</v>
      </c>
      <c r="K1212" s="6">
        <v>2148.9</v>
      </c>
      <c r="L1212" s="4">
        <v>34</v>
      </c>
      <c r="M1212" s="2">
        <v>63.2</v>
      </c>
      <c r="N1212" s="6">
        <v>2916.11</v>
      </c>
      <c r="O1212" s="6">
        <f t="shared" si="91"/>
        <v>767.21</v>
      </c>
      <c r="P1212" s="6">
        <f t="shared" si="92"/>
        <v>0.3570245241751594</v>
      </c>
      <c r="Q1212" s="3">
        <v>1.36</v>
      </c>
      <c r="R1212" t="str">
        <f t="shared" si="93"/>
        <v>Medium</v>
      </c>
      <c r="S1212" t="str">
        <f t="shared" si="94"/>
        <v>Valid</v>
      </c>
    </row>
    <row r="1213" spans="1:19" x14ac:dyDescent="0.25">
      <c r="A1213" s="1">
        <v>45502</v>
      </c>
      <c r="B1213" s="1" t="str">
        <f t="shared" si="90"/>
        <v>2024-07</v>
      </c>
      <c r="C1213" t="s">
        <v>28</v>
      </c>
      <c r="D1213" t="s">
        <v>21</v>
      </c>
      <c r="E1213" t="s">
        <v>25</v>
      </c>
      <c r="F1213" t="s">
        <v>31</v>
      </c>
      <c r="G1213" s="4">
        <v>24750</v>
      </c>
      <c r="H1213" s="4">
        <v>747</v>
      </c>
      <c r="I1213" s="5">
        <v>3.0200000000000001E-2</v>
      </c>
      <c r="J1213" s="2">
        <v>1.19</v>
      </c>
      <c r="K1213" s="6">
        <v>888.93</v>
      </c>
      <c r="L1213" s="4">
        <v>48</v>
      </c>
      <c r="M1213" s="2">
        <v>18.52</v>
      </c>
      <c r="N1213" s="6">
        <v>1738.76</v>
      </c>
      <c r="O1213" s="6">
        <f t="shared" si="91"/>
        <v>849.83</v>
      </c>
      <c r="P1213" s="6">
        <f t="shared" si="92"/>
        <v>0.95601453432778749</v>
      </c>
      <c r="Q1213" s="3">
        <v>1.96</v>
      </c>
      <c r="R1213" t="str">
        <f t="shared" si="93"/>
        <v>Medium</v>
      </c>
      <c r="S1213" t="str">
        <f t="shared" si="94"/>
        <v>Valid</v>
      </c>
    </row>
    <row r="1214" spans="1:19" x14ac:dyDescent="0.25">
      <c r="A1214" s="1">
        <v>45612</v>
      </c>
      <c r="B1214" s="1" t="str">
        <f t="shared" si="90"/>
        <v>2024-11</v>
      </c>
      <c r="C1214" t="s">
        <v>18</v>
      </c>
      <c r="D1214" t="s">
        <v>24</v>
      </c>
      <c r="E1214" t="s">
        <v>16</v>
      </c>
      <c r="F1214" t="s">
        <v>20</v>
      </c>
      <c r="G1214" s="4">
        <v>66262</v>
      </c>
      <c r="H1214" s="4">
        <v>3790</v>
      </c>
      <c r="I1214" s="5">
        <v>5.7200000000000001E-2</v>
      </c>
      <c r="J1214" s="2">
        <v>1.07</v>
      </c>
      <c r="K1214" s="6">
        <v>4055.3</v>
      </c>
      <c r="L1214" s="4">
        <v>150</v>
      </c>
      <c r="M1214" s="2">
        <v>27.04</v>
      </c>
      <c r="N1214" s="6">
        <v>24443.119999999999</v>
      </c>
      <c r="O1214" s="6">
        <f t="shared" si="91"/>
        <v>20387.82</v>
      </c>
      <c r="P1214" s="6">
        <f t="shared" si="92"/>
        <v>5.0274504968806246</v>
      </c>
      <c r="Q1214" s="3">
        <v>6.03</v>
      </c>
      <c r="R1214" t="str">
        <f t="shared" si="93"/>
        <v>High</v>
      </c>
      <c r="S1214" t="str">
        <f t="shared" si="94"/>
        <v>Valid</v>
      </c>
    </row>
    <row r="1215" spans="1:19" x14ac:dyDescent="0.25">
      <c r="A1215" s="1">
        <v>45421</v>
      </c>
      <c r="B1215" s="1" t="str">
        <f t="shared" si="90"/>
        <v>2024-05</v>
      </c>
      <c r="C1215" t="s">
        <v>18</v>
      </c>
      <c r="D1215" t="s">
        <v>21</v>
      </c>
      <c r="E1215" t="s">
        <v>30</v>
      </c>
      <c r="F1215" t="s">
        <v>20</v>
      </c>
      <c r="G1215" s="4">
        <v>126854</v>
      </c>
      <c r="H1215" s="4">
        <v>7243</v>
      </c>
      <c r="I1215" s="5">
        <v>5.7099999999999998E-2</v>
      </c>
      <c r="J1215" s="2">
        <v>0.81</v>
      </c>
      <c r="K1215" s="6">
        <v>5866.83</v>
      </c>
      <c r="L1215" s="4">
        <v>474</v>
      </c>
      <c r="M1215" s="2">
        <v>12.38</v>
      </c>
      <c r="N1215" s="6">
        <v>55705.279999999999</v>
      </c>
      <c r="O1215" s="6">
        <f t="shared" si="91"/>
        <v>49838.45</v>
      </c>
      <c r="P1215" s="6">
        <f t="shared" si="92"/>
        <v>8.4949538336716763</v>
      </c>
      <c r="Q1215" s="3">
        <v>9.49</v>
      </c>
      <c r="R1215" t="str">
        <f t="shared" si="93"/>
        <v>High</v>
      </c>
      <c r="S1215" t="str">
        <f t="shared" si="94"/>
        <v>Valid</v>
      </c>
    </row>
    <row r="1216" spans="1:19" x14ac:dyDescent="0.25">
      <c r="A1216" s="1">
        <v>45554</v>
      </c>
      <c r="B1216" s="1" t="str">
        <f t="shared" si="90"/>
        <v>2024-09</v>
      </c>
      <c r="C1216" t="s">
        <v>28</v>
      </c>
      <c r="D1216" t="s">
        <v>21</v>
      </c>
      <c r="E1216" t="s">
        <v>19</v>
      </c>
      <c r="F1216" t="s">
        <v>27</v>
      </c>
      <c r="G1216" s="4">
        <v>32559</v>
      </c>
      <c r="H1216" s="4">
        <v>553</v>
      </c>
      <c r="I1216" s="5">
        <v>1.7000000000000001E-2</v>
      </c>
      <c r="J1216" s="2">
        <v>0.71</v>
      </c>
      <c r="K1216" s="6">
        <v>392.63</v>
      </c>
      <c r="L1216" s="4">
        <v>6</v>
      </c>
      <c r="M1216" s="2">
        <v>65.44</v>
      </c>
      <c r="N1216" s="6">
        <v>1500.74</v>
      </c>
      <c r="O1216" s="6">
        <f t="shared" si="91"/>
        <v>1108.1100000000001</v>
      </c>
      <c r="P1216" s="6">
        <f t="shared" si="92"/>
        <v>2.8222754247000998</v>
      </c>
      <c r="Q1216" s="3">
        <v>3.82</v>
      </c>
      <c r="R1216" t="str">
        <f t="shared" si="93"/>
        <v>High</v>
      </c>
      <c r="S1216" t="str">
        <f t="shared" si="94"/>
        <v>Valid</v>
      </c>
    </row>
    <row r="1217" spans="1:19" x14ac:dyDescent="0.25">
      <c r="A1217" s="1">
        <v>45500</v>
      </c>
      <c r="B1217" s="1" t="str">
        <f t="shared" si="90"/>
        <v>2024-07</v>
      </c>
      <c r="C1217" t="s">
        <v>14</v>
      </c>
      <c r="D1217" t="s">
        <v>15</v>
      </c>
      <c r="E1217" t="s">
        <v>25</v>
      </c>
      <c r="F1217" t="s">
        <v>17</v>
      </c>
      <c r="G1217" s="4">
        <v>85729</v>
      </c>
      <c r="H1217" s="4">
        <v>1757</v>
      </c>
      <c r="I1217" s="5">
        <v>2.0500000000000001E-2</v>
      </c>
      <c r="J1217" s="2">
        <v>3.02</v>
      </c>
      <c r="K1217" s="6">
        <v>5306.14</v>
      </c>
      <c r="L1217" s="4">
        <v>90</v>
      </c>
      <c r="M1217" s="2">
        <v>58.96</v>
      </c>
      <c r="N1217" s="6">
        <v>21584.82</v>
      </c>
      <c r="O1217" s="6">
        <f t="shared" si="91"/>
        <v>16278.68</v>
      </c>
      <c r="P1217" s="6">
        <f t="shared" si="92"/>
        <v>3.0678949292706186</v>
      </c>
      <c r="Q1217" s="3">
        <v>4.07</v>
      </c>
      <c r="R1217" t="str">
        <f t="shared" si="93"/>
        <v>High</v>
      </c>
      <c r="S1217" t="str">
        <f t="shared" si="94"/>
        <v>Valid</v>
      </c>
    </row>
    <row r="1218" spans="1:19" x14ac:dyDescent="0.25">
      <c r="A1218" s="1">
        <v>45634</v>
      </c>
      <c r="B1218" s="1" t="str">
        <f t="shared" si="90"/>
        <v>2024-12</v>
      </c>
      <c r="C1218" t="s">
        <v>28</v>
      </c>
      <c r="D1218" t="s">
        <v>24</v>
      </c>
      <c r="E1218" t="s">
        <v>30</v>
      </c>
      <c r="F1218" t="s">
        <v>31</v>
      </c>
      <c r="G1218" s="4">
        <v>126432</v>
      </c>
      <c r="H1218" s="4">
        <v>1567</v>
      </c>
      <c r="I1218" s="5">
        <v>1.24E-2</v>
      </c>
      <c r="J1218" s="2">
        <v>1.65</v>
      </c>
      <c r="K1218" s="6">
        <v>2585.5500000000002</v>
      </c>
      <c r="L1218" s="4">
        <v>110</v>
      </c>
      <c r="M1218" s="2">
        <v>23.51</v>
      </c>
      <c r="N1218" s="6">
        <v>31358.68</v>
      </c>
      <c r="O1218" s="6">
        <f t="shared" si="91"/>
        <v>28773.13</v>
      </c>
      <c r="P1218" s="6">
        <f t="shared" si="92"/>
        <v>11.128436889636633</v>
      </c>
      <c r="Q1218" s="3">
        <v>12.13</v>
      </c>
      <c r="R1218" t="str">
        <f t="shared" si="93"/>
        <v>High</v>
      </c>
      <c r="S1218" t="str">
        <f t="shared" si="94"/>
        <v>Valid</v>
      </c>
    </row>
    <row r="1219" spans="1:19" x14ac:dyDescent="0.25">
      <c r="A1219" s="1">
        <v>45379</v>
      </c>
      <c r="B1219" s="1" t="str">
        <f t="shared" ref="B1219:B1282" si="95">TEXT(A1219, "yyyy-mm")</f>
        <v>2024-03</v>
      </c>
      <c r="C1219" t="s">
        <v>28</v>
      </c>
      <c r="D1219" t="s">
        <v>15</v>
      </c>
      <c r="E1219" t="s">
        <v>16</v>
      </c>
      <c r="F1219" t="s">
        <v>20</v>
      </c>
      <c r="G1219" s="4">
        <v>196595</v>
      </c>
      <c r="H1219" s="4">
        <v>2614</v>
      </c>
      <c r="I1219" s="5">
        <v>1.3299999999999999E-2</v>
      </c>
      <c r="J1219" s="2">
        <v>0.38</v>
      </c>
      <c r="K1219" s="6">
        <v>993.32</v>
      </c>
      <c r="L1219" s="4">
        <v>28</v>
      </c>
      <c r="M1219" s="2">
        <v>35.479999999999997</v>
      </c>
      <c r="N1219" s="6">
        <v>6376.7</v>
      </c>
      <c r="O1219" s="6">
        <f t="shared" ref="O1219:O1282" si="96">N1219-K1219</f>
        <v>5383.38</v>
      </c>
      <c r="P1219" s="6">
        <f t="shared" ref="P1219:P1282" si="97">IFERROR(O1219/K1219, "")</f>
        <v>5.4195828131921235</v>
      </c>
      <c r="Q1219" s="3">
        <v>6.42</v>
      </c>
      <c r="R1219" t="str">
        <f t="shared" ref="R1219:R1282" si="98">IF(Q1219 &gt;= 3, "High", IF(Q1219&gt;=1, "Medium", "Low"))</f>
        <v>High</v>
      </c>
      <c r="S1219" t="str">
        <f t="shared" ref="S1219:S1282" si="99">IF(OR(G1219=0, H1219&gt;G1219, L1219&gt;H1219), "Invalid", "Valid")</f>
        <v>Valid</v>
      </c>
    </row>
    <row r="1220" spans="1:19" x14ac:dyDescent="0.25">
      <c r="A1220" s="1">
        <v>45559</v>
      </c>
      <c r="B1220" s="1" t="str">
        <f t="shared" si="95"/>
        <v>2024-09</v>
      </c>
      <c r="C1220" t="s">
        <v>28</v>
      </c>
      <c r="D1220" t="s">
        <v>15</v>
      </c>
      <c r="E1220" t="s">
        <v>30</v>
      </c>
      <c r="F1220" t="s">
        <v>20</v>
      </c>
      <c r="G1220" s="4">
        <v>14028</v>
      </c>
      <c r="H1220" s="4">
        <v>342</v>
      </c>
      <c r="I1220" s="5">
        <v>2.4400000000000002E-2</v>
      </c>
      <c r="J1220" s="2">
        <v>1.89</v>
      </c>
      <c r="K1220" s="6">
        <v>646.38</v>
      </c>
      <c r="L1220" s="4">
        <v>7</v>
      </c>
      <c r="M1220" s="2">
        <v>92.34</v>
      </c>
      <c r="N1220" s="6">
        <v>716.51</v>
      </c>
      <c r="O1220" s="6">
        <f t="shared" si="96"/>
        <v>70.13</v>
      </c>
      <c r="P1220" s="6">
        <f t="shared" si="97"/>
        <v>0.10849655001701784</v>
      </c>
      <c r="Q1220" s="3">
        <v>1.1100000000000001</v>
      </c>
      <c r="R1220" t="str">
        <f t="shared" si="98"/>
        <v>Medium</v>
      </c>
      <c r="S1220" t="str">
        <f t="shared" si="99"/>
        <v>Valid</v>
      </c>
    </row>
    <row r="1221" spans="1:19" x14ac:dyDescent="0.25">
      <c r="A1221" s="1">
        <v>45372</v>
      </c>
      <c r="B1221" s="1" t="str">
        <f t="shared" si="95"/>
        <v>2024-03</v>
      </c>
      <c r="C1221" t="s">
        <v>14</v>
      </c>
      <c r="D1221" t="s">
        <v>29</v>
      </c>
      <c r="E1221" t="s">
        <v>22</v>
      </c>
      <c r="F1221" t="s">
        <v>27</v>
      </c>
      <c r="G1221" s="4">
        <v>77964</v>
      </c>
      <c r="H1221" s="4">
        <v>2915</v>
      </c>
      <c r="I1221" s="5">
        <v>3.7400000000000003E-2</v>
      </c>
      <c r="J1221" s="2">
        <v>3.38</v>
      </c>
      <c r="K1221" s="6">
        <v>9852.7000000000007</v>
      </c>
      <c r="L1221" s="4">
        <v>161</v>
      </c>
      <c r="M1221" s="2">
        <v>61.2</v>
      </c>
      <c r="N1221" s="6">
        <v>14283</v>
      </c>
      <c r="O1221" s="6">
        <f t="shared" si="96"/>
        <v>4430.2999999999993</v>
      </c>
      <c r="P1221" s="6">
        <f t="shared" si="97"/>
        <v>0.44965339450099961</v>
      </c>
      <c r="Q1221" s="3">
        <v>1.45</v>
      </c>
      <c r="R1221" t="str">
        <f t="shared" si="98"/>
        <v>Medium</v>
      </c>
      <c r="S1221" t="str">
        <f t="shared" si="99"/>
        <v>Valid</v>
      </c>
    </row>
    <row r="1222" spans="1:19" x14ac:dyDescent="0.25">
      <c r="A1222" s="1">
        <v>45394</v>
      </c>
      <c r="B1222" s="1" t="str">
        <f t="shared" si="95"/>
        <v>2024-04</v>
      </c>
      <c r="C1222" t="s">
        <v>14</v>
      </c>
      <c r="D1222" t="s">
        <v>15</v>
      </c>
      <c r="E1222" t="s">
        <v>16</v>
      </c>
      <c r="F1222" t="s">
        <v>20</v>
      </c>
      <c r="G1222" s="4">
        <v>102677</v>
      </c>
      <c r="H1222" s="4">
        <v>3131</v>
      </c>
      <c r="I1222" s="5">
        <v>3.0499999999999999E-2</v>
      </c>
      <c r="J1222" s="2">
        <v>3.67</v>
      </c>
      <c r="K1222" s="6">
        <v>11490.77</v>
      </c>
      <c r="L1222" s="4">
        <v>79</v>
      </c>
      <c r="M1222" s="2">
        <v>145.44999999999999</v>
      </c>
      <c r="N1222" s="6">
        <v>13056.26</v>
      </c>
      <c r="O1222" s="6">
        <f t="shared" si="96"/>
        <v>1565.4899999999998</v>
      </c>
      <c r="P1222" s="6">
        <f t="shared" si="97"/>
        <v>0.13623891175265015</v>
      </c>
      <c r="Q1222" s="3">
        <v>1.1399999999999999</v>
      </c>
      <c r="R1222" t="str">
        <f t="shared" si="98"/>
        <v>Medium</v>
      </c>
      <c r="S1222" t="str">
        <f t="shared" si="99"/>
        <v>Valid</v>
      </c>
    </row>
    <row r="1223" spans="1:19" x14ac:dyDescent="0.25">
      <c r="A1223" s="1">
        <v>45655</v>
      </c>
      <c r="B1223" s="1" t="str">
        <f t="shared" si="95"/>
        <v>2024-12</v>
      </c>
      <c r="C1223" t="s">
        <v>14</v>
      </c>
      <c r="D1223" t="s">
        <v>15</v>
      </c>
      <c r="E1223" t="s">
        <v>16</v>
      </c>
      <c r="F1223" t="s">
        <v>26</v>
      </c>
      <c r="G1223" s="4">
        <v>137737</v>
      </c>
      <c r="H1223" s="4">
        <v>3925</v>
      </c>
      <c r="I1223" s="5">
        <v>2.8500000000000001E-2</v>
      </c>
      <c r="J1223" s="2">
        <v>0.9</v>
      </c>
      <c r="K1223" s="6">
        <v>3532.5</v>
      </c>
      <c r="L1223" s="4">
        <v>78</v>
      </c>
      <c r="M1223" s="2">
        <v>45.29</v>
      </c>
      <c r="N1223" s="6">
        <v>11545.1</v>
      </c>
      <c r="O1223" s="6">
        <f t="shared" si="96"/>
        <v>8012.6</v>
      </c>
      <c r="P1223" s="6">
        <f t="shared" si="97"/>
        <v>2.2682519462137298</v>
      </c>
      <c r="Q1223" s="3">
        <v>3.27</v>
      </c>
      <c r="R1223" t="str">
        <f t="shared" si="98"/>
        <v>High</v>
      </c>
      <c r="S1223" t="str">
        <f t="shared" si="99"/>
        <v>Valid</v>
      </c>
    </row>
    <row r="1224" spans="1:19" x14ac:dyDescent="0.25">
      <c r="A1224" s="1">
        <v>45417</v>
      </c>
      <c r="B1224" s="1" t="str">
        <f t="shared" si="95"/>
        <v>2024-05</v>
      </c>
      <c r="C1224" t="s">
        <v>14</v>
      </c>
      <c r="D1224" t="s">
        <v>24</v>
      </c>
      <c r="E1224" t="s">
        <v>19</v>
      </c>
      <c r="F1224" t="s">
        <v>23</v>
      </c>
      <c r="G1224" s="4">
        <v>93534</v>
      </c>
      <c r="H1224" s="4">
        <v>3544</v>
      </c>
      <c r="I1224" s="5">
        <v>3.7900000000000003E-2</v>
      </c>
      <c r="J1224" s="2">
        <v>0.95</v>
      </c>
      <c r="K1224" s="6">
        <v>3366.8</v>
      </c>
      <c r="L1224" s="4">
        <v>187</v>
      </c>
      <c r="M1224" s="2">
        <v>18</v>
      </c>
      <c r="N1224" s="6">
        <v>32280.5</v>
      </c>
      <c r="O1224" s="6">
        <f t="shared" si="96"/>
        <v>28913.7</v>
      </c>
      <c r="P1224" s="6">
        <f t="shared" si="97"/>
        <v>8.5878876084115472</v>
      </c>
      <c r="Q1224" s="3">
        <v>9.59</v>
      </c>
      <c r="R1224" t="str">
        <f t="shared" si="98"/>
        <v>High</v>
      </c>
      <c r="S1224" t="str">
        <f t="shared" si="99"/>
        <v>Valid</v>
      </c>
    </row>
    <row r="1225" spans="1:19" x14ac:dyDescent="0.25">
      <c r="A1225" s="1">
        <v>45460</v>
      </c>
      <c r="B1225" s="1" t="str">
        <f t="shared" si="95"/>
        <v>2024-06</v>
      </c>
      <c r="C1225" t="s">
        <v>14</v>
      </c>
      <c r="D1225" t="s">
        <v>21</v>
      </c>
      <c r="E1225" t="s">
        <v>16</v>
      </c>
      <c r="F1225" t="s">
        <v>32</v>
      </c>
      <c r="G1225" s="4">
        <v>127475</v>
      </c>
      <c r="H1225" s="4">
        <v>7342</v>
      </c>
      <c r="I1225" s="5">
        <v>5.7599999999999998E-2</v>
      </c>
      <c r="J1225" s="2">
        <v>2.34</v>
      </c>
      <c r="K1225" s="6">
        <v>17180.28</v>
      </c>
      <c r="L1225" s="4">
        <v>574</v>
      </c>
      <c r="M1225" s="2">
        <v>29.93</v>
      </c>
      <c r="N1225" s="6">
        <v>74747.490000000005</v>
      </c>
      <c r="O1225" s="6">
        <f t="shared" si="96"/>
        <v>57567.210000000006</v>
      </c>
      <c r="P1225" s="6">
        <f t="shared" si="97"/>
        <v>3.3507725136028057</v>
      </c>
      <c r="Q1225" s="3">
        <v>4.3499999999999996</v>
      </c>
      <c r="R1225" t="str">
        <f t="shared" si="98"/>
        <v>High</v>
      </c>
      <c r="S1225" t="str">
        <f t="shared" si="99"/>
        <v>Valid</v>
      </c>
    </row>
    <row r="1226" spans="1:19" x14ac:dyDescent="0.25">
      <c r="A1226" s="1">
        <v>45544</v>
      </c>
      <c r="B1226" s="1" t="str">
        <f t="shared" si="95"/>
        <v>2024-09</v>
      </c>
      <c r="C1226" t="s">
        <v>14</v>
      </c>
      <c r="D1226" t="s">
        <v>29</v>
      </c>
      <c r="E1226" t="s">
        <v>25</v>
      </c>
      <c r="F1226" t="s">
        <v>23</v>
      </c>
      <c r="G1226" s="4">
        <v>82700</v>
      </c>
      <c r="H1226" s="4">
        <v>2679</v>
      </c>
      <c r="I1226" s="5">
        <v>3.2399999999999998E-2</v>
      </c>
      <c r="J1226" s="2">
        <v>0.86</v>
      </c>
      <c r="K1226" s="6">
        <v>2303.94</v>
      </c>
      <c r="L1226" s="4">
        <v>140</v>
      </c>
      <c r="M1226" s="2">
        <v>16.46</v>
      </c>
      <c r="N1226" s="6">
        <v>20788.45</v>
      </c>
      <c r="O1226" s="6">
        <f t="shared" si="96"/>
        <v>18484.510000000002</v>
      </c>
      <c r="P1226" s="6">
        <f t="shared" si="97"/>
        <v>8.022999730895771</v>
      </c>
      <c r="Q1226" s="3">
        <v>9.02</v>
      </c>
      <c r="R1226" t="str">
        <f t="shared" si="98"/>
        <v>High</v>
      </c>
      <c r="S1226" t="str">
        <f t="shared" si="99"/>
        <v>Valid</v>
      </c>
    </row>
    <row r="1227" spans="1:19" x14ac:dyDescent="0.25">
      <c r="A1227" s="1">
        <v>45431</v>
      </c>
      <c r="B1227" s="1" t="str">
        <f t="shared" si="95"/>
        <v>2024-05</v>
      </c>
      <c r="C1227" t="s">
        <v>18</v>
      </c>
      <c r="D1227" t="s">
        <v>24</v>
      </c>
      <c r="E1227" t="s">
        <v>30</v>
      </c>
      <c r="F1227" t="s">
        <v>20</v>
      </c>
      <c r="G1227" s="4">
        <v>96432</v>
      </c>
      <c r="H1227" s="4">
        <v>7155</v>
      </c>
      <c r="I1227" s="5">
        <v>7.4200000000000002E-2</v>
      </c>
      <c r="J1227" s="2">
        <v>0.35</v>
      </c>
      <c r="K1227" s="6">
        <v>2504.25</v>
      </c>
      <c r="L1227" s="4">
        <v>336</v>
      </c>
      <c r="M1227" s="2">
        <v>7.45</v>
      </c>
      <c r="N1227" s="6">
        <v>47954.95</v>
      </c>
      <c r="O1227" s="6">
        <f t="shared" si="96"/>
        <v>45450.7</v>
      </c>
      <c r="P1227" s="6">
        <f t="shared" si="97"/>
        <v>18.149425975841069</v>
      </c>
      <c r="Q1227" s="3">
        <v>19.149999999999999</v>
      </c>
      <c r="R1227" t="str">
        <f t="shared" si="98"/>
        <v>High</v>
      </c>
      <c r="S1227" t="str">
        <f t="shared" si="99"/>
        <v>Valid</v>
      </c>
    </row>
    <row r="1228" spans="1:19" x14ac:dyDescent="0.25">
      <c r="A1228" s="1">
        <v>45632</v>
      </c>
      <c r="B1228" s="1" t="str">
        <f t="shared" si="95"/>
        <v>2024-12</v>
      </c>
      <c r="C1228" t="s">
        <v>18</v>
      </c>
      <c r="D1228" t="s">
        <v>24</v>
      </c>
      <c r="E1228" t="s">
        <v>25</v>
      </c>
      <c r="F1228" t="s">
        <v>23</v>
      </c>
      <c r="G1228" s="4">
        <v>154656</v>
      </c>
      <c r="H1228" s="4">
        <v>6557</v>
      </c>
      <c r="I1228" s="5">
        <v>4.24E-2</v>
      </c>
      <c r="J1228" s="2">
        <v>0.4</v>
      </c>
      <c r="K1228" s="6">
        <v>2622.8</v>
      </c>
      <c r="L1228" s="4">
        <v>345</v>
      </c>
      <c r="M1228" s="2">
        <v>7.6</v>
      </c>
      <c r="N1228" s="6">
        <v>49646.11</v>
      </c>
      <c r="O1228" s="6">
        <f t="shared" si="96"/>
        <v>47023.31</v>
      </c>
      <c r="P1228" s="6">
        <f t="shared" si="97"/>
        <v>17.928667835900562</v>
      </c>
      <c r="Q1228" s="3">
        <v>18.93</v>
      </c>
      <c r="R1228" t="str">
        <f t="shared" si="98"/>
        <v>High</v>
      </c>
      <c r="S1228" t="str">
        <f t="shared" si="99"/>
        <v>Valid</v>
      </c>
    </row>
    <row r="1229" spans="1:19" x14ac:dyDescent="0.25">
      <c r="A1229" s="1">
        <v>45465</v>
      </c>
      <c r="B1229" s="1" t="str">
        <f t="shared" si="95"/>
        <v>2024-06</v>
      </c>
      <c r="C1229" t="s">
        <v>14</v>
      </c>
      <c r="D1229" t="s">
        <v>21</v>
      </c>
      <c r="E1229" t="s">
        <v>22</v>
      </c>
      <c r="F1229" t="s">
        <v>20</v>
      </c>
      <c r="G1229" s="4">
        <v>115415</v>
      </c>
      <c r="H1229" s="4">
        <v>3866</v>
      </c>
      <c r="I1229" s="5">
        <v>3.3500000000000002E-2</v>
      </c>
      <c r="J1229" s="2">
        <v>3.29</v>
      </c>
      <c r="K1229" s="6">
        <v>12719.14</v>
      </c>
      <c r="L1229" s="4">
        <v>280</v>
      </c>
      <c r="M1229" s="2">
        <v>45.43</v>
      </c>
      <c r="N1229" s="6">
        <v>61322.57</v>
      </c>
      <c r="O1229" s="6">
        <f t="shared" si="96"/>
        <v>48603.43</v>
      </c>
      <c r="P1229" s="6">
        <f t="shared" si="97"/>
        <v>3.8212827282347708</v>
      </c>
      <c r="Q1229" s="3">
        <v>4.82</v>
      </c>
      <c r="R1229" t="str">
        <f t="shared" si="98"/>
        <v>High</v>
      </c>
      <c r="S1229" t="str">
        <f t="shared" si="99"/>
        <v>Valid</v>
      </c>
    </row>
    <row r="1230" spans="1:19" x14ac:dyDescent="0.25">
      <c r="A1230" s="1">
        <v>45549</v>
      </c>
      <c r="B1230" s="1" t="str">
        <f t="shared" si="95"/>
        <v>2024-09</v>
      </c>
      <c r="C1230" t="s">
        <v>14</v>
      </c>
      <c r="D1230" t="s">
        <v>15</v>
      </c>
      <c r="E1230" t="s">
        <v>30</v>
      </c>
      <c r="F1230" t="s">
        <v>27</v>
      </c>
      <c r="G1230" s="4">
        <v>157963</v>
      </c>
      <c r="H1230" s="4">
        <v>5607</v>
      </c>
      <c r="I1230" s="5">
        <v>3.5499999999999997E-2</v>
      </c>
      <c r="J1230" s="2">
        <v>0.88</v>
      </c>
      <c r="K1230" s="6">
        <v>4934.16</v>
      </c>
      <c r="L1230" s="4">
        <v>205</v>
      </c>
      <c r="M1230" s="2">
        <v>24.07</v>
      </c>
      <c r="N1230" s="6">
        <v>50937.22</v>
      </c>
      <c r="O1230" s="6">
        <f t="shared" si="96"/>
        <v>46003.06</v>
      </c>
      <c r="P1230" s="6">
        <f t="shared" si="97"/>
        <v>9.3233822981013983</v>
      </c>
      <c r="Q1230" s="3">
        <v>10.32</v>
      </c>
      <c r="R1230" t="str">
        <f t="shared" si="98"/>
        <v>High</v>
      </c>
      <c r="S1230" t="str">
        <f t="shared" si="99"/>
        <v>Valid</v>
      </c>
    </row>
    <row r="1231" spans="1:19" x14ac:dyDescent="0.25">
      <c r="A1231" s="1">
        <v>45449</v>
      </c>
      <c r="B1231" s="1" t="str">
        <f t="shared" si="95"/>
        <v>2024-06</v>
      </c>
      <c r="C1231" t="s">
        <v>28</v>
      </c>
      <c r="D1231" t="s">
        <v>21</v>
      </c>
      <c r="E1231" t="s">
        <v>16</v>
      </c>
      <c r="F1231" t="s">
        <v>27</v>
      </c>
      <c r="G1231" s="4">
        <v>133684</v>
      </c>
      <c r="H1231" s="4">
        <v>2018</v>
      </c>
      <c r="I1231" s="5">
        <v>1.5100000000000001E-2</v>
      </c>
      <c r="J1231" s="2">
        <v>1.72</v>
      </c>
      <c r="K1231" s="6">
        <v>3470.96</v>
      </c>
      <c r="L1231" s="4">
        <v>44</v>
      </c>
      <c r="M1231" s="2">
        <v>78.89</v>
      </c>
      <c r="N1231" s="6">
        <v>11449.27</v>
      </c>
      <c r="O1231" s="6">
        <f t="shared" si="96"/>
        <v>7978.31</v>
      </c>
      <c r="P1231" s="6">
        <f t="shared" si="97"/>
        <v>2.2985888630234865</v>
      </c>
      <c r="Q1231" s="3">
        <v>3.3</v>
      </c>
      <c r="R1231" t="str">
        <f t="shared" si="98"/>
        <v>High</v>
      </c>
      <c r="S1231" t="str">
        <f t="shared" si="99"/>
        <v>Valid</v>
      </c>
    </row>
    <row r="1232" spans="1:19" x14ac:dyDescent="0.25">
      <c r="A1232" s="1">
        <v>45296</v>
      </c>
      <c r="B1232" s="1" t="str">
        <f t="shared" si="95"/>
        <v>2024-01</v>
      </c>
      <c r="C1232" t="s">
        <v>14</v>
      </c>
      <c r="D1232" t="s">
        <v>24</v>
      </c>
      <c r="E1232" t="s">
        <v>22</v>
      </c>
      <c r="F1232" t="s">
        <v>17</v>
      </c>
      <c r="G1232" s="4">
        <v>20091</v>
      </c>
      <c r="H1232" s="4">
        <v>956</v>
      </c>
      <c r="I1232" s="5">
        <v>4.7600000000000003E-2</v>
      </c>
      <c r="J1232" s="2">
        <v>3.41</v>
      </c>
      <c r="K1232" s="6">
        <v>3259.96</v>
      </c>
      <c r="L1232" s="4">
        <v>36</v>
      </c>
      <c r="M1232" s="2">
        <v>90.55</v>
      </c>
      <c r="N1232" s="6">
        <v>9230.0499999999993</v>
      </c>
      <c r="O1232" s="6">
        <f t="shared" si="96"/>
        <v>5970.0899999999992</v>
      </c>
      <c r="P1232" s="6">
        <f t="shared" si="97"/>
        <v>1.8313384213303228</v>
      </c>
      <c r="Q1232" s="3">
        <v>2.83</v>
      </c>
      <c r="R1232" t="str">
        <f t="shared" si="98"/>
        <v>Medium</v>
      </c>
      <c r="S1232" t="str">
        <f t="shared" si="99"/>
        <v>Valid</v>
      </c>
    </row>
    <row r="1233" spans="1:19" x14ac:dyDescent="0.25">
      <c r="A1233" s="1">
        <v>45645</v>
      </c>
      <c r="B1233" s="1" t="str">
        <f t="shared" si="95"/>
        <v>2024-12</v>
      </c>
      <c r="C1233" t="s">
        <v>14</v>
      </c>
      <c r="D1233" t="s">
        <v>29</v>
      </c>
      <c r="E1233" t="s">
        <v>30</v>
      </c>
      <c r="F1233" t="s">
        <v>27</v>
      </c>
      <c r="G1233" s="4">
        <v>126946</v>
      </c>
      <c r="H1233" s="4">
        <v>6728</v>
      </c>
      <c r="I1233" s="5">
        <v>5.2999999999999999E-2</v>
      </c>
      <c r="J1233" s="2">
        <v>2.31</v>
      </c>
      <c r="K1233" s="6">
        <v>15541.68</v>
      </c>
      <c r="L1233" s="4">
        <v>132</v>
      </c>
      <c r="M1233" s="2">
        <v>117.74</v>
      </c>
      <c r="N1233" s="6">
        <v>34256.99</v>
      </c>
      <c r="O1233" s="6">
        <f t="shared" si="96"/>
        <v>18715.309999999998</v>
      </c>
      <c r="P1233" s="6">
        <f t="shared" si="97"/>
        <v>1.2042012189158442</v>
      </c>
      <c r="Q1233" s="3">
        <v>2.2000000000000002</v>
      </c>
      <c r="R1233" t="str">
        <f t="shared" si="98"/>
        <v>Medium</v>
      </c>
      <c r="S1233" t="str">
        <f t="shared" si="99"/>
        <v>Valid</v>
      </c>
    </row>
    <row r="1234" spans="1:19" x14ac:dyDescent="0.25">
      <c r="A1234" s="1">
        <v>45656</v>
      </c>
      <c r="B1234" s="1" t="str">
        <f t="shared" si="95"/>
        <v>2024-12</v>
      </c>
      <c r="C1234" t="s">
        <v>18</v>
      </c>
      <c r="D1234" t="s">
        <v>15</v>
      </c>
      <c r="E1234" t="s">
        <v>22</v>
      </c>
      <c r="F1234" t="s">
        <v>26</v>
      </c>
      <c r="G1234" s="4">
        <v>8311</v>
      </c>
      <c r="H1234" s="4">
        <v>476</v>
      </c>
      <c r="I1234" s="5">
        <v>5.7299999999999997E-2</v>
      </c>
      <c r="J1234" s="2">
        <v>1.61</v>
      </c>
      <c r="K1234" s="6">
        <v>766.36</v>
      </c>
      <c r="L1234" s="4">
        <v>18</v>
      </c>
      <c r="M1234" s="2">
        <v>42.58</v>
      </c>
      <c r="N1234" s="6">
        <v>1064.02</v>
      </c>
      <c r="O1234" s="6">
        <f t="shared" si="96"/>
        <v>297.65999999999997</v>
      </c>
      <c r="P1234" s="6">
        <f t="shared" si="97"/>
        <v>0.38840753692781455</v>
      </c>
      <c r="Q1234" s="3">
        <v>1.39</v>
      </c>
      <c r="R1234" t="str">
        <f t="shared" si="98"/>
        <v>Medium</v>
      </c>
      <c r="S1234" t="str">
        <f t="shared" si="99"/>
        <v>Valid</v>
      </c>
    </row>
    <row r="1235" spans="1:19" x14ac:dyDescent="0.25">
      <c r="A1235" s="1">
        <v>45408</v>
      </c>
      <c r="B1235" s="1" t="str">
        <f t="shared" si="95"/>
        <v>2024-04</v>
      </c>
      <c r="C1235" t="s">
        <v>14</v>
      </c>
      <c r="D1235" t="s">
        <v>21</v>
      </c>
      <c r="E1235" t="s">
        <v>22</v>
      </c>
      <c r="F1235" t="s">
        <v>20</v>
      </c>
      <c r="G1235" s="4">
        <v>140091</v>
      </c>
      <c r="H1235" s="4">
        <v>7242</v>
      </c>
      <c r="I1235" s="5">
        <v>5.1700000000000003E-2</v>
      </c>
      <c r="J1235" s="2">
        <v>2.52</v>
      </c>
      <c r="K1235" s="6">
        <v>18249.84</v>
      </c>
      <c r="L1235" s="4">
        <v>347</v>
      </c>
      <c r="M1235" s="2">
        <v>52.59</v>
      </c>
      <c r="N1235" s="6">
        <v>24525.17</v>
      </c>
      <c r="O1235" s="6">
        <f t="shared" si="96"/>
        <v>6275.3299999999981</v>
      </c>
      <c r="P1235" s="6">
        <f t="shared" si="97"/>
        <v>0.34385671326433537</v>
      </c>
      <c r="Q1235" s="3">
        <v>1.34</v>
      </c>
      <c r="R1235" t="str">
        <f t="shared" si="98"/>
        <v>Medium</v>
      </c>
      <c r="S1235" t="str">
        <f t="shared" si="99"/>
        <v>Valid</v>
      </c>
    </row>
    <row r="1236" spans="1:19" x14ac:dyDescent="0.25">
      <c r="A1236" s="1">
        <v>45428</v>
      </c>
      <c r="B1236" s="1" t="str">
        <f t="shared" si="95"/>
        <v>2024-05</v>
      </c>
      <c r="C1236" t="s">
        <v>18</v>
      </c>
      <c r="D1236" t="s">
        <v>24</v>
      </c>
      <c r="E1236" t="s">
        <v>30</v>
      </c>
      <c r="F1236" t="s">
        <v>27</v>
      </c>
      <c r="G1236" s="4">
        <v>140121</v>
      </c>
      <c r="H1236" s="4">
        <v>4778</v>
      </c>
      <c r="I1236" s="5">
        <v>3.4099999999999998E-2</v>
      </c>
      <c r="J1236" s="2">
        <v>0.86</v>
      </c>
      <c r="K1236" s="6">
        <v>4109.08</v>
      </c>
      <c r="L1236" s="4">
        <v>291</v>
      </c>
      <c r="M1236" s="2">
        <v>14.12</v>
      </c>
      <c r="N1236" s="6">
        <v>84859.67</v>
      </c>
      <c r="O1236" s="6">
        <f t="shared" si="96"/>
        <v>80750.59</v>
      </c>
      <c r="P1236" s="6">
        <f t="shared" si="97"/>
        <v>19.651744429409987</v>
      </c>
      <c r="Q1236" s="3">
        <v>20.65</v>
      </c>
      <c r="R1236" t="str">
        <f t="shared" si="98"/>
        <v>High</v>
      </c>
      <c r="S1236" t="str">
        <f t="shared" si="99"/>
        <v>Valid</v>
      </c>
    </row>
    <row r="1237" spans="1:19" x14ac:dyDescent="0.25">
      <c r="A1237" s="1">
        <v>45504</v>
      </c>
      <c r="B1237" s="1" t="str">
        <f t="shared" si="95"/>
        <v>2024-07</v>
      </c>
      <c r="C1237" t="s">
        <v>28</v>
      </c>
      <c r="D1237" t="s">
        <v>29</v>
      </c>
      <c r="E1237" t="s">
        <v>16</v>
      </c>
      <c r="F1237" t="s">
        <v>20</v>
      </c>
      <c r="G1237" s="4">
        <v>159301</v>
      </c>
      <c r="H1237" s="4">
        <v>6738</v>
      </c>
      <c r="I1237" s="5">
        <v>4.2299999999999997E-2</v>
      </c>
      <c r="J1237" s="2">
        <v>2.1800000000000002</v>
      </c>
      <c r="K1237" s="6">
        <v>14688.84</v>
      </c>
      <c r="L1237" s="4">
        <v>302</v>
      </c>
      <c r="M1237" s="2">
        <v>48.64</v>
      </c>
      <c r="N1237" s="6">
        <v>57570.61</v>
      </c>
      <c r="O1237" s="6">
        <f t="shared" si="96"/>
        <v>42881.770000000004</v>
      </c>
      <c r="P1237" s="6">
        <f t="shared" si="97"/>
        <v>2.9193435288286893</v>
      </c>
      <c r="Q1237" s="3">
        <v>3.92</v>
      </c>
      <c r="R1237" t="str">
        <f t="shared" si="98"/>
        <v>High</v>
      </c>
      <c r="S1237" t="str">
        <f t="shared" si="99"/>
        <v>Valid</v>
      </c>
    </row>
    <row r="1238" spans="1:19" x14ac:dyDescent="0.25">
      <c r="A1238" s="1">
        <v>45307</v>
      </c>
      <c r="B1238" s="1" t="str">
        <f t="shared" si="95"/>
        <v>2024-01</v>
      </c>
      <c r="C1238" t="s">
        <v>18</v>
      </c>
      <c r="D1238" t="s">
        <v>24</v>
      </c>
      <c r="E1238" t="s">
        <v>25</v>
      </c>
      <c r="F1238" t="s">
        <v>26</v>
      </c>
      <c r="G1238" s="4">
        <v>88940</v>
      </c>
      <c r="H1238" s="4">
        <v>4384</v>
      </c>
      <c r="I1238" s="5">
        <v>4.9299999999999997E-2</v>
      </c>
      <c r="J1238" s="2">
        <v>0.32</v>
      </c>
      <c r="K1238" s="6">
        <v>1402.88</v>
      </c>
      <c r="L1238" s="4">
        <v>66</v>
      </c>
      <c r="M1238" s="2">
        <v>21.26</v>
      </c>
      <c r="N1238" s="6">
        <v>10447.120000000001</v>
      </c>
      <c r="O1238" s="6">
        <f t="shared" si="96"/>
        <v>9044.2400000000016</v>
      </c>
      <c r="P1238" s="6">
        <f t="shared" si="97"/>
        <v>6.4469092153284677</v>
      </c>
      <c r="Q1238" s="3">
        <v>7.45</v>
      </c>
      <c r="R1238" t="str">
        <f t="shared" si="98"/>
        <v>High</v>
      </c>
      <c r="S1238" t="str">
        <f t="shared" si="99"/>
        <v>Valid</v>
      </c>
    </row>
    <row r="1239" spans="1:19" x14ac:dyDescent="0.25">
      <c r="A1239" s="1">
        <v>45508</v>
      </c>
      <c r="B1239" s="1" t="str">
        <f t="shared" si="95"/>
        <v>2024-08</v>
      </c>
      <c r="C1239" t="s">
        <v>28</v>
      </c>
      <c r="D1239" t="s">
        <v>15</v>
      </c>
      <c r="E1239" t="s">
        <v>16</v>
      </c>
      <c r="F1239" t="s">
        <v>27</v>
      </c>
      <c r="G1239" s="4">
        <v>194287</v>
      </c>
      <c r="H1239" s="4">
        <v>5032</v>
      </c>
      <c r="I1239" s="5">
        <v>2.5899999999999999E-2</v>
      </c>
      <c r="J1239" s="2">
        <v>0.85</v>
      </c>
      <c r="K1239" s="6">
        <v>4277.2</v>
      </c>
      <c r="L1239" s="4">
        <v>338</v>
      </c>
      <c r="M1239" s="2">
        <v>12.65</v>
      </c>
      <c r="N1239" s="6">
        <v>32920.35</v>
      </c>
      <c r="O1239" s="6">
        <f t="shared" si="96"/>
        <v>28643.149999999998</v>
      </c>
      <c r="P1239" s="6">
        <f t="shared" si="97"/>
        <v>6.6967057888338166</v>
      </c>
      <c r="Q1239" s="3">
        <v>7.7</v>
      </c>
      <c r="R1239" t="str">
        <f t="shared" si="98"/>
        <v>High</v>
      </c>
      <c r="S1239" t="str">
        <f t="shared" si="99"/>
        <v>Valid</v>
      </c>
    </row>
    <row r="1240" spans="1:19" x14ac:dyDescent="0.25">
      <c r="A1240" s="1">
        <v>45330</v>
      </c>
      <c r="B1240" s="1" t="str">
        <f t="shared" si="95"/>
        <v>2024-02</v>
      </c>
      <c r="C1240" t="s">
        <v>18</v>
      </c>
      <c r="D1240" t="s">
        <v>15</v>
      </c>
      <c r="E1240" t="s">
        <v>22</v>
      </c>
      <c r="F1240" t="s">
        <v>31</v>
      </c>
      <c r="G1240" s="4">
        <v>17911</v>
      </c>
      <c r="H1240" s="4">
        <v>1148</v>
      </c>
      <c r="I1240" s="5">
        <v>6.4100000000000004E-2</v>
      </c>
      <c r="J1240" s="2">
        <v>1.1499999999999999</v>
      </c>
      <c r="K1240" s="6">
        <v>1320.2</v>
      </c>
      <c r="L1240" s="4">
        <v>52</v>
      </c>
      <c r="M1240" s="2">
        <v>25.39</v>
      </c>
      <c r="N1240" s="6">
        <v>3388.21</v>
      </c>
      <c r="O1240" s="6">
        <f t="shared" si="96"/>
        <v>2068.0100000000002</v>
      </c>
      <c r="P1240" s="6">
        <f t="shared" si="97"/>
        <v>1.5664369034994698</v>
      </c>
      <c r="Q1240" s="3">
        <v>2.57</v>
      </c>
      <c r="R1240" t="str">
        <f t="shared" si="98"/>
        <v>Medium</v>
      </c>
      <c r="S1240" t="str">
        <f t="shared" si="99"/>
        <v>Valid</v>
      </c>
    </row>
    <row r="1241" spans="1:19" x14ac:dyDescent="0.25">
      <c r="A1241" s="1">
        <v>45495</v>
      </c>
      <c r="B1241" s="1" t="str">
        <f t="shared" si="95"/>
        <v>2024-07</v>
      </c>
      <c r="C1241" t="s">
        <v>28</v>
      </c>
      <c r="D1241" t="s">
        <v>29</v>
      </c>
      <c r="E1241" t="s">
        <v>25</v>
      </c>
      <c r="F1241" t="s">
        <v>20</v>
      </c>
      <c r="G1241" s="4">
        <v>9909</v>
      </c>
      <c r="H1241" s="4">
        <v>170</v>
      </c>
      <c r="I1241" s="5">
        <v>1.72E-2</v>
      </c>
      <c r="J1241" s="2">
        <v>1.86</v>
      </c>
      <c r="K1241" s="6">
        <v>316.2</v>
      </c>
      <c r="L1241" s="4">
        <v>10</v>
      </c>
      <c r="M1241" s="2">
        <v>31.62</v>
      </c>
      <c r="N1241" s="6">
        <v>1238.47</v>
      </c>
      <c r="O1241" s="6">
        <f t="shared" si="96"/>
        <v>922.27</v>
      </c>
      <c r="P1241" s="6">
        <f t="shared" si="97"/>
        <v>2.9167299177735613</v>
      </c>
      <c r="Q1241" s="3">
        <v>3.92</v>
      </c>
      <c r="R1241" t="str">
        <f t="shared" si="98"/>
        <v>High</v>
      </c>
      <c r="S1241" t="str">
        <f t="shared" si="99"/>
        <v>Valid</v>
      </c>
    </row>
    <row r="1242" spans="1:19" x14ac:dyDescent="0.25">
      <c r="A1242" s="1">
        <v>45309</v>
      </c>
      <c r="B1242" s="1" t="str">
        <f t="shared" si="95"/>
        <v>2024-01</v>
      </c>
      <c r="C1242" t="s">
        <v>18</v>
      </c>
      <c r="D1242" t="s">
        <v>15</v>
      </c>
      <c r="E1242" t="s">
        <v>30</v>
      </c>
      <c r="F1242" t="s">
        <v>31</v>
      </c>
      <c r="G1242" s="4">
        <v>168616</v>
      </c>
      <c r="H1242" s="4">
        <v>6508</v>
      </c>
      <c r="I1242" s="5">
        <v>3.8600000000000002E-2</v>
      </c>
      <c r="J1242" s="2">
        <v>1.02</v>
      </c>
      <c r="K1242" s="6">
        <v>6638.16</v>
      </c>
      <c r="L1242" s="4">
        <v>508</v>
      </c>
      <c r="M1242" s="2">
        <v>13.07</v>
      </c>
      <c r="N1242" s="6">
        <v>151081.09</v>
      </c>
      <c r="O1242" s="6">
        <f t="shared" si="96"/>
        <v>144442.93</v>
      </c>
      <c r="P1242" s="6">
        <f t="shared" si="97"/>
        <v>21.759483049519744</v>
      </c>
      <c r="Q1242" s="3">
        <v>22.76</v>
      </c>
      <c r="R1242" t="str">
        <f t="shared" si="98"/>
        <v>High</v>
      </c>
      <c r="S1242" t="str">
        <f t="shared" si="99"/>
        <v>Valid</v>
      </c>
    </row>
    <row r="1243" spans="1:19" x14ac:dyDescent="0.25">
      <c r="A1243" s="1">
        <v>45564</v>
      </c>
      <c r="B1243" s="1" t="str">
        <f t="shared" si="95"/>
        <v>2024-09</v>
      </c>
      <c r="C1243" t="s">
        <v>28</v>
      </c>
      <c r="D1243" t="s">
        <v>24</v>
      </c>
      <c r="E1243" t="s">
        <v>22</v>
      </c>
      <c r="F1243" t="s">
        <v>26</v>
      </c>
      <c r="G1243" s="4">
        <v>139346</v>
      </c>
      <c r="H1243" s="4">
        <v>4096</v>
      </c>
      <c r="I1243" s="5">
        <v>2.9399999999999999E-2</v>
      </c>
      <c r="J1243" s="2">
        <v>0.62</v>
      </c>
      <c r="K1243" s="6">
        <v>2539.52</v>
      </c>
      <c r="L1243" s="4">
        <v>236</v>
      </c>
      <c r="M1243" s="2">
        <v>10.76</v>
      </c>
      <c r="N1243" s="6">
        <v>12521.54</v>
      </c>
      <c r="O1243" s="6">
        <f t="shared" si="96"/>
        <v>9982.02</v>
      </c>
      <c r="P1243" s="6">
        <f t="shared" si="97"/>
        <v>3.9306719380040325</v>
      </c>
      <c r="Q1243" s="3">
        <v>4.93</v>
      </c>
      <c r="R1243" t="str">
        <f t="shared" si="98"/>
        <v>High</v>
      </c>
      <c r="S1243" t="str">
        <f t="shared" si="99"/>
        <v>Valid</v>
      </c>
    </row>
    <row r="1244" spans="1:19" x14ac:dyDescent="0.25">
      <c r="A1244" s="1">
        <v>45366</v>
      </c>
      <c r="B1244" s="1" t="str">
        <f t="shared" si="95"/>
        <v>2024-03</v>
      </c>
      <c r="C1244" t="s">
        <v>28</v>
      </c>
      <c r="D1244" t="s">
        <v>15</v>
      </c>
      <c r="E1244" t="s">
        <v>16</v>
      </c>
      <c r="F1244" t="s">
        <v>20</v>
      </c>
      <c r="G1244" s="4">
        <v>98740</v>
      </c>
      <c r="H1244" s="4">
        <v>1589</v>
      </c>
      <c r="I1244" s="5">
        <v>1.61E-2</v>
      </c>
      <c r="J1244" s="2">
        <v>2.09</v>
      </c>
      <c r="K1244" s="6">
        <v>3321.01</v>
      </c>
      <c r="L1244" s="4">
        <v>47</v>
      </c>
      <c r="M1244" s="2">
        <v>70.66</v>
      </c>
      <c r="N1244" s="6">
        <v>5063.3100000000004</v>
      </c>
      <c r="O1244" s="6">
        <f t="shared" si="96"/>
        <v>1742.3000000000002</v>
      </c>
      <c r="P1244" s="6">
        <f t="shared" si="97"/>
        <v>0.52462955546655987</v>
      </c>
      <c r="Q1244" s="3">
        <v>1.52</v>
      </c>
      <c r="R1244" t="str">
        <f t="shared" si="98"/>
        <v>Medium</v>
      </c>
      <c r="S1244" t="str">
        <f t="shared" si="99"/>
        <v>Valid</v>
      </c>
    </row>
    <row r="1245" spans="1:19" x14ac:dyDescent="0.25">
      <c r="A1245" s="1">
        <v>45445</v>
      </c>
      <c r="B1245" s="1" t="str">
        <f t="shared" si="95"/>
        <v>2024-06</v>
      </c>
      <c r="C1245" t="s">
        <v>18</v>
      </c>
      <c r="D1245" t="s">
        <v>21</v>
      </c>
      <c r="E1245" t="s">
        <v>19</v>
      </c>
      <c r="F1245" t="s">
        <v>31</v>
      </c>
      <c r="G1245" s="4">
        <v>26471</v>
      </c>
      <c r="H1245" s="4">
        <v>1890</v>
      </c>
      <c r="I1245" s="5">
        <v>7.1400000000000005E-2</v>
      </c>
      <c r="J1245" s="2">
        <v>0.94</v>
      </c>
      <c r="K1245" s="6">
        <v>1776.6</v>
      </c>
      <c r="L1245" s="4">
        <v>74</v>
      </c>
      <c r="M1245" s="2">
        <v>24.01</v>
      </c>
      <c r="N1245" s="6">
        <v>21647.86</v>
      </c>
      <c r="O1245" s="6">
        <f t="shared" si="96"/>
        <v>19871.260000000002</v>
      </c>
      <c r="P1245" s="6">
        <f t="shared" si="97"/>
        <v>11.184993808398065</v>
      </c>
      <c r="Q1245" s="3">
        <v>12.18</v>
      </c>
      <c r="R1245" t="str">
        <f t="shared" si="98"/>
        <v>High</v>
      </c>
      <c r="S1245" t="str">
        <f t="shared" si="99"/>
        <v>Valid</v>
      </c>
    </row>
    <row r="1246" spans="1:19" x14ac:dyDescent="0.25">
      <c r="A1246" s="1">
        <v>45498</v>
      </c>
      <c r="B1246" s="1" t="str">
        <f t="shared" si="95"/>
        <v>2024-07</v>
      </c>
      <c r="C1246" t="s">
        <v>28</v>
      </c>
      <c r="D1246" t="s">
        <v>29</v>
      </c>
      <c r="E1246" t="s">
        <v>22</v>
      </c>
      <c r="F1246" t="s">
        <v>23</v>
      </c>
      <c r="G1246" s="4">
        <v>174048</v>
      </c>
      <c r="H1246" s="4">
        <v>3846</v>
      </c>
      <c r="I1246" s="5">
        <v>2.2100000000000002E-2</v>
      </c>
      <c r="J1246" s="2">
        <v>1.74</v>
      </c>
      <c r="K1246" s="6">
        <v>6692.04</v>
      </c>
      <c r="L1246" s="4">
        <v>75</v>
      </c>
      <c r="M1246" s="2">
        <v>89.23</v>
      </c>
      <c r="N1246" s="6">
        <v>18304.27</v>
      </c>
      <c r="O1246" s="6">
        <f t="shared" si="96"/>
        <v>11612.23</v>
      </c>
      <c r="P1246" s="6">
        <f t="shared" si="97"/>
        <v>1.7352302138062534</v>
      </c>
      <c r="Q1246" s="3">
        <v>2.74</v>
      </c>
      <c r="R1246" t="str">
        <f t="shared" si="98"/>
        <v>Medium</v>
      </c>
      <c r="S1246" t="str">
        <f t="shared" si="99"/>
        <v>Valid</v>
      </c>
    </row>
    <row r="1247" spans="1:19" x14ac:dyDescent="0.25">
      <c r="A1247" s="1">
        <v>45383</v>
      </c>
      <c r="B1247" s="1" t="str">
        <f t="shared" si="95"/>
        <v>2024-04</v>
      </c>
      <c r="C1247" t="s">
        <v>28</v>
      </c>
      <c r="D1247" t="s">
        <v>15</v>
      </c>
      <c r="E1247" t="s">
        <v>22</v>
      </c>
      <c r="F1247" t="s">
        <v>32</v>
      </c>
      <c r="G1247" s="4">
        <v>8877</v>
      </c>
      <c r="H1247" s="4">
        <v>230</v>
      </c>
      <c r="I1247" s="5">
        <v>2.5999999999999999E-2</v>
      </c>
      <c r="J1247" s="2">
        <v>0.76</v>
      </c>
      <c r="K1247" s="6">
        <v>174.8</v>
      </c>
      <c r="L1247" s="4">
        <v>9</v>
      </c>
      <c r="M1247" s="2">
        <v>19.420000000000002</v>
      </c>
      <c r="N1247" s="6">
        <v>1921.06</v>
      </c>
      <c r="O1247" s="6">
        <f t="shared" si="96"/>
        <v>1746.26</v>
      </c>
      <c r="P1247" s="6">
        <f t="shared" si="97"/>
        <v>9.9900457665903879</v>
      </c>
      <c r="Q1247" s="3">
        <v>10.99</v>
      </c>
      <c r="R1247" t="str">
        <f t="shared" si="98"/>
        <v>High</v>
      </c>
      <c r="S1247" t="str">
        <f t="shared" si="99"/>
        <v>Valid</v>
      </c>
    </row>
    <row r="1248" spans="1:19" x14ac:dyDescent="0.25">
      <c r="A1248" s="1">
        <v>45425</v>
      </c>
      <c r="B1248" s="1" t="str">
        <f t="shared" si="95"/>
        <v>2024-05</v>
      </c>
      <c r="C1248" t="s">
        <v>28</v>
      </c>
      <c r="D1248" t="s">
        <v>24</v>
      </c>
      <c r="E1248" t="s">
        <v>19</v>
      </c>
      <c r="F1248" t="s">
        <v>26</v>
      </c>
      <c r="G1248" s="4">
        <v>32488</v>
      </c>
      <c r="H1248" s="4">
        <v>919</v>
      </c>
      <c r="I1248" s="5">
        <v>2.8299999999999999E-2</v>
      </c>
      <c r="J1248" s="2">
        <v>1.93</v>
      </c>
      <c r="K1248" s="6">
        <v>1773.67</v>
      </c>
      <c r="L1248" s="4">
        <v>32</v>
      </c>
      <c r="M1248" s="2">
        <v>55.43</v>
      </c>
      <c r="N1248" s="6">
        <v>7341.13</v>
      </c>
      <c r="O1248" s="6">
        <f t="shared" si="96"/>
        <v>5567.46</v>
      </c>
      <c r="P1248" s="6">
        <f t="shared" si="97"/>
        <v>3.1389491844593413</v>
      </c>
      <c r="Q1248" s="3">
        <v>4.1399999999999997</v>
      </c>
      <c r="R1248" t="str">
        <f t="shared" si="98"/>
        <v>High</v>
      </c>
      <c r="S1248" t="str">
        <f t="shared" si="99"/>
        <v>Valid</v>
      </c>
    </row>
    <row r="1249" spans="1:19" x14ac:dyDescent="0.25">
      <c r="A1249" s="1">
        <v>45606</v>
      </c>
      <c r="B1249" s="1" t="str">
        <f t="shared" si="95"/>
        <v>2024-11</v>
      </c>
      <c r="C1249" t="s">
        <v>14</v>
      </c>
      <c r="D1249" t="s">
        <v>15</v>
      </c>
      <c r="E1249" t="s">
        <v>22</v>
      </c>
      <c r="F1249" t="s">
        <v>23</v>
      </c>
      <c r="G1249" s="4">
        <v>77968</v>
      </c>
      <c r="H1249" s="4">
        <v>3001</v>
      </c>
      <c r="I1249" s="5">
        <v>3.85E-2</v>
      </c>
      <c r="J1249" s="2">
        <v>2.85</v>
      </c>
      <c r="K1249" s="6">
        <v>8552.85</v>
      </c>
      <c r="L1249" s="4">
        <v>193</v>
      </c>
      <c r="M1249" s="2">
        <v>44.32</v>
      </c>
      <c r="N1249" s="6">
        <v>31448.71</v>
      </c>
      <c r="O1249" s="6">
        <f t="shared" si="96"/>
        <v>22895.86</v>
      </c>
      <c r="P1249" s="6">
        <f t="shared" si="97"/>
        <v>2.6769860338951341</v>
      </c>
      <c r="Q1249" s="3">
        <v>3.68</v>
      </c>
      <c r="R1249" t="str">
        <f t="shared" si="98"/>
        <v>High</v>
      </c>
      <c r="S1249" t="str">
        <f t="shared" si="99"/>
        <v>Valid</v>
      </c>
    </row>
    <row r="1250" spans="1:19" x14ac:dyDescent="0.25">
      <c r="A1250" s="1">
        <v>45504</v>
      </c>
      <c r="B1250" s="1" t="str">
        <f t="shared" si="95"/>
        <v>2024-07</v>
      </c>
      <c r="C1250" t="s">
        <v>18</v>
      </c>
      <c r="D1250" t="s">
        <v>21</v>
      </c>
      <c r="E1250" t="s">
        <v>16</v>
      </c>
      <c r="F1250" t="s">
        <v>17</v>
      </c>
      <c r="G1250" s="4">
        <v>10156</v>
      </c>
      <c r="H1250" s="4">
        <v>474</v>
      </c>
      <c r="I1250" s="5">
        <v>4.6699999999999998E-2</v>
      </c>
      <c r="J1250" s="2">
        <v>0.31</v>
      </c>
      <c r="K1250" s="6">
        <v>146.94</v>
      </c>
      <c r="L1250" s="4">
        <v>29</v>
      </c>
      <c r="M1250" s="2">
        <v>5.07</v>
      </c>
      <c r="N1250" s="6">
        <v>1480.61</v>
      </c>
      <c r="O1250" s="6">
        <f t="shared" si="96"/>
        <v>1333.6699999999998</v>
      </c>
      <c r="P1250" s="6">
        <f t="shared" si="97"/>
        <v>9.0762896420307602</v>
      </c>
      <c r="Q1250" s="3">
        <v>10.08</v>
      </c>
      <c r="R1250" t="str">
        <f t="shared" si="98"/>
        <v>High</v>
      </c>
      <c r="S1250" t="str">
        <f t="shared" si="99"/>
        <v>Valid</v>
      </c>
    </row>
    <row r="1251" spans="1:19" x14ac:dyDescent="0.25">
      <c r="A1251" s="1">
        <v>45374</v>
      </c>
      <c r="B1251" s="1" t="str">
        <f t="shared" si="95"/>
        <v>2024-03</v>
      </c>
      <c r="C1251" t="s">
        <v>28</v>
      </c>
      <c r="D1251" t="s">
        <v>29</v>
      </c>
      <c r="E1251" t="s">
        <v>16</v>
      </c>
      <c r="F1251" t="s">
        <v>20</v>
      </c>
      <c r="G1251" s="4">
        <v>63676</v>
      </c>
      <c r="H1251" s="4">
        <v>1757</v>
      </c>
      <c r="I1251" s="5">
        <v>2.76E-2</v>
      </c>
      <c r="J1251" s="2">
        <v>1.1599999999999999</v>
      </c>
      <c r="K1251" s="6">
        <v>2038.12</v>
      </c>
      <c r="L1251" s="4">
        <v>137</v>
      </c>
      <c r="M1251" s="2">
        <v>14.88</v>
      </c>
      <c r="N1251" s="6">
        <v>8830.01</v>
      </c>
      <c r="O1251" s="6">
        <f t="shared" si="96"/>
        <v>6791.89</v>
      </c>
      <c r="P1251" s="6">
        <f t="shared" si="97"/>
        <v>3.3324289050693778</v>
      </c>
      <c r="Q1251" s="3">
        <v>4.33</v>
      </c>
      <c r="R1251" t="str">
        <f t="shared" si="98"/>
        <v>High</v>
      </c>
      <c r="S1251" t="str">
        <f t="shared" si="99"/>
        <v>Valid</v>
      </c>
    </row>
    <row r="1252" spans="1:19" x14ac:dyDescent="0.25">
      <c r="A1252" s="1">
        <v>45472</v>
      </c>
      <c r="B1252" s="1" t="str">
        <f t="shared" si="95"/>
        <v>2024-06</v>
      </c>
      <c r="C1252" t="s">
        <v>14</v>
      </c>
      <c r="D1252" t="s">
        <v>21</v>
      </c>
      <c r="E1252" t="s">
        <v>19</v>
      </c>
      <c r="F1252" t="s">
        <v>17</v>
      </c>
      <c r="G1252" s="4">
        <v>93545</v>
      </c>
      <c r="H1252" s="4">
        <v>2974</v>
      </c>
      <c r="I1252" s="5">
        <v>3.1800000000000002E-2</v>
      </c>
      <c r="J1252" s="2">
        <v>1.1599999999999999</v>
      </c>
      <c r="K1252" s="6">
        <v>3449.84</v>
      </c>
      <c r="L1252" s="4">
        <v>58</v>
      </c>
      <c r="M1252" s="2">
        <v>59.48</v>
      </c>
      <c r="N1252" s="6">
        <v>4267.1099999999997</v>
      </c>
      <c r="O1252" s="6">
        <f t="shared" si="96"/>
        <v>817.26999999999953</v>
      </c>
      <c r="P1252" s="6">
        <f t="shared" si="97"/>
        <v>0.23690084177816928</v>
      </c>
      <c r="Q1252" s="3">
        <v>1.24</v>
      </c>
      <c r="R1252" t="str">
        <f t="shared" si="98"/>
        <v>Medium</v>
      </c>
      <c r="S1252" t="str">
        <f t="shared" si="99"/>
        <v>Valid</v>
      </c>
    </row>
    <row r="1253" spans="1:19" x14ac:dyDescent="0.25">
      <c r="A1253" s="1">
        <v>45340</v>
      </c>
      <c r="B1253" s="1" t="str">
        <f t="shared" si="95"/>
        <v>2024-02</v>
      </c>
      <c r="C1253" t="s">
        <v>28</v>
      </c>
      <c r="D1253" t="s">
        <v>29</v>
      </c>
      <c r="E1253" t="s">
        <v>19</v>
      </c>
      <c r="F1253" t="s">
        <v>31</v>
      </c>
      <c r="G1253" s="4">
        <v>8671</v>
      </c>
      <c r="H1253" s="4">
        <v>156</v>
      </c>
      <c r="I1253" s="5">
        <v>1.7999999999999999E-2</v>
      </c>
      <c r="J1253" s="2">
        <v>1.46</v>
      </c>
      <c r="K1253" s="6">
        <v>227.76</v>
      </c>
      <c r="L1253" s="4">
        <v>7</v>
      </c>
      <c r="M1253" s="2">
        <v>32.54</v>
      </c>
      <c r="N1253" s="6">
        <v>1461.2</v>
      </c>
      <c r="O1253" s="6">
        <f t="shared" si="96"/>
        <v>1233.44</v>
      </c>
      <c r="P1253" s="6">
        <f t="shared" si="97"/>
        <v>5.4155251141552512</v>
      </c>
      <c r="Q1253" s="3">
        <v>6.42</v>
      </c>
      <c r="R1253" t="str">
        <f t="shared" si="98"/>
        <v>High</v>
      </c>
      <c r="S1253" t="str">
        <f t="shared" si="99"/>
        <v>Valid</v>
      </c>
    </row>
    <row r="1254" spans="1:19" x14ac:dyDescent="0.25">
      <c r="A1254" s="1">
        <v>45388</v>
      </c>
      <c r="B1254" s="1" t="str">
        <f t="shared" si="95"/>
        <v>2024-04</v>
      </c>
      <c r="C1254" t="s">
        <v>28</v>
      </c>
      <c r="D1254" t="s">
        <v>21</v>
      </c>
      <c r="E1254" t="s">
        <v>16</v>
      </c>
      <c r="F1254" t="s">
        <v>23</v>
      </c>
      <c r="G1254" s="4">
        <v>95930</v>
      </c>
      <c r="H1254" s="4">
        <v>1554</v>
      </c>
      <c r="I1254" s="5">
        <v>1.6199999999999999E-2</v>
      </c>
      <c r="J1254" s="2">
        <v>0.72</v>
      </c>
      <c r="K1254" s="6">
        <v>1118.8800000000001</v>
      </c>
      <c r="L1254" s="4">
        <v>62</v>
      </c>
      <c r="M1254" s="2">
        <v>18.05</v>
      </c>
      <c r="N1254" s="6">
        <v>5774.95</v>
      </c>
      <c r="O1254" s="6">
        <f t="shared" si="96"/>
        <v>4656.07</v>
      </c>
      <c r="P1254" s="6">
        <f t="shared" si="97"/>
        <v>4.1613667238667231</v>
      </c>
      <c r="Q1254" s="3">
        <v>5.16</v>
      </c>
      <c r="R1254" t="str">
        <f t="shared" si="98"/>
        <v>High</v>
      </c>
      <c r="S1254" t="str">
        <f t="shared" si="99"/>
        <v>Valid</v>
      </c>
    </row>
    <row r="1255" spans="1:19" x14ac:dyDescent="0.25">
      <c r="A1255" s="1">
        <v>45496</v>
      </c>
      <c r="B1255" s="1" t="str">
        <f t="shared" si="95"/>
        <v>2024-07</v>
      </c>
      <c r="C1255" t="s">
        <v>14</v>
      </c>
      <c r="D1255" t="s">
        <v>29</v>
      </c>
      <c r="E1255" t="s">
        <v>30</v>
      </c>
      <c r="F1255" t="s">
        <v>32</v>
      </c>
      <c r="G1255" s="4">
        <v>73683</v>
      </c>
      <c r="H1255" s="4">
        <v>3757</v>
      </c>
      <c r="I1255" s="5">
        <v>5.0999999999999997E-2</v>
      </c>
      <c r="J1255" s="2">
        <v>3.32</v>
      </c>
      <c r="K1255" s="6">
        <v>12473.24</v>
      </c>
      <c r="L1255" s="4">
        <v>131</v>
      </c>
      <c r="M1255" s="2">
        <v>95.22</v>
      </c>
      <c r="N1255" s="6">
        <v>33721.519999999997</v>
      </c>
      <c r="O1255" s="6">
        <f t="shared" si="96"/>
        <v>21248.28</v>
      </c>
      <c r="P1255" s="6">
        <f t="shared" si="97"/>
        <v>1.7035092726508909</v>
      </c>
      <c r="Q1255" s="3">
        <v>2.7</v>
      </c>
      <c r="R1255" t="str">
        <f t="shared" si="98"/>
        <v>Medium</v>
      </c>
      <c r="S1255" t="str">
        <f t="shared" si="99"/>
        <v>Valid</v>
      </c>
    </row>
    <row r="1256" spans="1:19" x14ac:dyDescent="0.25">
      <c r="A1256" s="1">
        <v>45490</v>
      </c>
      <c r="B1256" s="1" t="str">
        <f t="shared" si="95"/>
        <v>2024-07</v>
      </c>
      <c r="C1256" t="s">
        <v>28</v>
      </c>
      <c r="D1256" t="s">
        <v>24</v>
      </c>
      <c r="E1256" t="s">
        <v>25</v>
      </c>
      <c r="F1256" t="s">
        <v>31</v>
      </c>
      <c r="G1256" s="4">
        <v>152932</v>
      </c>
      <c r="H1256" s="4">
        <v>6591</v>
      </c>
      <c r="I1256" s="5">
        <v>4.3099999999999999E-2</v>
      </c>
      <c r="J1256" s="2">
        <v>1.25</v>
      </c>
      <c r="K1256" s="6">
        <v>8238.75</v>
      </c>
      <c r="L1256" s="4">
        <v>200</v>
      </c>
      <c r="M1256" s="2">
        <v>41.19</v>
      </c>
      <c r="N1256" s="6">
        <v>14211.23</v>
      </c>
      <c r="O1256" s="6">
        <f t="shared" si="96"/>
        <v>5972.48</v>
      </c>
      <c r="P1256" s="6">
        <f t="shared" si="97"/>
        <v>0.72492550447580029</v>
      </c>
      <c r="Q1256" s="3">
        <v>1.72</v>
      </c>
      <c r="R1256" t="str">
        <f t="shared" si="98"/>
        <v>Medium</v>
      </c>
      <c r="S1256" t="str">
        <f t="shared" si="99"/>
        <v>Valid</v>
      </c>
    </row>
    <row r="1257" spans="1:19" x14ac:dyDescent="0.25">
      <c r="A1257" s="1">
        <v>45352</v>
      </c>
      <c r="B1257" s="1" t="str">
        <f t="shared" si="95"/>
        <v>2024-03</v>
      </c>
      <c r="C1257" t="s">
        <v>18</v>
      </c>
      <c r="D1257" t="s">
        <v>24</v>
      </c>
      <c r="E1257" t="s">
        <v>25</v>
      </c>
      <c r="F1257" t="s">
        <v>17</v>
      </c>
      <c r="G1257" s="4">
        <v>125354</v>
      </c>
      <c r="H1257" s="4">
        <v>6179</v>
      </c>
      <c r="I1257" s="5">
        <v>4.9299999999999997E-2</v>
      </c>
      <c r="J1257" s="2">
        <v>0.35</v>
      </c>
      <c r="K1257" s="6">
        <v>2162.65</v>
      </c>
      <c r="L1257" s="4">
        <v>259</v>
      </c>
      <c r="M1257" s="2">
        <v>8.35</v>
      </c>
      <c r="N1257" s="6">
        <v>9238.1200000000008</v>
      </c>
      <c r="O1257" s="6">
        <f t="shared" si="96"/>
        <v>7075.4700000000012</v>
      </c>
      <c r="P1257" s="6">
        <f t="shared" si="97"/>
        <v>3.2716667051996398</v>
      </c>
      <c r="Q1257" s="3">
        <v>4.2699999999999996</v>
      </c>
      <c r="R1257" t="str">
        <f t="shared" si="98"/>
        <v>High</v>
      </c>
      <c r="S1257" t="str">
        <f t="shared" si="99"/>
        <v>Valid</v>
      </c>
    </row>
    <row r="1258" spans="1:19" x14ac:dyDescent="0.25">
      <c r="A1258" s="1">
        <v>45541</v>
      </c>
      <c r="B1258" s="1" t="str">
        <f t="shared" si="95"/>
        <v>2024-09</v>
      </c>
      <c r="C1258" t="s">
        <v>14</v>
      </c>
      <c r="D1258" t="s">
        <v>24</v>
      </c>
      <c r="E1258" t="s">
        <v>30</v>
      </c>
      <c r="F1258" t="s">
        <v>27</v>
      </c>
      <c r="G1258" s="4">
        <v>193613</v>
      </c>
      <c r="H1258" s="4">
        <v>9157</v>
      </c>
      <c r="I1258" s="5">
        <v>4.7300000000000002E-2</v>
      </c>
      <c r="J1258" s="2">
        <v>2.79</v>
      </c>
      <c r="K1258" s="6">
        <v>25548.03</v>
      </c>
      <c r="L1258" s="4">
        <v>458</v>
      </c>
      <c r="M1258" s="2">
        <v>55.78</v>
      </c>
      <c r="N1258" s="6">
        <v>127981.37</v>
      </c>
      <c r="O1258" s="6">
        <f t="shared" si="96"/>
        <v>102433.34</v>
      </c>
      <c r="P1258" s="6">
        <f t="shared" si="97"/>
        <v>4.0094418238901399</v>
      </c>
      <c r="Q1258" s="3">
        <v>5.01</v>
      </c>
      <c r="R1258" t="str">
        <f t="shared" si="98"/>
        <v>High</v>
      </c>
      <c r="S1258" t="str">
        <f t="shared" si="99"/>
        <v>Valid</v>
      </c>
    </row>
    <row r="1259" spans="1:19" x14ac:dyDescent="0.25">
      <c r="A1259" s="1">
        <v>45621</v>
      </c>
      <c r="B1259" s="1" t="str">
        <f t="shared" si="95"/>
        <v>2024-11</v>
      </c>
      <c r="C1259" t="s">
        <v>14</v>
      </c>
      <c r="D1259" t="s">
        <v>29</v>
      </c>
      <c r="E1259" t="s">
        <v>19</v>
      </c>
      <c r="F1259" t="s">
        <v>32</v>
      </c>
      <c r="G1259" s="4">
        <v>158138</v>
      </c>
      <c r="H1259" s="4">
        <v>2846</v>
      </c>
      <c r="I1259" s="5">
        <v>1.7999999999999999E-2</v>
      </c>
      <c r="J1259" s="2">
        <v>2.04</v>
      </c>
      <c r="K1259" s="6">
        <v>5805.84</v>
      </c>
      <c r="L1259" s="4">
        <v>143</v>
      </c>
      <c r="M1259" s="2">
        <v>40.6</v>
      </c>
      <c r="N1259" s="6">
        <v>22164.01</v>
      </c>
      <c r="O1259" s="6">
        <f t="shared" si="96"/>
        <v>16358.169999999998</v>
      </c>
      <c r="P1259" s="6">
        <f t="shared" si="97"/>
        <v>2.8175371694707394</v>
      </c>
      <c r="Q1259" s="3">
        <v>3.82</v>
      </c>
      <c r="R1259" t="str">
        <f t="shared" si="98"/>
        <v>High</v>
      </c>
      <c r="S1259" t="str">
        <f t="shared" si="99"/>
        <v>Valid</v>
      </c>
    </row>
    <row r="1260" spans="1:19" x14ac:dyDescent="0.25">
      <c r="A1260" s="1">
        <v>45471</v>
      </c>
      <c r="B1260" s="1" t="str">
        <f t="shared" si="95"/>
        <v>2024-06</v>
      </c>
      <c r="C1260" t="s">
        <v>14</v>
      </c>
      <c r="D1260" t="s">
        <v>21</v>
      </c>
      <c r="E1260" t="s">
        <v>22</v>
      </c>
      <c r="F1260" t="s">
        <v>17</v>
      </c>
      <c r="G1260" s="4">
        <v>134814</v>
      </c>
      <c r="H1260" s="4">
        <v>2804</v>
      </c>
      <c r="I1260" s="5">
        <v>2.0799999999999999E-2</v>
      </c>
      <c r="J1260" s="2">
        <v>1.91</v>
      </c>
      <c r="K1260" s="6">
        <v>5355.64</v>
      </c>
      <c r="L1260" s="4">
        <v>195</v>
      </c>
      <c r="M1260" s="2">
        <v>27.46</v>
      </c>
      <c r="N1260" s="6">
        <v>46646.16</v>
      </c>
      <c r="O1260" s="6">
        <f t="shared" si="96"/>
        <v>41290.520000000004</v>
      </c>
      <c r="P1260" s="6">
        <f t="shared" si="97"/>
        <v>7.7097265686267189</v>
      </c>
      <c r="Q1260" s="3">
        <v>8.7100000000000009</v>
      </c>
      <c r="R1260" t="str">
        <f t="shared" si="98"/>
        <v>High</v>
      </c>
      <c r="S1260" t="str">
        <f t="shared" si="99"/>
        <v>Valid</v>
      </c>
    </row>
    <row r="1261" spans="1:19" x14ac:dyDescent="0.25">
      <c r="A1261" s="1">
        <v>45341</v>
      </c>
      <c r="B1261" s="1" t="str">
        <f t="shared" si="95"/>
        <v>2024-02</v>
      </c>
      <c r="C1261" t="s">
        <v>14</v>
      </c>
      <c r="D1261" t="s">
        <v>15</v>
      </c>
      <c r="E1261" t="s">
        <v>30</v>
      </c>
      <c r="F1261" t="s">
        <v>32</v>
      </c>
      <c r="G1261" s="4">
        <v>102366</v>
      </c>
      <c r="H1261" s="4">
        <v>2589</v>
      </c>
      <c r="I1261" s="5">
        <v>2.53E-2</v>
      </c>
      <c r="J1261" s="2">
        <v>1.59</v>
      </c>
      <c r="K1261" s="6">
        <v>4116.51</v>
      </c>
      <c r="L1261" s="4">
        <v>148</v>
      </c>
      <c r="M1261" s="2">
        <v>27.81</v>
      </c>
      <c r="N1261" s="6">
        <v>35080.15</v>
      </c>
      <c r="O1261" s="6">
        <f t="shared" si="96"/>
        <v>30963.64</v>
      </c>
      <c r="P1261" s="6">
        <f t="shared" si="97"/>
        <v>7.5218182392366346</v>
      </c>
      <c r="Q1261" s="3">
        <v>8.52</v>
      </c>
      <c r="R1261" t="str">
        <f t="shared" si="98"/>
        <v>High</v>
      </c>
      <c r="S1261" t="str">
        <f t="shared" si="99"/>
        <v>Valid</v>
      </c>
    </row>
    <row r="1262" spans="1:19" x14ac:dyDescent="0.25">
      <c r="A1262" s="1">
        <v>45436</v>
      </c>
      <c r="B1262" s="1" t="str">
        <f t="shared" si="95"/>
        <v>2024-05</v>
      </c>
      <c r="C1262" t="s">
        <v>28</v>
      </c>
      <c r="D1262" t="s">
        <v>29</v>
      </c>
      <c r="E1262" t="s">
        <v>22</v>
      </c>
      <c r="F1262" t="s">
        <v>27</v>
      </c>
      <c r="G1262" s="4">
        <v>159044</v>
      </c>
      <c r="H1262" s="4">
        <v>2385</v>
      </c>
      <c r="I1262" s="5">
        <v>1.4999999999999999E-2</v>
      </c>
      <c r="J1262" s="2">
        <v>1.65</v>
      </c>
      <c r="K1262" s="6">
        <v>3935.25</v>
      </c>
      <c r="L1262" s="4">
        <v>184</v>
      </c>
      <c r="M1262" s="2">
        <v>21.39</v>
      </c>
      <c r="N1262" s="6">
        <v>35387.51</v>
      </c>
      <c r="O1262" s="6">
        <f t="shared" si="96"/>
        <v>31452.260000000002</v>
      </c>
      <c r="P1262" s="6">
        <f t="shared" si="97"/>
        <v>7.9924426656502137</v>
      </c>
      <c r="Q1262" s="3">
        <v>8.99</v>
      </c>
      <c r="R1262" t="str">
        <f t="shared" si="98"/>
        <v>High</v>
      </c>
      <c r="S1262" t="str">
        <f t="shared" si="99"/>
        <v>Valid</v>
      </c>
    </row>
    <row r="1263" spans="1:19" x14ac:dyDescent="0.25">
      <c r="A1263" s="1">
        <v>45404</v>
      </c>
      <c r="B1263" s="1" t="str">
        <f t="shared" si="95"/>
        <v>2024-04</v>
      </c>
      <c r="C1263" t="s">
        <v>18</v>
      </c>
      <c r="D1263" t="s">
        <v>24</v>
      </c>
      <c r="E1263" t="s">
        <v>19</v>
      </c>
      <c r="F1263" t="s">
        <v>23</v>
      </c>
      <c r="G1263" s="4">
        <v>35932</v>
      </c>
      <c r="H1263" s="4">
        <v>1440</v>
      </c>
      <c r="I1263" s="5">
        <v>4.0099999999999997E-2</v>
      </c>
      <c r="J1263" s="2">
        <v>0.91</v>
      </c>
      <c r="K1263" s="6">
        <v>1310.4000000000001</v>
      </c>
      <c r="L1263" s="4">
        <v>68</v>
      </c>
      <c r="M1263" s="2">
        <v>19.27</v>
      </c>
      <c r="N1263" s="6">
        <v>16668.75</v>
      </c>
      <c r="O1263" s="6">
        <f t="shared" si="96"/>
        <v>15358.35</v>
      </c>
      <c r="P1263" s="6">
        <f t="shared" si="97"/>
        <v>11.720352564102564</v>
      </c>
      <c r="Q1263" s="3">
        <v>12.72</v>
      </c>
      <c r="R1263" t="str">
        <f t="shared" si="98"/>
        <v>High</v>
      </c>
      <c r="S1263" t="str">
        <f t="shared" si="99"/>
        <v>Valid</v>
      </c>
    </row>
    <row r="1264" spans="1:19" x14ac:dyDescent="0.25">
      <c r="A1264" s="1">
        <v>45383</v>
      </c>
      <c r="B1264" s="1" t="str">
        <f t="shared" si="95"/>
        <v>2024-04</v>
      </c>
      <c r="C1264" t="s">
        <v>18</v>
      </c>
      <c r="D1264" t="s">
        <v>29</v>
      </c>
      <c r="E1264" t="s">
        <v>19</v>
      </c>
      <c r="F1264" t="s">
        <v>32</v>
      </c>
      <c r="G1264" s="4">
        <v>116561</v>
      </c>
      <c r="H1264" s="4">
        <v>4231</v>
      </c>
      <c r="I1264" s="5">
        <v>3.6299999999999999E-2</v>
      </c>
      <c r="J1264" s="2">
        <v>1</v>
      </c>
      <c r="K1264" s="6">
        <v>4231</v>
      </c>
      <c r="L1264" s="4">
        <v>172</v>
      </c>
      <c r="M1264" s="2">
        <v>24.6</v>
      </c>
      <c r="N1264" s="6">
        <v>42291.58</v>
      </c>
      <c r="O1264" s="6">
        <f t="shared" si="96"/>
        <v>38060.58</v>
      </c>
      <c r="P1264" s="6">
        <f t="shared" si="97"/>
        <v>8.9956464192862207</v>
      </c>
      <c r="Q1264" s="3">
        <v>10</v>
      </c>
      <c r="R1264" t="str">
        <f t="shared" si="98"/>
        <v>High</v>
      </c>
      <c r="S1264" t="str">
        <f t="shared" si="99"/>
        <v>Valid</v>
      </c>
    </row>
    <row r="1265" spans="1:19" x14ac:dyDescent="0.25">
      <c r="A1265" s="1">
        <v>45480</v>
      </c>
      <c r="B1265" s="1" t="str">
        <f t="shared" si="95"/>
        <v>2024-07</v>
      </c>
      <c r="C1265" t="s">
        <v>28</v>
      </c>
      <c r="D1265" t="s">
        <v>24</v>
      </c>
      <c r="E1265" t="s">
        <v>16</v>
      </c>
      <c r="F1265" t="s">
        <v>32</v>
      </c>
      <c r="G1265" s="4">
        <v>8608</v>
      </c>
      <c r="H1265" s="4">
        <v>100</v>
      </c>
      <c r="I1265" s="5">
        <v>1.17E-2</v>
      </c>
      <c r="J1265" s="2">
        <v>0.57999999999999996</v>
      </c>
      <c r="K1265" s="6">
        <v>58</v>
      </c>
      <c r="L1265" s="4">
        <v>3</v>
      </c>
      <c r="M1265" s="2">
        <v>19.329999999999998</v>
      </c>
      <c r="N1265" s="6">
        <v>661.12</v>
      </c>
      <c r="O1265" s="6">
        <f t="shared" si="96"/>
        <v>603.12</v>
      </c>
      <c r="P1265" s="6">
        <f t="shared" si="97"/>
        <v>10.398620689655173</v>
      </c>
      <c r="Q1265" s="3">
        <v>11.4</v>
      </c>
      <c r="R1265" t="str">
        <f t="shared" si="98"/>
        <v>High</v>
      </c>
      <c r="S1265" t="str">
        <f t="shared" si="99"/>
        <v>Valid</v>
      </c>
    </row>
    <row r="1266" spans="1:19" x14ac:dyDescent="0.25">
      <c r="A1266" s="1">
        <v>45523</v>
      </c>
      <c r="B1266" s="1" t="str">
        <f t="shared" si="95"/>
        <v>2024-08</v>
      </c>
      <c r="C1266" t="s">
        <v>28</v>
      </c>
      <c r="D1266" t="s">
        <v>15</v>
      </c>
      <c r="E1266" t="s">
        <v>30</v>
      </c>
      <c r="F1266" t="s">
        <v>17</v>
      </c>
      <c r="G1266" s="4">
        <v>19284</v>
      </c>
      <c r="H1266" s="4">
        <v>642</v>
      </c>
      <c r="I1266" s="5">
        <v>3.3300000000000003E-2</v>
      </c>
      <c r="J1266" s="2">
        <v>1.57</v>
      </c>
      <c r="K1266" s="6">
        <v>1007.94</v>
      </c>
      <c r="L1266" s="4">
        <v>21</v>
      </c>
      <c r="M1266" s="2">
        <v>48</v>
      </c>
      <c r="N1266" s="6">
        <v>5907.29</v>
      </c>
      <c r="O1266" s="6">
        <f t="shared" si="96"/>
        <v>4899.3500000000004</v>
      </c>
      <c r="P1266" s="6">
        <f t="shared" si="97"/>
        <v>4.8607556005317774</v>
      </c>
      <c r="Q1266" s="3">
        <v>5.86</v>
      </c>
      <c r="R1266" t="str">
        <f t="shared" si="98"/>
        <v>High</v>
      </c>
      <c r="S1266" t="str">
        <f t="shared" si="99"/>
        <v>Valid</v>
      </c>
    </row>
    <row r="1267" spans="1:19" x14ac:dyDescent="0.25">
      <c r="A1267" s="1">
        <v>45358</v>
      </c>
      <c r="B1267" s="1" t="str">
        <f t="shared" si="95"/>
        <v>2024-03</v>
      </c>
      <c r="C1267" t="s">
        <v>28</v>
      </c>
      <c r="D1267" t="s">
        <v>29</v>
      </c>
      <c r="E1267" t="s">
        <v>16</v>
      </c>
      <c r="F1267" t="s">
        <v>31</v>
      </c>
      <c r="G1267" s="4">
        <v>161764</v>
      </c>
      <c r="H1267" s="4">
        <v>2652</v>
      </c>
      <c r="I1267" s="5">
        <v>1.6400000000000001E-2</v>
      </c>
      <c r="J1267" s="2">
        <v>0.99</v>
      </c>
      <c r="K1267" s="6">
        <v>2625.48</v>
      </c>
      <c r="L1267" s="4">
        <v>76</v>
      </c>
      <c r="M1267" s="2">
        <v>34.549999999999997</v>
      </c>
      <c r="N1267" s="6">
        <v>16956.509999999998</v>
      </c>
      <c r="O1267" s="6">
        <f t="shared" si="96"/>
        <v>14331.029999999999</v>
      </c>
      <c r="P1267" s="6">
        <f t="shared" si="97"/>
        <v>5.4584418849124727</v>
      </c>
      <c r="Q1267" s="3">
        <v>6.46</v>
      </c>
      <c r="R1267" t="str">
        <f t="shared" si="98"/>
        <v>High</v>
      </c>
      <c r="S1267" t="str">
        <f t="shared" si="99"/>
        <v>Valid</v>
      </c>
    </row>
    <row r="1268" spans="1:19" x14ac:dyDescent="0.25">
      <c r="A1268" s="1">
        <v>45637</v>
      </c>
      <c r="B1268" s="1" t="str">
        <f t="shared" si="95"/>
        <v>2024-12</v>
      </c>
      <c r="C1268" t="s">
        <v>18</v>
      </c>
      <c r="D1268" t="s">
        <v>21</v>
      </c>
      <c r="E1268" t="s">
        <v>16</v>
      </c>
      <c r="F1268" t="s">
        <v>26</v>
      </c>
      <c r="G1268" s="4">
        <v>116045</v>
      </c>
      <c r="H1268" s="4">
        <v>6660</v>
      </c>
      <c r="I1268" s="5">
        <v>5.74E-2</v>
      </c>
      <c r="J1268" s="2">
        <v>0.35</v>
      </c>
      <c r="K1268" s="6">
        <v>2331</v>
      </c>
      <c r="L1268" s="4">
        <v>467</v>
      </c>
      <c r="M1268" s="2">
        <v>4.99</v>
      </c>
      <c r="N1268" s="6">
        <v>76092.649999999994</v>
      </c>
      <c r="O1268" s="6">
        <f t="shared" si="96"/>
        <v>73761.649999999994</v>
      </c>
      <c r="P1268" s="6">
        <f t="shared" si="97"/>
        <v>31.643779493779491</v>
      </c>
      <c r="Q1268" s="3">
        <v>32.64</v>
      </c>
      <c r="R1268" t="str">
        <f t="shared" si="98"/>
        <v>High</v>
      </c>
      <c r="S1268" t="str">
        <f t="shared" si="99"/>
        <v>Valid</v>
      </c>
    </row>
    <row r="1269" spans="1:19" x14ac:dyDescent="0.25">
      <c r="A1269" s="1">
        <v>45449</v>
      </c>
      <c r="B1269" s="1" t="str">
        <f t="shared" si="95"/>
        <v>2024-06</v>
      </c>
      <c r="C1269" t="s">
        <v>28</v>
      </c>
      <c r="D1269" t="s">
        <v>24</v>
      </c>
      <c r="E1269" t="s">
        <v>30</v>
      </c>
      <c r="F1269" t="s">
        <v>20</v>
      </c>
      <c r="G1269" s="4">
        <v>61395</v>
      </c>
      <c r="H1269" s="4">
        <v>2038</v>
      </c>
      <c r="I1269" s="5">
        <v>3.32E-2</v>
      </c>
      <c r="J1269" s="2">
        <v>2.36</v>
      </c>
      <c r="K1269" s="6">
        <v>4809.68</v>
      </c>
      <c r="L1269" s="4">
        <v>102</v>
      </c>
      <c r="M1269" s="2">
        <v>47.15</v>
      </c>
      <c r="N1269" s="6">
        <v>16290.15</v>
      </c>
      <c r="O1269" s="6">
        <f t="shared" si="96"/>
        <v>11480.47</v>
      </c>
      <c r="P1269" s="6">
        <f t="shared" si="97"/>
        <v>2.3869508990203085</v>
      </c>
      <c r="Q1269" s="3">
        <v>3.39</v>
      </c>
      <c r="R1269" t="str">
        <f t="shared" si="98"/>
        <v>High</v>
      </c>
      <c r="S1269" t="str">
        <f t="shared" si="99"/>
        <v>Valid</v>
      </c>
    </row>
    <row r="1270" spans="1:19" x14ac:dyDescent="0.25">
      <c r="A1270" s="1">
        <v>45384</v>
      </c>
      <c r="B1270" s="1" t="str">
        <f t="shared" si="95"/>
        <v>2024-04</v>
      </c>
      <c r="C1270" t="s">
        <v>14</v>
      </c>
      <c r="D1270" t="s">
        <v>24</v>
      </c>
      <c r="E1270" t="s">
        <v>19</v>
      </c>
      <c r="F1270" t="s">
        <v>17</v>
      </c>
      <c r="G1270" s="4">
        <v>119183</v>
      </c>
      <c r="H1270" s="4">
        <v>5041</v>
      </c>
      <c r="I1270" s="5">
        <v>4.2299999999999997E-2</v>
      </c>
      <c r="J1270" s="2">
        <v>3.38</v>
      </c>
      <c r="K1270" s="6">
        <v>17038.580000000002</v>
      </c>
      <c r="L1270" s="4">
        <v>121</v>
      </c>
      <c r="M1270" s="2">
        <v>140.81</v>
      </c>
      <c r="N1270" s="6">
        <v>25438.17</v>
      </c>
      <c r="O1270" s="6">
        <f t="shared" si="96"/>
        <v>8399.5899999999965</v>
      </c>
      <c r="P1270" s="6">
        <f t="shared" si="97"/>
        <v>0.49297476667656553</v>
      </c>
      <c r="Q1270" s="3">
        <v>1.49</v>
      </c>
      <c r="R1270" t="str">
        <f t="shared" si="98"/>
        <v>Medium</v>
      </c>
      <c r="S1270" t="str">
        <f t="shared" si="99"/>
        <v>Valid</v>
      </c>
    </row>
    <row r="1271" spans="1:19" x14ac:dyDescent="0.25">
      <c r="A1271" s="1">
        <v>45569</v>
      </c>
      <c r="B1271" s="1" t="str">
        <f t="shared" si="95"/>
        <v>2024-10</v>
      </c>
      <c r="C1271" t="s">
        <v>28</v>
      </c>
      <c r="D1271" t="s">
        <v>15</v>
      </c>
      <c r="E1271" t="s">
        <v>30</v>
      </c>
      <c r="F1271" t="s">
        <v>17</v>
      </c>
      <c r="G1271" s="4">
        <v>26747</v>
      </c>
      <c r="H1271" s="4">
        <v>1099</v>
      </c>
      <c r="I1271" s="5">
        <v>4.1099999999999998E-2</v>
      </c>
      <c r="J1271" s="2">
        <v>1.1399999999999999</v>
      </c>
      <c r="K1271" s="6">
        <v>1252.8599999999999</v>
      </c>
      <c r="L1271" s="4">
        <v>36</v>
      </c>
      <c r="M1271" s="2">
        <v>34.799999999999997</v>
      </c>
      <c r="N1271" s="6">
        <v>5626.79</v>
      </c>
      <c r="O1271" s="6">
        <f t="shared" si="96"/>
        <v>4373.93</v>
      </c>
      <c r="P1271" s="6">
        <f t="shared" si="97"/>
        <v>3.4911562345353837</v>
      </c>
      <c r="Q1271" s="3">
        <v>4.49</v>
      </c>
      <c r="R1271" t="str">
        <f t="shared" si="98"/>
        <v>High</v>
      </c>
      <c r="S1271" t="str">
        <f t="shared" si="99"/>
        <v>Valid</v>
      </c>
    </row>
    <row r="1272" spans="1:19" x14ac:dyDescent="0.25">
      <c r="A1272" s="1">
        <v>45642</v>
      </c>
      <c r="B1272" s="1" t="str">
        <f t="shared" si="95"/>
        <v>2024-12</v>
      </c>
      <c r="C1272" t="s">
        <v>28</v>
      </c>
      <c r="D1272" t="s">
        <v>29</v>
      </c>
      <c r="E1272" t="s">
        <v>19</v>
      </c>
      <c r="F1272" t="s">
        <v>26</v>
      </c>
      <c r="G1272" s="4">
        <v>157898</v>
      </c>
      <c r="H1272" s="4">
        <v>3094</v>
      </c>
      <c r="I1272" s="5">
        <v>1.9599999999999999E-2</v>
      </c>
      <c r="J1272" s="2">
        <v>2.39</v>
      </c>
      <c r="K1272" s="6">
        <v>7394.66</v>
      </c>
      <c r="L1272" s="4">
        <v>245</v>
      </c>
      <c r="M1272" s="2">
        <v>30.18</v>
      </c>
      <c r="N1272" s="6">
        <v>72430.36</v>
      </c>
      <c r="O1272" s="6">
        <f t="shared" si="96"/>
        <v>65035.7</v>
      </c>
      <c r="P1272" s="6">
        <f t="shared" si="97"/>
        <v>8.7949547376079487</v>
      </c>
      <c r="Q1272" s="3">
        <v>9.7899999999999991</v>
      </c>
      <c r="R1272" t="str">
        <f t="shared" si="98"/>
        <v>High</v>
      </c>
      <c r="S1272" t="str">
        <f t="shared" si="99"/>
        <v>Valid</v>
      </c>
    </row>
    <row r="1273" spans="1:19" x14ac:dyDescent="0.25">
      <c r="A1273" s="1">
        <v>45470</v>
      </c>
      <c r="B1273" s="1" t="str">
        <f t="shared" si="95"/>
        <v>2024-06</v>
      </c>
      <c r="C1273" t="s">
        <v>28</v>
      </c>
      <c r="D1273" t="s">
        <v>15</v>
      </c>
      <c r="E1273" t="s">
        <v>22</v>
      </c>
      <c r="F1273" t="s">
        <v>23</v>
      </c>
      <c r="G1273" s="4">
        <v>49456</v>
      </c>
      <c r="H1273" s="4">
        <v>801</v>
      </c>
      <c r="I1273" s="5">
        <v>1.6199999999999999E-2</v>
      </c>
      <c r="J1273" s="2">
        <v>1.86</v>
      </c>
      <c r="K1273" s="6">
        <v>1489.86</v>
      </c>
      <c r="L1273" s="4">
        <v>50</v>
      </c>
      <c r="M1273" s="2">
        <v>29.8</v>
      </c>
      <c r="N1273" s="6">
        <v>4108.2</v>
      </c>
      <c r="O1273" s="6">
        <f t="shared" si="96"/>
        <v>2618.34</v>
      </c>
      <c r="P1273" s="6">
        <f t="shared" si="97"/>
        <v>1.7574402964036893</v>
      </c>
      <c r="Q1273" s="3">
        <v>2.76</v>
      </c>
      <c r="R1273" t="str">
        <f t="shared" si="98"/>
        <v>Medium</v>
      </c>
      <c r="S1273" t="str">
        <f t="shared" si="99"/>
        <v>Valid</v>
      </c>
    </row>
    <row r="1274" spans="1:19" x14ac:dyDescent="0.25">
      <c r="A1274" s="1">
        <v>45339</v>
      </c>
      <c r="B1274" s="1" t="str">
        <f t="shared" si="95"/>
        <v>2024-02</v>
      </c>
      <c r="C1274" t="s">
        <v>14</v>
      </c>
      <c r="D1274" t="s">
        <v>21</v>
      </c>
      <c r="E1274" t="s">
        <v>25</v>
      </c>
      <c r="F1274" t="s">
        <v>27</v>
      </c>
      <c r="G1274" s="4">
        <v>150213</v>
      </c>
      <c r="H1274" s="4">
        <v>5242</v>
      </c>
      <c r="I1274" s="5">
        <v>3.49E-2</v>
      </c>
      <c r="J1274" s="2">
        <v>3.15</v>
      </c>
      <c r="K1274" s="6">
        <v>16512.3</v>
      </c>
      <c r="L1274" s="4">
        <v>332</v>
      </c>
      <c r="M1274" s="2">
        <v>49.74</v>
      </c>
      <c r="N1274" s="6">
        <v>64497.69</v>
      </c>
      <c r="O1274" s="6">
        <f t="shared" si="96"/>
        <v>47985.39</v>
      </c>
      <c r="P1274" s="6">
        <f t="shared" si="97"/>
        <v>2.9060391344634002</v>
      </c>
      <c r="Q1274" s="3">
        <v>3.91</v>
      </c>
      <c r="R1274" t="str">
        <f t="shared" si="98"/>
        <v>High</v>
      </c>
      <c r="S1274" t="str">
        <f t="shared" si="99"/>
        <v>Valid</v>
      </c>
    </row>
    <row r="1275" spans="1:19" x14ac:dyDescent="0.25">
      <c r="A1275" s="1">
        <v>45298</v>
      </c>
      <c r="B1275" s="1" t="str">
        <f t="shared" si="95"/>
        <v>2024-01</v>
      </c>
      <c r="C1275" t="s">
        <v>14</v>
      </c>
      <c r="D1275" t="s">
        <v>24</v>
      </c>
      <c r="E1275" t="s">
        <v>19</v>
      </c>
      <c r="F1275" t="s">
        <v>23</v>
      </c>
      <c r="G1275" s="4">
        <v>73305</v>
      </c>
      <c r="H1275" s="4">
        <v>3635</v>
      </c>
      <c r="I1275" s="5">
        <v>4.9599999999999998E-2</v>
      </c>
      <c r="J1275" s="2">
        <v>2.48</v>
      </c>
      <c r="K1275" s="6">
        <v>9014.7999999999993</v>
      </c>
      <c r="L1275" s="4">
        <v>47</v>
      </c>
      <c r="M1275" s="2">
        <v>191.8</v>
      </c>
      <c r="N1275" s="6">
        <v>2210.35</v>
      </c>
      <c r="O1275" s="6">
        <f t="shared" si="96"/>
        <v>-6804.4499999999989</v>
      </c>
      <c r="P1275" s="6">
        <f t="shared" si="97"/>
        <v>-0.75480875892975985</v>
      </c>
      <c r="Q1275" s="3">
        <v>0.25</v>
      </c>
      <c r="R1275" t="str">
        <f t="shared" si="98"/>
        <v>Low</v>
      </c>
      <c r="S1275" t="str">
        <f t="shared" si="99"/>
        <v>Valid</v>
      </c>
    </row>
    <row r="1276" spans="1:19" x14ac:dyDescent="0.25">
      <c r="A1276" s="1">
        <v>45465</v>
      </c>
      <c r="B1276" s="1" t="str">
        <f t="shared" si="95"/>
        <v>2024-06</v>
      </c>
      <c r="C1276" t="s">
        <v>18</v>
      </c>
      <c r="D1276" t="s">
        <v>29</v>
      </c>
      <c r="E1276" t="s">
        <v>16</v>
      </c>
      <c r="F1276" t="s">
        <v>20</v>
      </c>
      <c r="G1276" s="4">
        <v>187663</v>
      </c>
      <c r="H1276" s="4">
        <v>10790</v>
      </c>
      <c r="I1276" s="5">
        <v>5.7500000000000002E-2</v>
      </c>
      <c r="J1276" s="2">
        <v>0.69</v>
      </c>
      <c r="K1276" s="6">
        <v>7445.1</v>
      </c>
      <c r="L1276" s="4">
        <v>121</v>
      </c>
      <c r="M1276" s="2">
        <v>61.53</v>
      </c>
      <c r="N1276" s="6">
        <v>18190.79</v>
      </c>
      <c r="O1276" s="6">
        <f t="shared" si="96"/>
        <v>10745.69</v>
      </c>
      <c r="P1276" s="6">
        <f t="shared" si="97"/>
        <v>1.4433237968596795</v>
      </c>
      <c r="Q1276" s="3">
        <v>2.44</v>
      </c>
      <c r="R1276" t="str">
        <f t="shared" si="98"/>
        <v>Medium</v>
      </c>
      <c r="S1276" t="str">
        <f t="shared" si="99"/>
        <v>Valid</v>
      </c>
    </row>
    <row r="1277" spans="1:19" x14ac:dyDescent="0.25">
      <c r="A1277" s="1">
        <v>45596</v>
      </c>
      <c r="B1277" s="1" t="str">
        <f t="shared" si="95"/>
        <v>2024-10</v>
      </c>
      <c r="C1277" t="s">
        <v>18</v>
      </c>
      <c r="D1277" t="s">
        <v>29</v>
      </c>
      <c r="E1277" t="s">
        <v>22</v>
      </c>
      <c r="F1277" t="s">
        <v>23</v>
      </c>
      <c r="G1277" s="4">
        <v>85066</v>
      </c>
      <c r="H1277" s="4">
        <v>5903</v>
      </c>
      <c r="I1277" s="5">
        <v>6.9400000000000003E-2</v>
      </c>
      <c r="J1277" s="2">
        <v>1.3</v>
      </c>
      <c r="K1277" s="6">
        <v>7673.9</v>
      </c>
      <c r="L1277" s="4">
        <v>465</v>
      </c>
      <c r="M1277" s="2">
        <v>16.5</v>
      </c>
      <c r="N1277" s="6">
        <v>85397.14</v>
      </c>
      <c r="O1277" s="6">
        <f t="shared" si="96"/>
        <v>77723.240000000005</v>
      </c>
      <c r="P1277" s="6">
        <f t="shared" si="97"/>
        <v>10.128258121685194</v>
      </c>
      <c r="Q1277" s="3">
        <v>11.13</v>
      </c>
      <c r="R1277" t="str">
        <f t="shared" si="98"/>
        <v>High</v>
      </c>
      <c r="S1277" t="str">
        <f t="shared" si="99"/>
        <v>Valid</v>
      </c>
    </row>
    <row r="1278" spans="1:19" x14ac:dyDescent="0.25">
      <c r="A1278" s="1">
        <v>45327</v>
      </c>
      <c r="B1278" s="1" t="str">
        <f t="shared" si="95"/>
        <v>2024-02</v>
      </c>
      <c r="C1278" t="s">
        <v>14</v>
      </c>
      <c r="D1278" t="s">
        <v>24</v>
      </c>
      <c r="E1278" t="s">
        <v>19</v>
      </c>
      <c r="F1278" t="s">
        <v>23</v>
      </c>
      <c r="G1278" s="4">
        <v>12045</v>
      </c>
      <c r="H1278" s="4">
        <v>255</v>
      </c>
      <c r="I1278" s="5">
        <v>2.12E-2</v>
      </c>
      <c r="J1278" s="2">
        <v>2.02</v>
      </c>
      <c r="K1278" s="6">
        <v>515.1</v>
      </c>
      <c r="L1278" s="4">
        <v>4</v>
      </c>
      <c r="M1278" s="2">
        <v>128.78</v>
      </c>
      <c r="N1278" s="6">
        <v>161.02000000000001</v>
      </c>
      <c r="O1278" s="6">
        <f t="shared" si="96"/>
        <v>-354.08000000000004</v>
      </c>
      <c r="P1278" s="6">
        <f t="shared" si="97"/>
        <v>-0.68740050475635806</v>
      </c>
      <c r="Q1278" s="3">
        <v>0.31</v>
      </c>
      <c r="R1278" t="str">
        <f t="shared" si="98"/>
        <v>Low</v>
      </c>
      <c r="S1278" t="str">
        <f t="shared" si="99"/>
        <v>Valid</v>
      </c>
    </row>
    <row r="1279" spans="1:19" x14ac:dyDescent="0.25">
      <c r="A1279" s="1">
        <v>45420</v>
      </c>
      <c r="B1279" s="1" t="str">
        <f t="shared" si="95"/>
        <v>2024-05</v>
      </c>
      <c r="C1279" t="s">
        <v>14</v>
      </c>
      <c r="D1279" t="s">
        <v>21</v>
      </c>
      <c r="E1279" t="s">
        <v>16</v>
      </c>
      <c r="F1279" t="s">
        <v>17</v>
      </c>
      <c r="G1279" s="4">
        <v>77796</v>
      </c>
      <c r="H1279" s="4">
        <v>3703</v>
      </c>
      <c r="I1279" s="5">
        <v>4.7600000000000003E-2</v>
      </c>
      <c r="J1279" s="2">
        <v>2.67</v>
      </c>
      <c r="K1279" s="6">
        <v>9887.01</v>
      </c>
      <c r="L1279" s="4">
        <v>182</v>
      </c>
      <c r="M1279" s="2">
        <v>54.32</v>
      </c>
      <c r="N1279" s="6">
        <v>43235.35</v>
      </c>
      <c r="O1279" s="6">
        <f t="shared" si="96"/>
        <v>33348.339999999997</v>
      </c>
      <c r="P1279" s="6">
        <f t="shared" si="97"/>
        <v>3.3729449044756703</v>
      </c>
      <c r="Q1279" s="3">
        <v>4.37</v>
      </c>
      <c r="R1279" t="str">
        <f t="shared" si="98"/>
        <v>High</v>
      </c>
      <c r="S1279" t="str">
        <f t="shared" si="99"/>
        <v>Valid</v>
      </c>
    </row>
    <row r="1280" spans="1:19" x14ac:dyDescent="0.25">
      <c r="A1280" s="1">
        <v>45327</v>
      </c>
      <c r="B1280" s="1" t="str">
        <f t="shared" si="95"/>
        <v>2024-02</v>
      </c>
      <c r="C1280" t="s">
        <v>18</v>
      </c>
      <c r="D1280" t="s">
        <v>24</v>
      </c>
      <c r="E1280" t="s">
        <v>16</v>
      </c>
      <c r="F1280" t="s">
        <v>20</v>
      </c>
      <c r="G1280" s="4">
        <v>90443</v>
      </c>
      <c r="H1280" s="4">
        <v>3789</v>
      </c>
      <c r="I1280" s="5">
        <v>4.19E-2</v>
      </c>
      <c r="J1280" s="2">
        <v>0.56999999999999995</v>
      </c>
      <c r="K1280" s="6">
        <v>2159.73</v>
      </c>
      <c r="L1280" s="4">
        <v>94</v>
      </c>
      <c r="M1280" s="2">
        <v>22.98</v>
      </c>
      <c r="N1280" s="6">
        <v>16003.58</v>
      </c>
      <c r="O1280" s="6">
        <f t="shared" si="96"/>
        <v>13843.85</v>
      </c>
      <c r="P1280" s="6">
        <f t="shared" si="97"/>
        <v>6.4099910636977775</v>
      </c>
      <c r="Q1280" s="3">
        <v>7.41</v>
      </c>
      <c r="R1280" t="str">
        <f t="shared" si="98"/>
        <v>High</v>
      </c>
      <c r="S1280" t="str">
        <f t="shared" si="99"/>
        <v>Valid</v>
      </c>
    </row>
    <row r="1281" spans="1:19" x14ac:dyDescent="0.25">
      <c r="A1281" s="1">
        <v>45368</v>
      </c>
      <c r="B1281" s="1" t="str">
        <f t="shared" si="95"/>
        <v>2024-03</v>
      </c>
      <c r="C1281" t="s">
        <v>28</v>
      </c>
      <c r="D1281" t="s">
        <v>29</v>
      </c>
      <c r="E1281" t="s">
        <v>30</v>
      </c>
      <c r="F1281" t="s">
        <v>27</v>
      </c>
      <c r="G1281" s="4">
        <v>52838</v>
      </c>
      <c r="H1281" s="4">
        <v>660</v>
      </c>
      <c r="I1281" s="5">
        <v>1.2500000000000001E-2</v>
      </c>
      <c r="J1281" s="2">
        <v>1.78</v>
      </c>
      <c r="K1281" s="6">
        <v>1174.8</v>
      </c>
      <c r="L1281" s="4">
        <v>14</v>
      </c>
      <c r="M1281" s="2">
        <v>83.91</v>
      </c>
      <c r="N1281" s="6">
        <v>2258.16</v>
      </c>
      <c r="O1281" s="6">
        <f t="shared" si="96"/>
        <v>1083.3599999999999</v>
      </c>
      <c r="P1281" s="6">
        <f t="shared" si="97"/>
        <v>0.92216547497446366</v>
      </c>
      <c r="Q1281" s="3">
        <v>1.92</v>
      </c>
      <c r="R1281" t="str">
        <f t="shared" si="98"/>
        <v>Medium</v>
      </c>
      <c r="S1281" t="str">
        <f t="shared" si="99"/>
        <v>Valid</v>
      </c>
    </row>
    <row r="1282" spans="1:19" x14ac:dyDescent="0.25">
      <c r="A1282" s="1">
        <v>45456</v>
      </c>
      <c r="B1282" s="1" t="str">
        <f t="shared" si="95"/>
        <v>2024-06</v>
      </c>
      <c r="C1282" t="s">
        <v>28</v>
      </c>
      <c r="D1282" t="s">
        <v>21</v>
      </c>
      <c r="E1282" t="s">
        <v>30</v>
      </c>
      <c r="F1282" t="s">
        <v>32</v>
      </c>
      <c r="G1282" s="4">
        <v>61284</v>
      </c>
      <c r="H1282" s="4">
        <v>1574</v>
      </c>
      <c r="I1282" s="5">
        <v>2.5700000000000001E-2</v>
      </c>
      <c r="J1282" s="2">
        <v>1.52</v>
      </c>
      <c r="K1282" s="6">
        <v>2392.48</v>
      </c>
      <c r="L1282" s="4">
        <v>32</v>
      </c>
      <c r="M1282" s="2">
        <v>74.77</v>
      </c>
      <c r="N1282" s="6">
        <v>3680.82</v>
      </c>
      <c r="O1282" s="6">
        <f t="shared" si="96"/>
        <v>1288.3400000000001</v>
      </c>
      <c r="P1282" s="6">
        <f t="shared" si="97"/>
        <v>0.53849561960810544</v>
      </c>
      <c r="Q1282" s="3">
        <v>1.54</v>
      </c>
      <c r="R1282" t="str">
        <f t="shared" si="98"/>
        <v>Medium</v>
      </c>
      <c r="S1282" t="str">
        <f t="shared" si="99"/>
        <v>Valid</v>
      </c>
    </row>
    <row r="1283" spans="1:19" x14ac:dyDescent="0.25">
      <c r="A1283" s="1">
        <v>45293</v>
      </c>
      <c r="B1283" s="1" t="str">
        <f t="shared" ref="B1283:B1346" si="100">TEXT(A1283, "yyyy-mm")</f>
        <v>2024-01</v>
      </c>
      <c r="C1283" t="s">
        <v>28</v>
      </c>
      <c r="D1283" t="s">
        <v>15</v>
      </c>
      <c r="E1283" t="s">
        <v>22</v>
      </c>
      <c r="F1283" t="s">
        <v>31</v>
      </c>
      <c r="G1283" s="4">
        <v>163624</v>
      </c>
      <c r="H1283" s="4">
        <v>4368</v>
      </c>
      <c r="I1283" s="5">
        <v>2.6700000000000002E-2</v>
      </c>
      <c r="J1283" s="2">
        <v>1.28</v>
      </c>
      <c r="K1283" s="6">
        <v>5591.04</v>
      </c>
      <c r="L1283" s="4">
        <v>296</v>
      </c>
      <c r="M1283" s="2">
        <v>18.89</v>
      </c>
      <c r="N1283" s="6">
        <v>31041.33</v>
      </c>
      <c r="O1283" s="6">
        <f t="shared" ref="O1283:O1346" si="101">N1283-K1283</f>
        <v>25450.29</v>
      </c>
      <c r="P1283" s="6">
        <f t="shared" ref="P1283:P1346" si="102">IFERROR(O1283/K1283, "")</f>
        <v>4.5519778073489015</v>
      </c>
      <c r="Q1283" s="3">
        <v>5.55</v>
      </c>
      <c r="R1283" t="str">
        <f t="shared" ref="R1283:R1346" si="103">IF(Q1283 &gt;= 3, "High", IF(Q1283&gt;=1, "Medium", "Low"))</f>
        <v>High</v>
      </c>
      <c r="S1283" t="str">
        <f t="shared" ref="S1283:S1346" si="104">IF(OR(G1283=0, H1283&gt;G1283, L1283&gt;H1283), "Invalid", "Valid")</f>
        <v>Valid</v>
      </c>
    </row>
    <row r="1284" spans="1:19" x14ac:dyDescent="0.25">
      <c r="A1284" s="1">
        <v>45451</v>
      </c>
      <c r="B1284" s="1" t="str">
        <f t="shared" si="100"/>
        <v>2024-06</v>
      </c>
      <c r="C1284" t="s">
        <v>28</v>
      </c>
      <c r="D1284" t="s">
        <v>29</v>
      </c>
      <c r="E1284" t="s">
        <v>22</v>
      </c>
      <c r="F1284" t="s">
        <v>20</v>
      </c>
      <c r="G1284" s="4">
        <v>194674</v>
      </c>
      <c r="H1284" s="4">
        <v>3601</v>
      </c>
      <c r="I1284" s="5">
        <v>1.8499999999999999E-2</v>
      </c>
      <c r="J1284" s="2">
        <v>1.45</v>
      </c>
      <c r="K1284" s="6">
        <v>5221.45</v>
      </c>
      <c r="L1284" s="4">
        <v>165</v>
      </c>
      <c r="M1284" s="2">
        <v>31.65</v>
      </c>
      <c r="N1284" s="6">
        <v>8945.17</v>
      </c>
      <c r="O1284" s="6">
        <f t="shared" si="101"/>
        <v>3723.7200000000003</v>
      </c>
      <c r="P1284" s="6">
        <f t="shared" si="102"/>
        <v>0.71315822233287696</v>
      </c>
      <c r="Q1284" s="3">
        <v>1.71</v>
      </c>
      <c r="R1284" t="str">
        <f t="shared" si="103"/>
        <v>Medium</v>
      </c>
      <c r="S1284" t="str">
        <f t="shared" si="104"/>
        <v>Valid</v>
      </c>
    </row>
    <row r="1285" spans="1:19" x14ac:dyDescent="0.25">
      <c r="A1285" s="1">
        <v>45552</v>
      </c>
      <c r="B1285" s="1" t="str">
        <f t="shared" si="100"/>
        <v>2024-09</v>
      </c>
      <c r="C1285" t="s">
        <v>28</v>
      </c>
      <c r="D1285" t="s">
        <v>15</v>
      </c>
      <c r="E1285" t="s">
        <v>22</v>
      </c>
      <c r="F1285" t="s">
        <v>31</v>
      </c>
      <c r="G1285" s="4">
        <v>15485</v>
      </c>
      <c r="H1285" s="4">
        <v>196</v>
      </c>
      <c r="I1285" s="5">
        <v>1.2699999999999999E-2</v>
      </c>
      <c r="J1285" s="2">
        <v>1.54</v>
      </c>
      <c r="K1285" s="6">
        <v>301.83999999999997</v>
      </c>
      <c r="L1285" s="4">
        <v>8</v>
      </c>
      <c r="M1285" s="2">
        <v>37.729999999999997</v>
      </c>
      <c r="N1285" s="6">
        <v>362.78</v>
      </c>
      <c r="O1285" s="6">
        <f t="shared" si="101"/>
        <v>60.94</v>
      </c>
      <c r="P1285" s="6">
        <f t="shared" si="102"/>
        <v>0.20189504373177844</v>
      </c>
      <c r="Q1285" s="3">
        <v>1.2</v>
      </c>
      <c r="R1285" t="str">
        <f t="shared" si="103"/>
        <v>Medium</v>
      </c>
      <c r="S1285" t="str">
        <f t="shared" si="104"/>
        <v>Valid</v>
      </c>
    </row>
    <row r="1286" spans="1:19" x14ac:dyDescent="0.25">
      <c r="A1286" s="1">
        <v>45368</v>
      </c>
      <c r="B1286" s="1" t="str">
        <f t="shared" si="100"/>
        <v>2024-03</v>
      </c>
      <c r="C1286" t="s">
        <v>14</v>
      </c>
      <c r="D1286" t="s">
        <v>15</v>
      </c>
      <c r="E1286" t="s">
        <v>16</v>
      </c>
      <c r="F1286" t="s">
        <v>26</v>
      </c>
      <c r="G1286" s="4">
        <v>138154</v>
      </c>
      <c r="H1286" s="4">
        <v>9518</v>
      </c>
      <c r="I1286" s="5">
        <v>6.8900000000000003E-2</v>
      </c>
      <c r="J1286" s="2">
        <v>2.2200000000000002</v>
      </c>
      <c r="K1286" s="6">
        <v>21129.96</v>
      </c>
      <c r="L1286" s="4">
        <v>534</v>
      </c>
      <c r="M1286" s="2">
        <v>39.57</v>
      </c>
      <c r="N1286" s="6">
        <v>24562.44</v>
      </c>
      <c r="O1286" s="6">
        <f t="shared" si="101"/>
        <v>3432.4799999999996</v>
      </c>
      <c r="P1286" s="6">
        <f t="shared" si="102"/>
        <v>0.16244611915971444</v>
      </c>
      <c r="Q1286" s="3">
        <v>1.1599999999999999</v>
      </c>
      <c r="R1286" t="str">
        <f t="shared" si="103"/>
        <v>Medium</v>
      </c>
      <c r="S1286" t="str">
        <f t="shared" si="104"/>
        <v>Valid</v>
      </c>
    </row>
    <row r="1287" spans="1:19" x14ac:dyDescent="0.25">
      <c r="A1287" s="1">
        <v>45441</v>
      </c>
      <c r="B1287" s="1" t="str">
        <f t="shared" si="100"/>
        <v>2024-05</v>
      </c>
      <c r="C1287" t="s">
        <v>18</v>
      </c>
      <c r="D1287" t="s">
        <v>21</v>
      </c>
      <c r="E1287" t="s">
        <v>16</v>
      </c>
      <c r="F1287" t="s">
        <v>23</v>
      </c>
      <c r="G1287" s="4">
        <v>76922</v>
      </c>
      <c r="H1287" s="4">
        <v>2669</v>
      </c>
      <c r="I1287" s="5">
        <v>3.4700000000000002E-2</v>
      </c>
      <c r="J1287" s="2">
        <v>1.32</v>
      </c>
      <c r="K1287" s="6">
        <v>3523.08</v>
      </c>
      <c r="L1287" s="4">
        <v>110</v>
      </c>
      <c r="M1287" s="2">
        <v>32.03</v>
      </c>
      <c r="N1287" s="6">
        <v>12940.72</v>
      </c>
      <c r="O1287" s="6">
        <f t="shared" si="101"/>
        <v>9417.64</v>
      </c>
      <c r="P1287" s="6">
        <f t="shared" si="102"/>
        <v>2.6731269230332551</v>
      </c>
      <c r="Q1287" s="3">
        <v>3.67</v>
      </c>
      <c r="R1287" t="str">
        <f t="shared" si="103"/>
        <v>High</v>
      </c>
      <c r="S1287" t="str">
        <f t="shared" si="104"/>
        <v>Valid</v>
      </c>
    </row>
    <row r="1288" spans="1:19" x14ac:dyDescent="0.25">
      <c r="A1288" s="1">
        <v>45516</v>
      </c>
      <c r="B1288" s="1" t="str">
        <f t="shared" si="100"/>
        <v>2024-08</v>
      </c>
      <c r="C1288" t="s">
        <v>14</v>
      </c>
      <c r="D1288" t="s">
        <v>24</v>
      </c>
      <c r="E1288" t="s">
        <v>19</v>
      </c>
      <c r="F1288" t="s">
        <v>26</v>
      </c>
      <c r="G1288" s="4">
        <v>13947</v>
      </c>
      <c r="H1288" s="4">
        <v>718</v>
      </c>
      <c r="I1288" s="5">
        <v>5.1499999999999997E-2</v>
      </c>
      <c r="J1288" s="2">
        <v>1.56</v>
      </c>
      <c r="K1288" s="6">
        <v>1120.08</v>
      </c>
      <c r="L1288" s="4">
        <v>44</v>
      </c>
      <c r="M1288" s="2">
        <v>25.46</v>
      </c>
      <c r="N1288" s="6">
        <v>11863.61</v>
      </c>
      <c r="O1288" s="6">
        <f t="shared" si="101"/>
        <v>10743.53</v>
      </c>
      <c r="P1288" s="6">
        <f t="shared" si="102"/>
        <v>9.5917523748303708</v>
      </c>
      <c r="Q1288" s="3">
        <v>10.59</v>
      </c>
      <c r="R1288" t="str">
        <f t="shared" si="103"/>
        <v>High</v>
      </c>
      <c r="S1288" t="str">
        <f t="shared" si="104"/>
        <v>Valid</v>
      </c>
    </row>
    <row r="1289" spans="1:19" x14ac:dyDescent="0.25">
      <c r="A1289" s="1">
        <v>45604</v>
      </c>
      <c r="B1289" s="1" t="str">
        <f t="shared" si="100"/>
        <v>2024-11</v>
      </c>
      <c r="C1289" t="s">
        <v>14</v>
      </c>
      <c r="D1289" t="s">
        <v>29</v>
      </c>
      <c r="E1289" t="s">
        <v>19</v>
      </c>
      <c r="F1289" t="s">
        <v>26</v>
      </c>
      <c r="G1289" s="4">
        <v>199164</v>
      </c>
      <c r="H1289" s="4">
        <v>6671</v>
      </c>
      <c r="I1289" s="5">
        <v>3.3500000000000002E-2</v>
      </c>
      <c r="J1289" s="2">
        <v>3.19</v>
      </c>
      <c r="K1289" s="6">
        <v>21280.49</v>
      </c>
      <c r="L1289" s="4">
        <v>118</v>
      </c>
      <c r="M1289" s="2">
        <v>180.34</v>
      </c>
      <c r="N1289" s="6">
        <v>27461.46</v>
      </c>
      <c r="O1289" s="6">
        <f t="shared" si="101"/>
        <v>6180.9699999999975</v>
      </c>
      <c r="P1289" s="6">
        <f t="shared" si="102"/>
        <v>0.29045242849201297</v>
      </c>
      <c r="Q1289" s="3">
        <v>1.29</v>
      </c>
      <c r="R1289" t="str">
        <f t="shared" si="103"/>
        <v>Medium</v>
      </c>
      <c r="S1289" t="str">
        <f t="shared" si="104"/>
        <v>Valid</v>
      </c>
    </row>
    <row r="1290" spans="1:19" x14ac:dyDescent="0.25">
      <c r="A1290" s="1">
        <v>45556</v>
      </c>
      <c r="B1290" s="1" t="str">
        <f t="shared" si="100"/>
        <v>2024-09</v>
      </c>
      <c r="C1290" t="s">
        <v>28</v>
      </c>
      <c r="D1290" t="s">
        <v>24</v>
      </c>
      <c r="E1290" t="s">
        <v>30</v>
      </c>
      <c r="F1290" t="s">
        <v>27</v>
      </c>
      <c r="G1290" s="4">
        <v>138018</v>
      </c>
      <c r="H1290" s="4">
        <v>1683</v>
      </c>
      <c r="I1290" s="5">
        <v>1.2200000000000001E-2</v>
      </c>
      <c r="J1290" s="2">
        <v>1.03</v>
      </c>
      <c r="K1290" s="6">
        <v>1733.49</v>
      </c>
      <c r="L1290" s="4">
        <v>56</v>
      </c>
      <c r="M1290" s="2">
        <v>30.96</v>
      </c>
      <c r="N1290" s="6">
        <v>8635.5</v>
      </c>
      <c r="O1290" s="6">
        <f t="shared" si="101"/>
        <v>6902.01</v>
      </c>
      <c r="P1290" s="6">
        <f t="shared" si="102"/>
        <v>3.9815689735735424</v>
      </c>
      <c r="Q1290" s="3">
        <v>4.9800000000000004</v>
      </c>
      <c r="R1290" t="str">
        <f t="shared" si="103"/>
        <v>High</v>
      </c>
      <c r="S1290" t="str">
        <f t="shared" si="104"/>
        <v>Valid</v>
      </c>
    </row>
    <row r="1291" spans="1:19" x14ac:dyDescent="0.25">
      <c r="A1291" s="1">
        <v>45354</v>
      </c>
      <c r="B1291" s="1" t="str">
        <f t="shared" si="100"/>
        <v>2024-03</v>
      </c>
      <c r="C1291" t="s">
        <v>28</v>
      </c>
      <c r="D1291" t="s">
        <v>24</v>
      </c>
      <c r="E1291" t="s">
        <v>16</v>
      </c>
      <c r="F1291" t="s">
        <v>17</v>
      </c>
      <c r="G1291" s="4">
        <v>161408</v>
      </c>
      <c r="H1291" s="4">
        <v>1581</v>
      </c>
      <c r="I1291" s="5">
        <v>9.7999999999999997E-3</v>
      </c>
      <c r="J1291" s="2">
        <v>1.1100000000000001</v>
      </c>
      <c r="K1291" s="6">
        <v>1754.91</v>
      </c>
      <c r="L1291" s="4">
        <v>51</v>
      </c>
      <c r="M1291" s="2">
        <v>34.409999999999997</v>
      </c>
      <c r="N1291" s="6">
        <v>6128.54</v>
      </c>
      <c r="O1291" s="6">
        <f t="shared" si="101"/>
        <v>4373.63</v>
      </c>
      <c r="P1291" s="6">
        <f t="shared" si="102"/>
        <v>2.4922246724903272</v>
      </c>
      <c r="Q1291" s="3">
        <v>3.49</v>
      </c>
      <c r="R1291" t="str">
        <f t="shared" si="103"/>
        <v>High</v>
      </c>
      <c r="S1291" t="str">
        <f t="shared" si="104"/>
        <v>Valid</v>
      </c>
    </row>
    <row r="1292" spans="1:19" x14ac:dyDescent="0.25">
      <c r="A1292" s="1">
        <v>45594</v>
      </c>
      <c r="B1292" s="1" t="str">
        <f t="shared" si="100"/>
        <v>2024-10</v>
      </c>
      <c r="C1292" t="s">
        <v>18</v>
      </c>
      <c r="D1292" t="s">
        <v>24</v>
      </c>
      <c r="E1292" t="s">
        <v>30</v>
      </c>
      <c r="F1292" t="s">
        <v>26</v>
      </c>
      <c r="G1292" s="4">
        <v>130811</v>
      </c>
      <c r="H1292" s="4">
        <v>8895</v>
      </c>
      <c r="I1292" s="5">
        <v>6.8000000000000005E-2</v>
      </c>
      <c r="J1292" s="2">
        <v>0.32</v>
      </c>
      <c r="K1292" s="6">
        <v>2846.4</v>
      </c>
      <c r="L1292" s="4">
        <v>150</v>
      </c>
      <c r="M1292" s="2">
        <v>18.98</v>
      </c>
      <c r="N1292" s="6">
        <v>31192.02</v>
      </c>
      <c r="O1292" s="6">
        <f t="shared" si="101"/>
        <v>28345.62</v>
      </c>
      <c r="P1292" s="6">
        <f t="shared" si="102"/>
        <v>9.9584106239460368</v>
      </c>
      <c r="Q1292" s="3">
        <v>10.96</v>
      </c>
      <c r="R1292" t="str">
        <f t="shared" si="103"/>
        <v>High</v>
      </c>
      <c r="S1292" t="str">
        <f t="shared" si="104"/>
        <v>Valid</v>
      </c>
    </row>
    <row r="1293" spans="1:19" x14ac:dyDescent="0.25">
      <c r="A1293" s="1">
        <v>45470</v>
      </c>
      <c r="B1293" s="1" t="str">
        <f t="shared" si="100"/>
        <v>2024-06</v>
      </c>
      <c r="C1293" t="s">
        <v>28</v>
      </c>
      <c r="D1293" t="s">
        <v>29</v>
      </c>
      <c r="E1293" t="s">
        <v>19</v>
      </c>
      <c r="F1293" t="s">
        <v>17</v>
      </c>
      <c r="G1293" s="4">
        <v>140460</v>
      </c>
      <c r="H1293" s="4">
        <v>2753</v>
      </c>
      <c r="I1293" s="5">
        <v>1.9599999999999999E-2</v>
      </c>
      <c r="J1293" s="2">
        <v>0.51</v>
      </c>
      <c r="K1293" s="6">
        <v>1404.03</v>
      </c>
      <c r="L1293" s="4">
        <v>87</v>
      </c>
      <c r="M1293" s="2">
        <v>16.14</v>
      </c>
      <c r="N1293" s="6">
        <v>18763.62</v>
      </c>
      <c r="O1293" s="6">
        <f t="shared" si="101"/>
        <v>17359.59</v>
      </c>
      <c r="P1293" s="6">
        <f t="shared" si="102"/>
        <v>12.364116151364287</v>
      </c>
      <c r="Q1293" s="3">
        <v>13.36</v>
      </c>
      <c r="R1293" t="str">
        <f t="shared" si="103"/>
        <v>High</v>
      </c>
      <c r="S1293" t="str">
        <f t="shared" si="104"/>
        <v>Valid</v>
      </c>
    </row>
    <row r="1294" spans="1:19" x14ac:dyDescent="0.25">
      <c r="A1294" s="1">
        <v>45372</v>
      </c>
      <c r="B1294" s="1" t="str">
        <f t="shared" si="100"/>
        <v>2024-03</v>
      </c>
      <c r="C1294" t="s">
        <v>28</v>
      </c>
      <c r="D1294" t="s">
        <v>24</v>
      </c>
      <c r="E1294" t="s">
        <v>19</v>
      </c>
      <c r="F1294" t="s">
        <v>27</v>
      </c>
      <c r="G1294" s="4">
        <v>119731</v>
      </c>
      <c r="H1294" s="4">
        <v>2969</v>
      </c>
      <c r="I1294" s="5">
        <v>2.4799999999999999E-2</v>
      </c>
      <c r="J1294" s="2">
        <v>0.56000000000000005</v>
      </c>
      <c r="K1294" s="6">
        <v>1662.64</v>
      </c>
      <c r="L1294" s="4">
        <v>47</v>
      </c>
      <c r="M1294" s="2">
        <v>35.380000000000003</v>
      </c>
      <c r="N1294" s="6">
        <v>11619.48</v>
      </c>
      <c r="O1294" s="6">
        <f t="shared" si="101"/>
        <v>9956.84</v>
      </c>
      <c r="P1294" s="6">
        <f t="shared" si="102"/>
        <v>5.9885723908964055</v>
      </c>
      <c r="Q1294" s="3">
        <v>6.99</v>
      </c>
      <c r="R1294" t="str">
        <f t="shared" si="103"/>
        <v>High</v>
      </c>
      <c r="S1294" t="str">
        <f t="shared" si="104"/>
        <v>Valid</v>
      </c>
    </row>
    <row r="1295" spans="1:19" x14ac:dyDescent="0.25">
      <c r="A1295" s="1">
        <v>45577</v>
      </c>
      <c r="B1295" s="1" t="str">
        <f t="shared" si="100"/>
        <v>2024-10</v>
      </c>
      <c r="C1295" t="s">
        <v>28</v>
      </c>
      <c r="D1295" t="s">
        <v>15</v>
      </c>
      <c r="E1295" t="s">
        <v>30</v>
      </c>
      <c r="F1295" t="s">
        <v>23</v>
      </c>
      <c r="G1295" s="4">
        <v>61437</v>
      </c>
      <c r="H1295" s="4">
        <v>1087</v>
      </c>
      <c r="I1295" s="5">
        <v>1.77E-2</v>
      </c>
      <c r="J1295" s="2">
        <v>2.23</v>
      </c>
      <c r="K1295" s="6">
        <v>2424.0100000000002</v>
      </c>
      <c r="L1295" s="4">
        <v>80</v>
      </c>
      <c r="M1295" s="2">
        <v>30.3</v>
      </c>
      <c r="N1295" s="6">
        <v>11780.01</v>
      </c>
      <c r="O1295" s="6">
        <f t="shared" si="101"/>
        <v>9356</v>
      </c>
      <c r="P1295" s="6">
        <f t="shared" si="102"/>
        <v>3.8597200506598566</v>
      </c>
      <c r="Q1295" s="3">
        <v>4.8600000000000003</v>
      </c>
      <c r="R1295" t="str">
        <f t="shared" si="103"/>
        <v>High</v>
      </c>
      <c r="S1295" t="str">
        <f t="shared" si="104"/>
        <v>Valid</v>
      </c>
    </row>
    <row r="1296" spans="1:19" x14ac:dyDescent="0.25">
      <c r="A1296" s="1">
        <v>45533</v>
      </c>
      <c r="B1296" s="1" t="str">
        <f t="shared" si="100"/>
        <v>2024-08</v>
      </c>
      <c r="C1296" t="s">
        <v>14</v>
      </c>
      <c r="D1296" t="s">
        <v>15</v>
      </c>
      <c r="E1296" t="s">
        <v>30</v>
      </c>
      <c r="F1296" t="s">
        <v>17</v>
      </c>
      <c r="G1296" s="4">
        <v>37827</v>
      </c>
      <c r="H1296" s="4">
        <v>2072</v>
      </c>
      <c r="I1296" s="5">
        <v>5.4800000000000001E-2</v>
      </c>
      <c r="J1296" s="2">
        <v>0.81</v>
      </c>
      <c r="K1296" s="6">
        <v>1678.32</v>
      </c>
      <c r="L1296" s="4">
        <v>133</v>
      </c>
      <c r="M1296" s="2">
        <v>12.62</v>
      </c>
      <c r="N1296" s="6">
        <v>19268.21</v>
      </c>
      <c r="O1296" s="6">
        <f t="shared" si="101"/>
        <v>17589.89</v>
      </c>
      <c r="P1296" s="6">
        <f t="shared" si="102"/>
        <v>10.480653272319939</v>
      </c>
      <c r="Q1296" s="3">
        <v>11.48</v>
      </c>
      <c r="R1296" t="str">
        <f t="shared" si="103"/>
        <v>High</v>
      </c>
      <c r="S1296" t="str">
        <f t="shared" si="104"/>
        <v>Valid</v>
      </c>
    </row>
    <row r="1297" spans="1:19" x14ac:dyDescent="0.25">
      <c r="A1297" s="1">
        <v>45467</v>
      </c>
      <c r="B1297" s="1" t="str">
        <f t="shared" si="100"/>
        <v>2024-06</v>
      </c>
      <c r="C1297" t="s">
        <v>14</v>
      </c>
      <c r="D1297" t="s">
        <v>29</v>
      </c>
      <c r="E1297" t="s">
        <v>25</v>
      </c>
      <c r="F1297" t="s">
        <v>26</v>
      </c>
      <c r="G1297" s="4">
        <v>180848</v>
      </c>
      <c r="H1297" s="4">
        <v>5515</v>
      </c>
      <c r="I1297" s="5">
        <v>3.0499999999999999E-2</v>
      </c>
      <c r="J1297" s="2">
        <v>3.32</v>
      </c>
      <c r="K1297" s="6">
        <v>18309.8</v>
      </c>
      <c r="L1297" s="4">
        <v>362</v>
      </c>
      <c r="M1297" s="2">
        <v>50.58</v>
      </c>
      <c r="N1297" s="6">
        <v>84316.14</v>
      </c>
      <c r="O1297" s="6">
        <f t="shared" si="101"/>
        <v>66006.34</v>
      </c>
      <c r="P1297" s="6">
        <f t="shared" si="102"/>
        <v>3.6049732929906391</v>
      </c>
      <c r="Q1297" s="3">
        <v>4.5999999999999996</v>
      </c>
      <c r="R1297" t="str">
        <f t="shared" si="103"/>
        <v>High</v>
      </c>
      <c r="S1297" t="str">
        <f t="shared" si="104"/>
        <v>Valid</v>
      </c>
    </row>
    <row r="1298" spans="1:19" x14ac:dyDescent="0.25">
      <c r="A1298" s="1">
        <v>45341</v>
      </c>
      <c r="B1298" s="1" t="str">
        <f t="shared" si="100"/>
        <v>2024-02</v>
      </c>
      <c r="C1298" t="s">
        <v>14</v>
      </c>
      <c r="D1298" t="s">
        <v>21</v>
      </c>
      <c r="E1298" t="s">
        <v>16</v>
      </c>
      <c r="F1298" t="s">
        <v>17</v>
      </c>
      <c r="G1298" s="4">
        <v>30545</v>
      </c>
      <c r="H1298" s="4">
        <v>1728</v>
      </c>
      <c r="I1298" s="5">
        <v>5.6599999999999998E-2</v>
      </c>
      <c r="J1298" s="2">
        <v>1.73</v>
      </c>
      <c r="K1298" s="6">
        <v>2989.44</v>
      </c>
      <c r="L1298" s="4">
        <v>51</v>
      </c>
      <c r="M1298" s="2">
        <v>58.62</v>
      </c>
      <c r="N1298" s="6">
        <v>3408.09</v>
      </c>
      <c r="O1298" s="6">
        <f t="shared" si="101"/>
        <v>418.65000000000009</v>
      </c>
      <c r="P1298" s="6">
        <f t="shared" si="102"/>
        <v>0.14004295118818244</v>
      </c>
      <c r="Q1298" s="3">
        <v>1.1399999999999999</v>
      </c>
      <c r="R1298" t="str">
        <f t="shared" si="103"/>
        <v>Medium</v>
      </c>
      <c r="S1298" t="str">
        <f t="shared" si="104"/>
        <v>Valid</v>
      </c>
    </row>
    <row r="1299" spans="1:19" x14ac:dyDescent="0.25">
      <c r="A1299" s="1">
        <v>45499</v>
      </c>
      <c r="B1299" s="1" t="str">
        <f t="shared" si="100"/>
        <v>2024-07</v>
      </c>
      <c r="C1299" t="s">
        <v>18</v>
      </c>
      <c r="D1299" t="s">
        <v>24</v>
      </c>
      <c r="E1299" t="s">
        <v>16</v>
      </c>
      <c r="F1299" t="s">
        <v>17</v>
      </c>
      <c r="G1299" s="4">
        <v>21643</v>
      </c>
      <c r="H1299" s="4">
        <v>1142</v>
      </c>
      <c r="I1299" s="5">
        <v>5.28E-2</v>
      </c>
      <c r="J1299" s="2">
        <v>1.03</v>
      </c>
      <c r="K1299" s="6">
        <v>1176.26</v>
      </c>
      <c r="L1299" s="4">
        <v>81</v>
      </c>
      <c r="M1299" s="2">
        <v>14.52</v>
      </c>
      <c r="N1299" s="6">
        <v>18823.45</v>
      </c>
      <c r="O1299" s="6">
        <f t="shared" si="101"/>
        <v>17647.190000000002</v>
      </c>
      <c r="P1299" s="6">
        <f t="shared" si="102"/>
        <v>15.00279700066312</v>
      </c>
      <c r="Q1299" s="3">
        <v>16</v>
      </c>
      <c r="R1299" t="str">
        <f t="shared" si="103"/>
        <v>High</v>
      </c>
      <c r="S1299" t="str">
        <f t="shared" si="104"/>
        <v>Valid</v>
      </c>
    </row>
    <row r="1300" spans="1:19" x14ac:dyDescent="0.25">
      <c r="A1300" s="1">
        <v>45328</v>
      </c>
      <c r="B1300" s="1" t="str">
        <f t="shared" si="100"/>
        <v>2024-02</v>
      </c>
      <c r="C1300" t="s">
        <v>28</v>
      </c>
      <c r="D1300" t="s">
        <v>29</v>
      </c>
      <c r="E1300" t="s">
        <v>22</v>
      </c>
      <c r="F1300" t="s">
        <v>20</v>
      </c>
      <c r="G1300" s="4">
        <v>58164</v>
      </c>
      <c r="H1300" s="4">
        <v>936</v>
      </c>
      <c r="I1300" s="5">
        <v>1.61E-2</v>
      </c>
      <c r="J1300" s="2">
        <v>0.88</v>
      </c>
      <c r="K1300" s="6">
        <v>823.68</v>
      </c>
      <c r="L1300" s="4">
        <v>13</v>
      </c>
      <c r="M1300" s="2">
        <v>63.36</v>
      </c>
      <c r="N1300" s="6">
        <v>1791.65</v>
      </c>
      <c r="O1300" s="6">
        <f t="shared" si="101"/>
        <v>967.97000000000014</v>
      </c>
      <c r="P1300" s="6">
        <f t="shared" si="102"/>
        <v>1.1751772533022535</v>
      </c>
      <c r="Q1300" s="3">
        <v>2.1800000000000002</v>
      </c>
      <c r="R1300" t="str">
        <f t="shared" si="103"/>
        <v>Medium</v>
      </c>
      <c r="S1300" t="str">
        <f t="shared" si="104"/>
        <v>Valid</v>
      </c>
    </row>
    <row r="1301" spans="1:19" x14ac:dyDescent="0.25">
      <c r="A1301" s="1">
        <v>45391</v>
      </c>
      <c r="B1301" s="1" t="str">
        <f t="shared" si="100"/>
        <v>2024-04</v>
      </c>
      <c r="C1301" t="s">
        <v>28</v>
      </c>
      <c r="D1301" t="s">
        <v>24</v>
      </c>
      <c r="E1301" t="s">
        <v>16</v>
      </c>
      <c r="F1301" t="s">
        <v>17</v>
      </c>
      <c r="G1301" s="4">
        <v>69102</v>
      </c>
      <c r="H1301" s="4">
        <v>1354</v>
      </c>
      <c r="I1301" s="5">
        <v>1.9599999999999999E-2</v>
      </c>
      <c r="J1301" s="2">
        <v>1.61</v>
      </c>
      <c r="K1301" s="6">
        <v>2179.94</v>
      </c>
      <c r="L1301" s="4">
        <v>89</v>
      </c>
      <c r="M1301" s="2">
        <v>24.49</v>
      </c>
      <c r="N1301" s="6">
        <v>14410.72</v>
      </c>
      <c r="O1301" s="6">
        <f t="shared" si="101"/>
        <v>12230.779999999999</v>
      </c>
      <c r="P1301" s="6">
        <f t="shared" si="102"/>
        <v>5.6106039615769232</v>
      </c>
      <c r="Q1301" s="3">
        <v>6.61</v>
      </c>
      <c r="R1301" t="str">
        <f t="shared" si="103"/>
        <v>High</v>
      </c>
      <c r="S1301" t="str">
        <f t="shared" si="104"/>
        <v>Valid</v>
      </c>
    </row>
    <row r="1302" spans="1:19" x14ac:dyDescent="0.25">
      <c r="A1302" s="1">
        <v>45505</v>
      </c>
      <c r="B1302" s="1" t="str">
        <f t="shared" si="100"/>
        <v>2024-08</v>
      </c>
      <c r="C1302" t="s">
        <v>18</v>
      </c>
      <c r="D1302" t="s">
        <v>24</v>
      </c>
      <c r="E1302" t="s">
        <v>16</v>
      </c>
      <c r="F1302" t="s">
        <v>20</v>
      </c>
      <c r="G1302" s="4">
        <v>164852</v>
      </c>
      <c r="H1302" s="4">
        <v>6445</v>
      </c>
      <c r="I1302" s="5">
        <v>3.9100000000000003E-2</v>
      </c>
      <c r="J1302" s="2">
        <v>1.64</v>
      </c>
      <c r="K1302" s="6">
        <v>10569.8</v>
      </c>
      <c r="L1302" s="4">
        <v>471</v>
      </c>
      <c r="M1302" s="2">
        <v>22.44</v>
      </c>
      <c r="N1302" s="6">
        <v>43233.91</v>
      </c>
      <c r="O1302" s="6">
        <f t="shared" si="101"/>
        <v>32664.110000000004</v>
      </c>
      <c r="P1302" s="6">
        <f t="shared" si="102"/>
        <v>3.0903243202331176</v>
      </c>
      <c r="Q1302" s="3">
        <v>4.09</v>
      </c>
      <c r="R1302" t="str">
        <f t="shared" si="103"/>
        <v>High</v>
      </c>
      <c r="S1302" t="str">
        <f t="shared" si="104"/>
        <v>Valid</v>
      </c>
    </row>
    <row r="1303" spans="1:19" x14ac:dyDescent="0.25">
      <c r="A1303" s="1">
        <v>45589</v>
      </c>
      <c r="B1303" s="1" t="str">
        <f t="shared" si="100"/>
        <v>2024-10</v>
      </c>
      <c r="C1303" t="s">
        <v>14</v>
      </c>
      <c r="D1303" t="s">
        <v>24</v>
      </c>
      <c r="E1303" t="s">
        <v>16</v>
      </c>
      <c r="F1303" t="s">
        <v>31</v>
      </c>
      <c r="G1303" s="4">
        <v>149064</v>
      </c>
      <c r="H1303" s="4">
        <v>5724</v>
      </c>
      <c r="I1303" s="5">
        <v>3.8399999999999997E-2</v>
      </c>
      <c r="J1303" s="2">
        <v>1.32</v>
      </c>
      <c r="K1303" s="6">
        <v>7555.68</v>
      </c>
      <c r="L1303" s="4">
        <v>369</v>
      </c>
      <c r="M1303" s="2">
        <v>20.48</v>
      </c>
      <c r="N1303" s="6">
        <v>107029.4</v>
      </c>
      <c r="O1303" s="6">
        <f t="shared" si="101"/>
        <v>99473.72</v>
      </c>
      <c r="P1303" s="6">
        <f t="shared" si="102"/>
        <v>13.16542256951062</v>
      </c>
      <c r="Q1303" s="3">
        <v>14.17</v>
      </c>
      <c r="R1303" t="str">
        <f t="shared" si="103"/>
        <v>High</v>
      </c>
      <c r="S1303" t="str">
        <f t="shared" si="104"/>
        <v>Valid</v>
      </c>
    </row>
    <row r="1304" spans="1:19" x14ac:dyDescent="0.25">
      <c r="A1304" s="1">
        <v>45479</v>
      </c>
      <c r="B1304" s="1" t="str">
        <f t="shared" si="100"/>
        <v>2024-07</v>
      </c>
      <c r="C1304" t="s">
        <v>28</v>
      </c>
      <c r="D1304" t="s">
        <v>24</v>
      </c>
      <c r="E1304" t="s">
        <v>30</v>
      </c>
      <c r="F1304" t="s">
        <v>20</v>
      </c>
      <c r="G1304" s="4">
        <v>80888</v>
      </c>
      <c r="H1304" s="4">
        <v>2070</v>
      </c>
      <c r="I1304" s="5">
        <v>2.5600000000000001E-2</v>
      </c>
      <c r="J1304" s="2">
        <v>0.74</v>
      </c>
      <c r="K1304" s="6">
        <v>1531.8</v>
      </c>
      <c r="L1304" s="4">
        <v>71</v>
      </c>
      <c r="M1304" s="2">
        <v>21.57</v>
      </c>
      <c r="N1304" s="6">
        <v>19601.22</v>
      </c>
      <c r="O1304" s="6">
        <f t="shared" si="101"/>
        <v>18069.420000000002</v>
      </c>
      <c r="P1304" s="6">
        <f t="shared" si="102"/>
        <v>11.796200548374463</v>
      </c>
      <c r="Q1304" s="3">
        <v>12.8</v>
      </c>
      <c r="R1304" t="str">
        <f t="shared" si="103"/>
        <v>High</v>
      </c>
      <c r="S1304" t="str">
        <f t="shared" si="104"/>
        <v>Valid</v>
      </c>
    </row>
    <row r="1305" spans="1:19" x14ac:dyDescent="0.25">
      <c r="A1305" s="1">
        <v>45642</v>
      </c>
      <c r="B1305" s="1" t="str">
        <f t="shared" si="100"/>
        <v>2024-12</v>
      </c>
      <c r="C1305" t="s">
        <v>28</v>
      </c>
      <c r="D1305" t="s">
        <v>29</v>
      </c>
      <c r="E1305" t="s">
        <v>25</v>
      </c>
      <c r="F1305" t="s">
        <v>23</v>
      </c>
      <c r="G1305" s="4">
        <v>21471</v>
      </c>
      <c r="H1305" s="4">
        <v>753</v>
      </c>
      <c r="I1305" s="5">
        <v>3.5099999999999999E-2</v>
      </c>
      <c r="J1305" s="2">
        <v>1.79</v>
      </c>
      <c r="K1305" s="6">
        <v>1347.87</v>
      </c>
      <c r="L1305" s="4">
        <v>28</v>
      </c>
      <c r="M1305" s="2">
        <v>48.14</v>
      </c>
      <c r="N1305" s="6">
        <v>7559</v>
      </c>
      <c r="O1305" s="6">
        <f t="shared" si="101"/>
        <v>6211.13</v>
      </c>
      <c r="P1305" s="6">
        <f t="shared" si="102"/>
        <v>4.6081076068166817</v>
      </c>
      <c r="Q1305" s="3">
        <v>5.61</v>
      </c>
      <c r="R1305" t="str">
        <f t="shared" si="103"/>
        <v>High</v>
      </c>
      <c r="S1305" t="str">
        <f t="shared" si="104"/>
        <v>Valid</v>
      </c>
    </row>
    <row r="1306" spans="1:19" x14ac:dyDescent="0.25">
      <c r="A1306" s="1">
        <v>45417</v>
      </c>
      <c r="B1306" s="1" t="str">
        <f t="shared" si="100"/>
        <v>2024-05</v>
      </c>
      <c r="C1306" t="s">
        <v>28</v>
      </c>
      <c r="D1306" t="s">
        <v>24</v>
      </c>
      <c r="E1306" t="s">
        <v>22</v>
      </c>
      <c r="F1306" t="s">
        <v>31</v>
      </c>
      <c r="G1306" s="4">
        <v>160182</v>
      </c>
      <c r="H1306" s="4">
        <v>4901</v>
      </c>
      <c r="I1306" s="5">
        <v>3.0599999999999999E-2</v>
      </c>
      <c r="J1306" s="2">
        <v>1.02</v>
      </c>
      <c r="K1306" s="6">
        <v>4999.0200000000004</v>
      </c>
      <c r="L1306" s="4">
        <v>88</v>
      </c>
      <c r="M1306" s="2">
        <v>56.81</v>
      </c>
      <c r="N1306" s="6">
        <v>22338.67</v>
      </c>
      <c r="O1306" s="6">
        <f t="shared" si="101"/>
        <v>17339.649999999998</v>
      </c>
      <c r="P1306" s="6">
        <f t="shared" si="102"/>
        <v>3.4686098475301153</v>
      </c>
      <c r="Q1306" s="3">
        <v>4.47</v>
      </c>
      <c r="R1306" t="str">
        <f t="shared" si="103"/>
        <v>High</v>
      </c>
      <c r="S1306" t="str">
        <f t="shared" si="104"/>
        <v>Valid</v>
      </c>
    </row>
    <row r="1307" spans="1:19" x14ac:dyDescent="0.25">
      <c r="A1307" s="1">
        <v>45383</v>
      </c>
      <c r="B1307" s="1" t="str">
        <f t="shared" si="100"/>
        <v>2024-04</v>
      </c>
      <c r="C1307" t="s">
        <v>18</v>
      </c>
      <c r="D1307" t="s">
        <v>29</v>
      </c>
      <c r="E1307" t="s">
        <v>19</v>
      </c>
      <c r="F1307" t="s">
        <v>27</v>
      </c>
      <c r="G1307" s="4">
        <v>30226</v>
      </c>
      <c r="H1307" s="4">
        <v>1196</v>
      </c>
      <c r="I1307" s="5">
        <v>3.9600000000000003E-2</v>
      </c>
      <c r="J1307" s="2">
        <v>1.46</v>
      </c>
      <c r="K1307" s="6">
        <v>1746.16</v>
      </c>
      <c r="L1307" s="4">
        <v>12</v>
      </c>
      <c r="M1307" s="2">
        <v>145.51</v>
      </c>
      <c r="N1307" s="6">
        <v>2625.21</v>
      </c>
      <c r="O1307" s="6">
        <f t="shared" si="101"/>
        <v>879.05</v>
      </c>
      <c r="P1307" s="6">
        <f t="shared" si="102"/>
        <v>0.50341893068218257</v>
      </c>
      <c r="Q1307" s="3">
        <v>1.5</v>
      </c>
      <c r="R1307" t="str">
        <f t="shared" si="103"/>
        <v>Medium</v>
      </c>
      <c r="S1307" t="str">
        <f t="shared" si="104"/>
        <v>Valid</v>
      </c>
    </row>
    <row r="1308" spans="1:19" x14ac:dyDescent="0.25">
      <c r="A1308" s="1">
        <v>45485</v>
      </c>
      <c r="B1308" s="1" t="str">
        <f t="shared" si="100"/>
        <v>2024-07</v>
      </c>
      <c r="C1308" t="s">
        <v>14</v>
      </c>
      <c r="D1308" t="s">
        <v>15</v>
      </c>
      <c r="E1308" t="s">
        <v>25</v>
      </c>
      <c r="F1308" t="s">
        <v>32</v>
      </c>
      <c r="G1308" s="4">
        <v>146677</v>
      </c>
      <c r="H1308" s="4">
        <v>7597</v>
      </c>
      <c r="I1308" s="5">
        <v>5.1799999999999999E-2</v>
      </c>
      <c r="J1308" s="2">
        <v>1.42</v>
      </c>
      <c r="K1308" s="6">
        <v>10787.74</v>
      </c>
      <c r="L1308" s="4">
        <v>186</v>
      </c>
      <c r="M1308" s="2">
        <v>58</v>
      </c>
      <c r="N1308" s="6">
        <v>35941.14</v>
      </c>
      <c r="O1308" s="6">
        <f t="shared" si="101"/>
        <v>25153.4</v>
      </c>
      <c r="P1308" s="6">
        <f t="shared" si="102"/>
        <v>2.3316653905266538</v>
      </c>
      <c r="Q1308" s="3">
        <v>3.33</v>
      </c>
      <c r="R1308" t="str">
        <f t="shared" si="103"/>
        <v>High</v>
      </c>
      <c r="S1308" t="str">
        <f t="shared" si="104"/>
        <v>Valid</v>
      </c>
    </row>
    <row r="1309" spans="1:19" x14ac:dyDescent="0.25">
      <c r="A1309" s="1">
        <v>45467</v>
      </c>
      <c r="B1309" s="1" t="str">
        <f t="shared" si="100"/>
        <v>2024-06</v>
      </c>
      <c r="C1309" t="s">
        <v>28</v>
      </c>
      <c r="D1309" t="s">
        <v>24</v>
      </c>
      <c r="E1309" t="s">
        <v>22</v>
      </c>
      <c r="F1309" t="s">
        <v>17</v>
      </c>
      <c r="G1309" s="4">
        <v>74859</v>
      </c>
      <c r="H1309" s="4">
        <v>1661</v>
      </c>
      <c r="I1309" s="5">
        <v>2.2200000000000001E-2</v>
      </c>
      <c r="J1309" s="2">
        <v>1.35</v>
      </c>
      <c r="K1309" s="6">
        <v>2242.35</v>
      </c>
      <c r="L1309" s="4">
        <v>101</v>
      </c>
      <c r="M1309" s="2">
        <v>22.2</v>
      </c>
      <c r="N1309" s="6">
        <v>6046.11</v>
      </c>
      <c r="O1309" s="6">
        <f t="shared" si="101"/>
        <v>3803.7599999999998</v>
      </c>
      <c r="P1309" s="6">
        <f t="shared" si="102"/>
        <v>1.6963275135460565</v>
      </c>
      <c r="Q1309" s="3">
        <v>2.7</v>
      </c>
      <c r="R1309" t="str">
        <f t="shared" si="103"/>
        <v>Medium</v>
      </c>
      <c r="S1309" t="str">
        <f t="shared" si="104"/>
        <v>Valid</v>
      </c>
    </row>
    <row r="1310" spans="1:19" x14ac:dyDescent="0.25">
      <c r="A1310" s="1">
        <v>45414</v>
      </c>
      <c r="B1310" s="1" t="str">
        <f t="shared" si="100"/>
        <v>2024-05</v>
      </c>
      <c r="C1310" t="s">
        <v>14</v>
      </c>
      <c r="D1310" t="s">
        <v>29</v>
      </c>
      <c r="E1310" t="s">
        <v>25</v>
      </c>
      <c r="F1310" t="s">
        <v>32</v>
      </c>
      <c r="G1310" s="4">
        <v>127232</v>
      </c>
      <c r="H1310" s="4">
        <v>3867</v>
      </c>
      <c r="I1310" s="5">
        <v>3.04E-2</v>
      </c>
      <c r="J1310" s="2">
        <v>2.95</v>
      </c>
      <c r="K1310" s="6">
        <v>11407.65</v>
      </c>
      <c r="L1310" s="4">
        <v>177</v>
      </c>
      <c r="M1310" s="2">
        <v>64.45</v>
      </c>
      <c r="N1310" s="6">
        <v>6676.28</v>
      </c>
      <c r="O1310" s="6">
        <f t="shared" si="101"/>
        <v>-4731.37</v>
      </c>
      <c r="P1310" s="6">
        <f t="shared" si="102"/>
        <v>-0.4147541342870793</v>
      </c>
      <c r="Q1310" s="3">
        <v>0.59</v>
      </c>
      <c r="R1310" t="str">
        <f t="shared" si="103"/>
        <v>Low</v>
      </c>
      <c r="S1310" t="str">
        <f t="shared" si="104"/>
        <v>Valid</v>
      </c>
    </row>
    <row r="1311" spans="1:19" x14ac:dyDescent="0.25">
      <c r="A1311" s="1">
        <v>45647</v>
      </c>
      <c r="B1311" s="1" t="str">
        <f t="shared" si="100"/>
        <v>2024-12</v>
      </c>
      <c r="C1311" t="s">
        <v>14</v>
      </c>
      <c r="D1311" t="s">
        <v>21</v>
      </c>
      <c r="E1311" t="s">
        <v>25</v>
      </c>
      <c r="F1311" t="s">
        <v>20</v>
      </c>
      <c r="G1311" s="4">
        <v>83243</v>
      </c>
      <c r="H1311" s="4">
        <v>2821</v>
      </c>
      <c r="I1311" s="5">
        <v>3.39E-2</v>
      </c>
      <c r="J1311" s="2">
        <v>3.03</v>
      </c>
      <c r="K1311" s="6">
        <v>8547.6299999999992</v>
      </c>
      <c r="L1311" s="4">
        <v>181</v>
      </c>
      <c r="M1311" s="2">
        <v>47.22</v>
      </c>
      <c r="N1311" s="6">
        <v>43894.09</v>
      </c>
      <c r="O1311" s="6">
        <f t="shared" si="101"/>
        <v>35346.46</v>
      </c>
      <c r="P1311" s="6">
        <f t="shared" si="102"/>
        <v>4.135235147052458</v>
      </c>
      <c r="Q1311" s="3">
        <v>5.14</v>
      </c>
      <c r="R1311" t="str">
        <f t="shared" si="103"/>
        <v>High</v>
      </c>
      <c r="S1311" t="str">
        <f t="shared" si="104"/>
        <v>Valid</v>
      </c>
    </row>
    <row r="1312" spans="1:19" x14ac:dyDescent="0.25">
      <c r="A1312" s="1">
        <v>45432</v>
      </c>
      <c r="B1312" s="1" t="str">
        <f t="shared" si="100"/>
        <v>2024-05</v>
      </c>
      <c r="C1312" t="s">
        <v>28</v>
      </c>
      <c r="D1312" t="s">
        <v>24</v>
      </c>
      <c r="E1312" t="s">
        <v>19</v>
      </c>
      <c r="F1312" t="s">
        <v>17</v>
      </c>
      <c r="G1312" s="4">
        <v>85846</v>
      </c>
      <c r="H1312" s="4">
        <v>2274</v>
      </c>
      <c r="I1312" s="5">
        <v>2.6499999999999999E-2</v>
      </c>
      <c r="J1312" s="2">
        <v>0.43</v>
      </c>
      <c r="K1312" s="6">
        <v>977.82</v>
      </c>
      <c r="L1312" s="4">
        <v>113</v>
      </c>
      <c r="M1312" s="2">
        <v>8.65</v>
      </c>
      <c r="N1312" s="6">
        <v>8382.57</v>
      </c>
      <c r="O1312" s="6">
        <f t="shared" si="101"/>
        <v>7404.75</v>
      </c>
      <c r="P1312" s="6">
        <f t="shared" si="102"/>
        <v>7.5727127692213285</v>
      </c>
      <c r="Q1312" s="3">
        <v>8.57</v>
      </c>
      <c r="R1312" t="str">
        <f t="shared" si="103"/>
        <v>High</v>
      </c>
      <c r="S1312" t="str">
        <f t="shared" si="104"/>
        <v>Valid</v>
      </c>
    </row>
    <row r="1313" spans="1:19" x14ac:dyDescent="0.25">
      <c r="A1313" s="1">
        <v>45325</v>
      </c>
      <c r="B1313" s="1" t="str">
        <f t="shared" si="100"/>
        <v>2024-02</v>
      </c>
      <c r="C1313" t="s">
        <v>18</v>
      </c>
      <c r="D1313" t="s">
        <v>29</v>
      </c>
      <c r="E1313" t="s">
        <v>22</v>
      </c>
      <c r="F1313" t="s">
        <v>23</v>
      </c>
      <c r="G1313" s="4">
        <v>150227</v>
      </c>
      <c r="H1313" s="4">
        <v>8683</v>
      </c>
      <c r="I1313" s="5">
        <v>5.7799999999999997E-2</v>
      </c>
      <c r="J1313" s="2">
        <v>1.7</v>
      </c>
      <c r="K1313" s="6">
        <v>14761.1</v>
      </c>
      <c r="L1313" s="4">
        <v>315</v>
      </c>
      <c r="M1313" s="2">
        <v>46.86</v>
      </c>
      <c r="N1313" s="6">
        <v>86296.01</v>
      </c>
      <c r="O1313" s="6">
        <f t="shared" si="101"/>
        <v>71534.909999999989</v>
      </c>
      <c r="P1313" s="6">
        <f t="shared" si="102"/>
        <v>4.8461774528998509</v>
      </c>
      <c r="Q1313" s="3">
        <v>5.85</v>
      </c>
      <c r="R1313" t="str">
        <f t="shared" si="103"/>
        <v>High</v>
      </c>
      <c r="S1313" t="str">
        <f t="shared" si="104"/>
        <v>Valid</v>
      </c>
    </row>
    <row r="1314" spans="1:19" x14ac:dyDescent="0.25">
      <c r="A1314" s="1">
        <v>45503</v>
      </c>
      <c r="B1314" s="1" t="str">
        <f t="shared" si="100"/>
        <v>2024-07</v>
      </c>
      <c r="C1314" t="s">
        <v>14</v>
      </c>
      <c r="D1314" t="s">
        <v>29</v>
      </c>
      <c r="E1314" t="s">
        <v>22</v>
      </c>
      <c r="F1314" t="s">
        <v>27</v>
      </c>
      <c r="G1314" s="4">
        <v>50411</v>
      </c>
      <c r="H1314" s="4">
        <v>1320</v>
      </c>
      <c r="I1314" s="5">
        <v>2.6200000000000001E-2</v>
      </c>
      <c r="J1314" s="2">
        <v>2.68</v>
      </c>
      <c r="K1314" s="6">
        <v>3537.6</v>
      </c>
      <c r="L1314" s="4">
        <v>49</v>
      </c>
      <c r="M1314" s="2">
        <v>72.2</v>
      </c>
      <c r="N1314" s="6">
        <v>12873.07</v>
      </c>
      <c r="O1314" s="6">
        <f t="shared" si="101"/>
        <v>9335.4699999999993</v>
      </c>
      <c r="P1314" s="6">
        <f t="shared" si="102"/>
        <v>2.6389275214834913</v>
      </c>
      <c r="Q1314" s="3">
        <v>3.64</v>
      </c>
      <c r="R1314" t="str">
        <f t="shared" si="103"/>
        <v>High</v>
      </c>
      <c r="S1314" t="str">
        <f t="shared" si="104"/>
        <v>Valid</v>
      </c>
    </row>
    <row r="1315" spans="1:19" x14ac:dyDescent="0.25">
      <c r="A1315" s="1">
        <v>45308</v>
      </c>
      <c r="B1315" s="1" t="str">
        <f t="shared" si="100"/>
        <v>2024-01</v>
      </c>
      <c r="C1315" t="s">
        <v>14</v>
      </c>
      <c r="D1315" t="s">
        <v>24</v>
      </c>
      <c r="E1315" t="s">
        <v>16</v>
      </c>
      <c r="F1315" t="s">
        <v>20</v>
      </c>
      <c r="G1315" s="4">
        <v>100552</v>
      </c>
      <c r="H1315" s="4">
        <v>3861</v>
      </c>
      <c r="I1315" s="5">
        <v>3.8399999999999997E-2</v>
      </c>
      <c r="J1315" s="2">
        <v>1.91</v>
      </c>
      <c r="K1315" s="6">
        <v>7374.51</v>
      </c>
      <c r="L1315" s="4">
        <v>57</v>
      </c>
      <c r="M1315" s="2">
        <v>129.38</v>
      </c>
      <c r="N1315" s="6">
        <v>14567.86</v>
      </c>
      <c r="O1315" s="6">
        <f t="shared" si="101"/>
        <v>7193.35</v>
      </c>
      <c r="P1315" s="6">
        <f t="shared" si="102"/>
        <v>0.9754343000416299</v>
      </c>
      <c r="Q1315" s="3">
        <v>1.98</v>
      </c>
      <c r="R1315" t="str">
        <f t="shared" si="103"/>
        <v>Medium</v>
      </c>
      <c r="S1315" t="str">
        <f t="shared" si="104"/>
        <v>Valid</v>
      </c>
    </row>
    <row r="1316" spans="1:19" x14ac:dyDescent="0.25">
      <c r="A1316" s="1">
        <v>45475</v>
      </c>
      <c r="B1316" s="1" t="str">
        <f t="shared" si="100"/>
        <v>2024-07</v>
      </c>
      <c r="C1316" t="s">
        <v>14</v>
      </c>
      <c r="D1316" t="s">
        <v>29</v>
      </c>
      <c r="E1316" t="s">
        <v>16</v>
      </c>
      <c r="F1316" t="s">
        <v>17</v>
      </c>
      <c r="G1316" s="4">
        <v>32428</v>
      </c>
      <c r="H1316" s="4">
        <v>603</v>
      </c>
      <c r="I1316" s="5">
        <v>1.8599999999999998E-2</v>
      </c>
      <c r="J1316" s="2">
        <v>1.61</v>
      </c>
      <c r="K1316" s="6">
        <v>970.83</v>
      </c>
      <c r="L1316" s="4">
        <v>47</v>
      </c>
      <c r="M1316" s="2">
        <v>20.66</v>
      </c>
      <c r="N1316" s="6">
        <v>11645.06</v>
      </c>
      <c r="O1316" s="6">
        <f t="shared" si="101"/>
        <v>10674.23</v>
      </c>
      <c r="P1316" s="6">
        <f t="shared" si="102"/>
        <v>10.994952772370032</v>
      </c>
      <c r="Q1316" s="3">
        <v>11.99</v>
      </c>
      <c r="R1316" t="str">
        <f t="shared" si="103"/>
        <v>High</v>
      </c>
      <c r="S1316" t="str">
        <f t="shared" si="104"/>
        <v>Valid</v>
      </c>
    </row>
    <row r="1317" spans="1:19" x14ac:dyDescent="0.25">
      <c r="A1317" s="1">
        <v>45609</v>
      </c>
      <c r="B1317" s="1" t="str">
        <f t="shared" si="100"/>
        <v>2024-11</v>
      </c>
      <c r="C1317" t="s">
        <v>14</v>
      </c>
      <c r="D1317" t="s">
        <v>15</v>
      </c>
      <c r="E1317" t="s">
        <v>22</v>
      </c>
      <c r="F1317" t="s">
        <v>23</v>
      </c>
      <c r="G1317" s="4">
        <v>84517</v>
      </c>
      <c r="H1317" s="4">
        <v>1664</v>
      </c>
      <c r="I1317" s="5">
        <v>1.9699999999999999E-2</v>
      </c>
      <c r="J1317" s="2">
        <v>2.4</v>
      </c>
      <c r="K1317" s="6">
        <v>3993.6</v>
      </c>
      <c r="L1317" s="4">
        <v>91</v>
      </c>
      <c r="M1317" s="2">
        <v>43.89</v>
      </c>
      <c r="N1317" s="6">
        <v>21828</v>
      </c>
      <c r="O1317" s="6">
        <f t="shared" si="101"/>
        <v>17834.400000000001</v>
      </c>
      <c r="P1317" s="6">
        <f t="shared" si="102"/>
        <v>4.4657451923076925</v>
      </c>
      <c r="Q1317" s="3">
        <v>5.47</v>
      </c>
      <c r="R1317" t="str">
        <f t="shared" si="103"/>
        <v>High</v>
      </c>
      <c r="S1317" t="str">
        <f t="shared" si="104"/>
        <v>Valid</v>
      </c>
    </row>
    <row r="1318" spans="1:19" x14ac:dyDescent="0.25">
      <c r="A1318" s="1">
        <v>45372</v>
      </c>
      <c r="B1318" s="1" t="str">
        <f t="shared" si="100"/>
        <v>2024-03</v>
      </c>
      <c r="C1318" t="s">
        <v>28</v>
      </c>
      <c r="D1318" t="s">
        <v>24</v>
      </c>
      <c r="E1318" t="s">
        <v>19</v>
      </c>
      <c r="F1318" t="s">
        <v>26</v>
      </c>
      <c r="G1318" s="4">
        <v>160091</v>
      </c>
      <c r="H1318" s="4">
        <v>4210</v>
      </c>
      <c r="I1318" s="5">
        <v>2.63E-2</v>
      </c>
      <c r="J1318" s="2">
        <v>1.07</v>
      </c>
      <c r="K1318" s="6">
        <v>4504.7</v>
      </c>
      <c r="L1318" s="4">
        <v>322</v>
      </c>
      <c r="M1318" s="2">
        <v>13.99</v>
      </c>
      <c r="N1318" s="6">
        <v>62914.38</v>
      </c>
      <c r="O1318" s="6">
        <f t="shared" si="101"/>
        <v>58409.68</v>
      </c>
      <c r="P1318" s="6">
        <f t="shared" si="102"/>
        <v>12.966386218838103</v>
      </c>
      <c r="Q1318" s="3">
        <v>13.97</v>
      </c>
      <c r="R1318" t="str">
        <f t="shared" si="103"/>
        <v>High</v>
      </c>
      <c r="S1318" t="str">
        <f t="shared" si="104"/>
        <v>Valid</v>
      </c>
    </row>
    <row r="1319" spans="1:19" x14ac:dyDescent="0.25">
      <c r="A1319" s="1">
        <v>45466</v>
      </c>
      <c r="B1319" s="1" t="str">
        <f t="shared" si="100"/>
        <v>2024-06</v>
      </c>
      <c r="C1319" t="s">
        <v>14</v>
      </c>
      <c r="D1319" t="s">
        <v>15</v>
      </c>
      <c r="E1319" t="s">
        <v>19</v>
      </c>
      <c r="F1319" t="s">
        <v>20</v>
      </c>
      <c r="G1319" s="4">
        <v>158778</v>
      </c>
      <c r="H1319" s="4">
        <v>7256</v>
      </c>
      <c r="I1319" s="5">
        <v>4.5699999999999998E-2</v>
      </c>
      <c r="J1319" s="2">
        <v>1.5</v>
      </c>
      <c r="K1319" s="6">
        <v>10884</v>
      </c>
      <c r="L1319" s="4">
        <v>431</v>
      </c>
      <c r="M1319" s="2">
        <v>25.25</v>
      </c>
      <c r="N1319" s="6">
        <v>17905.23</v>
      </c>
      <c r="O1319" s="6">
        <f t="shared" si="101"/>
        <v>7021.23</v>
      </c>
      <c r="P1319" s="6">
        <f t="shared" si="102"/>
        <v>0.64509647188533625</v>
      </c>
      <c r="Q1319" s="3">
        <v>1.65</v>
      </c>
      <c r="R1319" t="str">
        <f t="shared" si="103"/>
        <v>Medium</v>
      </c>
      <c r="S1319" t="str">
        <f t="shared" si="104"/>
        <v>Valid</v>
      </c>
    </row>
    <row r="1320" spans="1:19" x14ac:dyDescent="0.25">
      <c r="A1320" s="1">
        <v>45398</v>
      </c>
      <c r="B1320" s="1" t="str">
        <f t="shared" si="100"/>
        <v>2024-04</v>
      </c>
      <c r="C1320" t="s">
        <v>14</v>
      </c>
      <c r="D1320" t="s">
        <v>15</v>
      </c>
      <c r="E1320" t="s">
        <v>22</v>
      </c>
      <c r="F1320" t="s">
        <v>26</v>
      </c>
      <c r="G1320" s="4">
        <v>145284</v>
      </c>
      <c r="H1320" s="4">
        <v>8121</v>
      </c>
      <c r="I1320" s="5">
        <v>5.5899999999999998E-2</v>
      </c>
      <c r="J1320" s="2">
        <v>2.66</v>
      </c>
      <c r="K1320" s="6">
        <v>21601.86</v>
      </c>
      <c r="L1320" s="4">
        <v>503</v>
      </c>
      <c r="M1320" s="2">
        <v>42.95</v>
      </c>
      <c r="N1320" s="6">
        <v>135453.16</v>
      </c>
      <c r="O1320" s="6">
        <f t="shared" si="101"/>
        <v>113851.3</v>
      </c>
      <c r="P1320" s="6">
        <f t="shared" si="102"/>
        <v>5.2704396751020512</v>
      </c>
      <c r="Q1320" s="3">
        <v>6.27</v>
      </c>
      <c r="R1320" t="str">
        <f t="shared" si="103"/>
        <v>High</v>
      </c>
      <c r="S1320" t="str">
        <f t="shared" si="104"/>
        <v>Valid</v>
      </c>
    </row>
    <row r="1321" spans="1:19" x14ac:dyDescent="0.25">
      <c r="A1321" s="1">
        <v>45326</v>
      </c>
      <c r="B1321" s="1" t="str">
        <f t="shared" si="100"/>
        <v>2024-02</v>
      </c>
      <c r="C1321" t="s">
        <v>28</v>
      </c>
      <c r="D1321" t="s">
        <v>24</v>
      </c>
      <c r="E1321" t="s">
        <v>30</v>
      </c>
      <c r="F1321" t="s">
        <v>26</v>
      </c>
      <c r="G1321" s="4">
        <v>82665</v>
      </c>
      <c r="H1321" s="4">
        <v>2521</v>
      </c>
      <c r="I1321" s="5">
        <v>3.0499999999999999E-2</v>
      </c>
      <c r="J1321" s="2">
        <v>0.64</v>
      </c>
      <c r="K1321" s="6">
        <v>1613.44</v>
      </c>
      <c r="L1321" s="4">
        <v>182</v>
      </c>
      <c r="M1321" s="2">
        <v>8.8699999999999992</v>
      </c>
      <c r="N1321" s="6">
        <v>48413.75</v>
      </c>
      <c r="O1321" s="6">
        <f t="shared" si="101"/>
        <v>46800.31</v>
      </c>
      <c r="P1321" s="6">
        <f t="shared" si="102"/>
        <v>29.00653882387941</v>
      </c>
      <c r="Q1321" s="3">
        <v>30.01</v>
      </c>
      <c r="R1321" t="str">
        <f t="shared" si="103"/>
        <v>High</v>
      </c>
      <c r="S1321" t="str">
        <f t="shared" si="104"/>
        <v>Valid</v>
      </c>
    </row>
    <row r="1322" spans="1:19" x14ac:dyDescent="0.25">
      <c r="A1322" s="1">
        <v>45494</v>
      </c>
      <c r="B1322" s="1" t="str">
        <f t="shared" si="100"/>
        <v>2024-07</v>
      </c>
      <c r="C1322" t="s">
        <v>18</v>
      </c>
      <c r="D1322" t="s">
        <v>24</v>
      </c>
      <c r="E1322" t="s">
        <v>16</v>
      </c>
      <c r="F1322" t="s">
        <v>20</v>
      </c>
      <c r="G1322" s="4">
        <v>157973</v>
      </c>
      <c r="H1322" s="4">
        <v>12227</v>
      </c>
      <c r="I1322" s="5">
        <v>7.7399999999999997E-2</v>
      </c>
      <c r="J1322" s="2">
        <v>0.53</v>
      </c>
      <c r="K1322" s="6">
        <v>6480.31</v>
      </c>
      <c r="L1322" s="4">
        <v>540</v>
      </c>
      <c r="M1322" s="2">
        <v>12</v>
      </c>
      <c r="N1322" s="6">
        <v>99930.16</v>
      </c>
      <c r="O1322" s="6">
        <f t="shared" si="101"/>
        <v>93449.85</v>
      </c>
      <c r="P1322" s="6">
        <f t="shared" si="102"/>
        <v>14.420583274565569</v>
      </c>
      <c r="Q1322" s="3">
        <v>15.42</v>
      </c>
      <c r="R1322" t="str">
        <f t="shared" si="103"/>
        <v>High</v>
      </c>
      <c r="S1322" t="str">
        <f t="shared" si="104"/>
        <v>Valid</v>
      </c>
    </row>
    <row r="1323" spans="1:19" x14ac:dyDescent="0.25">
      <c r="A1323" s="1">
        <v>45391</v>
      </c>
      <c r="B1323" s="1" t="str">
        <f t="shared" si="100"/>
        <v>2024-04</v>
      </c>
      <c r="C1323" t="s">
        <v>18</v>
      </c>
      <c r="D1323" t="s">
        <v>29</v>
      </c>
      <c r="E1323" t="s">
        <v>16</v>
      </c>
      <c r="F1323" t="s">
        <v>31</v>
      </c>
      <c r="G1323" s="4">
        <v>48898</v>
      </c>
      <c r="H1323" s="4">
        <v>3193</v>
      </c>
      <c r="I1323" s="5">
        <v>6.5299999999999997E-2</v>
      </c>
      <c r="J1323" s="2">
        <v>0.89</v>
      </c>
      <c r="K1323" s="6">
        <v>2841.77</v>
      </c>
      <c r="L1323" s="4">
        <v>179</v>
      </c>
      <c r="M1323" s="2">
        <v>15.88</v>
      </c>
      <c r="N1323" s="6">
        <v>27594.33</v>
      </c>
      <c r="O1323" s="6">
        <f t="shared" si="101"/>
        <v>24752.560000000001</v>
      </c>
      <c r="P1323" s="6">
        <f t="shared" si="102"/>
        <v>8.7102615623361501</v>
      </c>
      <c r="Q1323" s="3">
        <v>9.7100000000000009</v>
      </c>
      <c r="R1323" t="str">
        <f t="shared" si="103"/>
        <v>High</v>
      </c>
      <c r="S1323" t="str">
        <f t="shared" si="104"/>
        <v>Valid</v>
      </c>
    </row>
    <row r="1324" spans="1:19" x14ac:dyDescent="0.25">
      <c r="A1324" s="1">
        <v>45359</v>
      </c>
      <c r="B1324" s="1" t="str">
        <f t="shared" si="100"/>
        <v>2024-03</v>
      </c>
      <c r="C1324" t="s">
        <v>14</v>
      </c>
      <c r="D1324" t="s">
        <v>15</v>
      </c>
      <c r="E1324" t="s">
        <v>25</v>
      </c>
      <c r="F1324" t="s">
        <v>23</v>
      </c>
      <c r="G1324" s="4">
        <v>185923</v>
      </c>
      <c r="H1324" s="4">
        <v>7827</v>
      </c>
      <c r="I1324" s="5">
        <v>4.2099999999999999E-2</v>
      </c>
      <c r="J1324" s="2">
        <v>3.68</v>
      </c>
      <c r="K1324" s="6">
        <v>28803.360000000001</v>
      </c>
      <c r="L1324" s="4">
        <v>215</v>
      </c>
      <c r="M1324" s="2">
        <v>133.97</v>
      </c>
      <c r="N1324" s="6">
        <v>61106.18</v>
      </c>
      <c r="O1324" s="6">
        <f t="shared" si="101"/>
        <v>32302.82</v>
      </c>
      <c r="P1324" s="6">
        <f t="shared" si="102"/>
        <v>1.121494853378217</v>
      </c>
      <c r="Q1324" s="3">
        <v>2.12</v>
      </c>
      <c r="R1324" t="str">
        <f t="shared" si="103"/>
        <v>Medium</v>
      </c>
      <c r="S1324" t="str">
        <f t="shared" si="104"/>
        <v>Valid</v>
      </c>
    </row>
    <row r="1325" spans="1:19" x14ac:dyDescent="0.25">
      <c r="A1325" s="1">
        <v>45524</v>
      </c>
      <c r="B1325" s="1" t="str">
        <f t="shared" si="100"/>
        <v>2024-08</v>
      </c>
      <c r="C1325" t="s">
        <v>18</v>
      </c>
      <c r="D1325" t="s">
        <v>15</v>
      </c>
      <c r="E1325" t="s">
        <v>22</v>
      </c>
      <c r="F1325" t="s">
        <v>27</v>
      </c>
      <c r="G1325" s="4">
        <v>89688</v>
      </c>
      <c r="H1325" s="4">
        <v>6583</v>
      </c>
      <c r="I1325" s="5">
        <v>7.3400000000000007E-2</v>
      </c>
      <c r="J1325" s="2">
        <v>0.34</v>
      </c>
      <c r="K1325" s="6">
        <v>2238.2199999999998</v>
      </c>
      <c r="L1325" s="4">
        <v>273</v>
      </c>
      <c r="M1325" s="2">
        <v>8.1999999999999993</v>
      </c>
      <c r="N1325" s="6">
        <v>36559.47</v>
      </c>
      <c r="O1325" s="6">
        <f t="shared" si="101"/>
        <v>34321.25</v>
      </c>
      <c r="P1325" s="6">
        <f t="shared" si="102"/>
        <v>15.334171797231731</v>
      </c>
      <c r="Q1325" s="3">
        <v>16.329999999999998</v>
      </c>
      <c r="R1325" t="str">
        <f t="shared" si="103"/>
        <v>High</v>
      </c>
      <c r="S1325" t="str">
        <f t="shared" si="104"/>
        <v>Valid</v>
      </c>
    </row>
    <row r="1326" spans="1:19" x14ac:dyDescent="0.25">
      <c r="A1326" s="1">
        <v>45519</v>
      </c>
      <c r="B1326" s="1" t="str">
        <f t="shared" si="100"/>
        <v>2024-08</v>
      </c>
      <c r="C1326" t="s">
        <v>18</v>
      </c>
      <c r="D1326" t="s">
        <v>15</v>
      </c>
      <c r="E1326" t="s">
        <v>16</v>
      </c>
      <c r="F1326" t="s">
        <v>27</v>
      </c>
      <c r="G1326" s="4">
        <v>15273</v>
      </c>
      <c r="H1326" s="4">
        <v>464</v>
      </c>
      <c r="I1326" s="5">
        <v>3.04E-2</v>
      </c>
      <c r="J1326" s="2">
        <v>0.77</v>
      </c>
      <c r="K1326" s="6">
        <v>357.28</v>
      </c>
      <c r="L1326" s="4">
        <v>24</v>
      </c>
      <c r="M1326" s="2">
        <v>14.89</v>
      </c>
      <c r="N1326" s="6">
        <v>871.3</v>
      </c>
      <c r="O1326" s="6">
        <f t="shared" si="101"/>
        <v>514.02</v>
      </c>
      <c r="P1326" s="6">
        <f t="shared" si="102"/>
        <v>1.438703537841469</v>
      </c>
      <c r="Q1326" s="3">
        <v>2.44</v>
      </c>
      <c r="R1326" t="str">
        <f t="shared" si="103"/>
        <v>Medium</v>
      </c>
      <c r="S1326" t="str">
        <f t="shared" si="104"/>
        <v>Valid</v>
      </c>
    </row>
    <row r="1327" spans="1:19" x14ac:dyDescent="0.25">
      <c r="A1327" s="1">
        <v>45361</v>
      </c>
      <c r="B1327" s="1" t="str">
        <f t="shared" si="100"/>
        <v>2024-03</v>
      </c>
      <c r="C1327" t="s">
        <v>14</v>
      </c>
      <c r="D1327" t="s">
        <v>24</v>
      </c>
      <c r="E1327" t="s">
        <v>25</v>
      </c>
      <c r="F1327" t="s">
        <v>32</v>
      </c>
      <c r="G1327" s="4">
        <v>71107</v>
      </c>
      <c r="H1327" s="4">
        <v>2936</v>
      </c>
      <c r="I1327" s="5">
        <v>4.1300000000000003E-2</v>
      </c>
      <c r="J1327" s="2">
        <v>2.67</v>
      </c>
      <c r="K1327" s="6">
        <v>7839.12</v>
      </c>
      <c r="L1327" s="4">
        <v>215</v>
      </c>
      <c r="M1327" s="2">
        <v>36.46</v>
      </c>
      <c r="N1327" s="6">
        <v>26952.54</v>
      </c>
      <c r="O1327" s="6">
        <f t="shared" si="101"/>
        <v>19113.420000000002</v>
      </c>
      <c r="P1327" s="6">
        <f t="shared" si="102"/>
        <v>2.4382099011113496</v>
      </c>
      <c r="Q1327" s="3">
        <v>3.44</v>
      </c>
      <c r="R1327" t="str">
        <f t="shared" si="103"/>
        <v>High</v>
      </c>
      <c r="S1327" t="str">
        <f t="shared" si="104"/>
        <v>Valid</v>
      </c>
    </row>
    <row r="1328" spans="1:19" x14ac:dyDescent="0.25">
      <c r="A1328" s="1">
        <v>45473</v>
      </c>
      <c r="B1328" s="1" t="str">
        <f t="shared" si="100"/>
        <v>2024-06</v>
      </c>
      <c r="C1328" t="s">
        <v>14</v>
      </c>
      <c r="D1328" t="s">
        <v>24</v>
      </c>
      <c r="E1328" t="s">
        <v>25</v>
      </c>
      <c r="F1328" t="s">
        <v>17</v>
      </c>
      <c r="G1328" s="4">
        <v>79681</v>
      </c>
      <c r="H1328" s="4">
        <v>2916</v>
      </c>
      <c r="I1328" s="5">
        <v>3.6600000000000001E-2</v>
      </c>
      <c r="J1328" s="2">
        <v>2.34</v>
      </c>
      <c r="K1328" s="6">
        <v>6823.44</v>
      </c>
      <c r="L1328" s="4">
        <v>184</v>
      </c>
      <c r="M1328" s="2">
        <v>37.08</v>
      </c>
      <c r="N1328" s="6">
        <v>46327.26</v>
      </c>
      <c r="O1328" s="6">
        <f t="shared" si="101"/>
        <v>39503.82</v>
      </c>
      <c r="P1328" s="6">
        <f t="shared" si="102"/>
        <v>5.7894287925152126</v>
      </c>
      <c r="Q1328" s="3">
        <v>6.79</v>
      </c>
      <c r="R1328" t="str">
        <f t="shared" si="103"/>
        <v>High</v>
      </c>
      <c r="S1328" t="str">
        <f t="shared" si="104"/>
        <v>Valid</v>
      </c>
    </row>
    <row r="1329" spans="1:19" x14ac:dyDescent="0.25">
      <c r="A1329" s="1">
        <v>45370</v>
      </c>
      <c r="B1329" s="1" t="str">
        <f t="shared" si="100"/>
        <v>2024-03</v>
      </c>
      <c r="C1329" t="s">
        <v>28</v>
      </c>
      <c r="D1329" t="s">
        <v>21</v>
      </c>
      <c r="E1329" t="s">
        <v>22</v>
      </c>
      <c r="F1329" t="s">
        <v>20</v>
      </c>
      <c r="G1329" s="4">
        <v>102148</v>
      </c>
      <c r="H1329" s="4">
        <v>1205</v>
      </c>
      <c r="I1329" s="5">
        <v>1.18E-2</v>
      </c>
      <c r="J1329" s="2">
        <v>1.31</v>
      </c>
      <c r="K1329" s="6">
        <v>1578.55</v>
      </c>
      <c r="L1329" s="4">
        <v>59</v>
      </c>
      <c r="M1329" s="2">
        <v>26.76</v>
      </c>
      <c r="N1329" s="6">
        <v>17697.95</v>
      </c>
      <c r="O1329" s="6">
        <f t="shared" si="101"/>
        <v>16119.400000000001</v>
      </c>
      <c r="P1329" s="6">
        <f t="shared" si="102"/>
        <v>10.21152323334706</v>
      </c>
      <c r="Q1329" s="3">
        <v>11.21</v>
      </c>
      <c r="R1329" t="str">
        <f t="shared" si="103"/>
        <v>High</v>
      </c>
      <c r="S1329" t="str">
        <f t="shared" si="104"/>
        <v>Valid</v>
      </c>
    </row>
    <row r="1330" spans="1:19" x14ac:dyDescent="0.25">
      <c r="A1330" s="1">
        <v>45470</v>
      </c>
      <c r="B1330" s="1" t="str">
        <f t="shared" si="100"/>
        <v>2024-06</v>
      </c>
      <c r="C1330" t="s">
        <v>28</v>
      </c>
      <c r="D1330" t="s">
        <v>15</v>
      </c>
      <c r="E1330" t="s">
        <v>16</v>
      </c>
      <c r="F1330" t="s">
        <v>20</v>
      </c>
      <c r="G1330" s="4">
        <v>115540</v>
      </c>
      <c r="H1330" s="4">
        <v>1686</v>
      </c>
      <c r="I1330" s="5">
        <v>1.46E-2</v>
      </c>
      <c r="J1330" s="2">
        <v>1.58</v>
      </c>
      <c r="K1330" s="6">
        <v>2663.88</v>
      </c>
      <c r="L1330" s="4">
        <v>87</v>
      </c>
      <c r="M1330" s="2">
        <v>30.62</v>
      </c>
      <c r="N1330" s="6">
        <v>20354.07</v>
      </c>
      <c r="O1330" s="6">
        <f t="shared" si="101"/>
        <v>17690.189999999999</v>
      </c>
      <c r="P1330" s="6">
        <f t="shared" si="102"/>
        <v>6.6407608450831113</v>
      </c>
      <c r="Q1330" s="3">
        <v>7.64</v>
      </c>
      <c r="R1330" t="str">
        <f t="shared" si="103"/>
        <v>High</v>
      </c>
      <c r="S1330" t="str">
        <f t="shared" si="104"/>
        <v>Valid</v>
      </c>
    </row>
    <row r="1331" spans="1:19" x14ac:dyDescent="0.25">
      <c r="A1331" s="1">
        <v>45456</v>
      </c>
      <c r="B1331" s="1" t="str">
        <f t="shared" si="100"/>
        <v>2024-06</v>
      </c>
      <c r="C1331" t="s">
        <v>14</v>
      </c>
      <c r="D1331" t="s">
        <v>21</v>
      </c>
      <c r="E1331" t="s">
        <v>30</v>
      </c>
      <c r="F1331" t="s">
        <v>17</v>
      </c>
      <c r="G1331" s="4">
        <v>16766</v>
      </c>
      <c r="H1331" s="4">
        <v>846</v>
      </c>
      <c r="I1331" s="5">
        <v>5.0500000000000003E-2</v>
      </c>
      <c r="J1331" s="2">
        <v>2.46</v>
      </c>
      <c r="K1331" s="6">
        <v>2081.16</v>
      </c>
      <c r="L1331" s="4">
        <v>34</v>
      </c>
      <c r="M1331" s="2">
        <v>61.21</v>
      </c>
      <c r="N1331" s="6">
        <v>7254.65</v>
      </c>
      <c r="O1331" s="6">
        <f t="shared" si="101"/>
        <v>5173.49</v>
      </c>
      <c r="P1331" s="6">
        <f t="shared" si="102"/>
        <v>2.4858684579753598</v>
      </c>
      <c r="Q1331" s="3">
        <v>3.49</v>
      </c>
      <c r="R1331" t="str">
        <f t="shared" si="103"/>
        <v>High</v>
      </c>
      <c r="S1331" t="str">
        <f t="shared" si="104"/>
        <v>Valid</v>
      </c>
    </row>
    <row r="1332" spans="1:19" x14ac:dyDescent="0.25">
      <c r="A1332" s="1">
        <v>45329</v>
      </c>
      <c r="B1332" s="1" t="str">
        <f t="shared" si="100"/>
        <v>2024-02</v>
      </c>
      <c r="C1332" t="s">
        <v>14</v>
      </c>
      <c r="D1332" t="s">
        <v>29</v>
      </c>
      <c r="E1332" t="s">
        <v>30</v>
      </c>
      <c r="F1332" t="s">
        <v>26</v>
      </c>
      <c r="G1332" s="4">
        <v>96931</v>
      </c>
      <c r="H1332" s="4">
        <v>5844</v>
      </c>
      <c r="I1332" s="5">
        <v>6.0299999999999999E-2</v>
      </c>
      <c r="J1332" s="2">
        <v>1.1200000000000001</v>
      </c>
      <c r="K1332" s="6">
        <v>6545.28</v>
      </c>
      <c r="L1332" s="4">
        <v>297</v>
      </c>
      <c r="M1332" s="2">
        <v>22.04</v>
      </c>
      <c r="N1332" s="6">
        <v>47765.4</v>
      </c>
      <c r="O1332" s="6">
        <f t="shared" si="101"/>
        <v>41220.120000000003</v>
      </c>
      <c r="P1332" s="6">
        <f t="shared" si="102"/>
        <v>6.2976862716339106</v>
      </c>
      <c r="Q1332" s="3">
        <v>7.3</v>
      </c>
      <c r="R1332" t="str">
        <f t="shared" si="103"/>
        <v>High</v>
      </c>
      <c r="S1332" t="str">
        <f t="shared" si="104"/>
        <v>Valid</v>
      </c>
    </row>
    <row r="1333" spans="1:19" x14ac:dyDescent="0.25">
      <c r="A1333" s="1">
        <v>45301</v>
      </c>
      <c r="B1333" s="1" t="str">
        <f t="shared" si="100"/>
        <v>2024-01</v>
      </c>
      <c r="C1333" t="s">
        <v>28</v>
      </c>
      <c r="D1333" t="s">
        <v>15</v>
      </c>
      <c r="E1333" t="s">
        <v>25</v>
      </c>
      <c r="F1333" t="s">
        <v>20</v>
      </c>
      <c r="G1333" s="4">
        <v>175574</v>
      </c>
      <c r="H1333" s="4">
        <v>6935</v>
      </c>
      <c r="I1333" s="5">
        <v>3.95E-2</v>
      </c>
      <c r="J1333" s="2">
        <v>0.69</v>
      </c>
      <c r="K1333" s="6">
        <v>4785.1499999999996</v>
      </c>
      <c r="L1333" s="4">
        <v>515</v>
      </c>
      <c r="M1333" s="2">
        <v>9.2899999999999991</v>
      </c>
      <c r="N1333" s="6">
        <v>69264.33</v>
      </c>
      <c r="O1333" s="6">
        <f t="shared" si="101"/>
        <v>64479.18</v>
      </c>
      <c r="P1333" s="6">
        <f t="shared" si="102"/>
        <v>13.474850318171844</v>
      </c>
      <c r="Q1333" s="3">
        <v>14.47</v>
      </c>
      <c r="R1333" t="str">
        <f t="shared" si="103"/>
        <v>High</v>
      </c>
      <c r="S1333" t="str">
        <f t="shared" si="104"/>
        <v>Valid</v>
      </c>
    </row>
    <row r="1334" spans="1:19" x14ac:dyDescent="0.25">
      <c r="A1334" s="1">
        <v>45634</v>
      </c>
      <c r="B1334" s="1" t="str">
        <f t="shared" si="100"/>
        <v>2024-12</v>
      </c>
      <c r="C1334" t="s">
        <v>18</v>
      </c>
      <c r="D1334" t="s">
        <v>24</v>
      </c>
      <c r="E1334" t="s">
        <v>19</v>
      </c>
      <c r="F1334" t="s">
        <v>32</v>
      </c>
      <c r="G1334" s="4">
        <v>175330</v>
      </c>
      <c r="H1334" s="4">
        <v>8766</v>
      </c>
      <c r="I1334" s="5">
        <v>0.05</v>
      </c>
      <c r="J1334" s="2">
        <v>0.73</v>
      </c>
      <c r="K1334" s="6">
        <v>6399.18</v>
      </c>
      <c r="L1334" s="4">
        <v>302</v>
      </c>
      <c r="M1334" s="2">
        <v>21.19</v>
      </c>
      <c r="N1334" s="6">
        <v>35245.68</v>
      </c>
      <c r="O1334" s="6">
        <f t="shared" si="101"/>
        <v>28846.5</v>
      </c>
      <c r="P1334" s="6">
        <f t="shared" si="102"/>
        <v>4.5078431924090276</v>
      </c>
      <c r="Q1334" s="3">
        <v>5.51</v>
      </c>
      <c r="R1334" t="str">
        <f t="shared" si="103"/>
        <v>High</v>
      </c>
      <c r="S1334" t="str">
        <f t="shared" si="104"/>
        <v>Valid</v>
      </c>
    </row>
    <row r="1335" spans="1:19" x14ac:dyDescent="0.25">
      <c r="A1335" s="1">
        <v>45656</v>
      </c>
      <c r="B1335" s="1" t="str">
        <f t="shared" si="100"/>
        <v>2024-12</v>
      </c>
      <c r="C1335" t="s">
        <v>14</v>
      </c>
      <c r="D1335" t="s">
        <v>24</v>
      </c>
      <c r="E1335" t="s">
        <v>30</v>
      </c>
      <c r="F1335" t="s">
        <v>17</v>
      </c>
      <c r="G1335" s="4">
        <v>45225</v>
      </c>
      <c r="H1335" s="4">
        <v>2211</v>
      </c>
      <c r="I1335" s="5">
        <v>4.8899999999999999E-2</v>
      </c>
      <c r="J1335" s="2">
        <v>0.91</v>
      </c>
      <c r="K1335" s="6">
        <v>2012.01</v>
      </c>
      <c r="L1335" s="4">
        <v>156</v>
      </c>
      <c r="M1335" s="2">
        <v>12.9</v>
      </c>
      <c r="N1335" s="6">
        <v>38495.980000000003</v>
      </c>
      <c r="O1335" s="6">
        <f t="shared" si="101"/>
        <v>36483.97</v>
      </c>
      <c r="P1335" s="6">
        <f t="shared" si="102"/>
        <v>18.133095759961432</v>
      </c>
      <c r="Q1335" s="3">
        <v>19.13</v>
      </c>
      <c r="R1335" t="str">
        <f t="shared" si="103"/>
        <v>High</v>
      </c>
      <c r="S1335" t="str">
        <f t="shared" si="104"/>
        <v>Valid</v>
      </c>
    </row>
    <row r="1336" spans="1:19" x14ac:dyDescent="0.25">
      <c r="A1336" s="1">
        <v>45539</v>
      </c>
      <c r="B1336" s="1" t="str">
        <f t="shared" si="100"/>
        <v>2024-09</v>
      </c>
      <c r="C1336" t="s">
        <v>28</v>
      </c>
      <c r="D1336" t="s">
        <v>24</v>
      </c>
      <c r="E1336" t="s">
        <v>16</v>
      </c>
      <c r="F1336" t="s">
        <v>31</v>
      </c>
      <c r="G1336" s="4">
        <v>79992</v>
      </c>
      <c r="H1336" s="4">
        <v>1055</v>
      </c>
      <c r="I1336" s="5">
        <v>1.32E-2</v>
      </c>
      <c r="J1336" s="2">
        <v>1.52</v>
      </c>
      <c r="K1336" s="6">
        <v>1603.6</v>
      </c>
      <c r="L1336" s="4">
        <v>21</v>
      </c>
      <c r="M1336" s="2">
        <v>76.36</v>
      </c>
      <c r="N1336" s="6">
        <v>4912.79</v>
      </c>
      <c r="O1336" s="6">
        <f t="shared" si="101"/>
        <v>3309.19</v>
      </c>
      <c r="P1336" s="6">
        <f t="shared" si="102"/>
        <v>2.0636006485407834</v>
      </c>
      <c r="Q1336" s="3">
        <v>3.06</v>
      </c>
      <c r="R1336" t="str">
        <f t="shared" si="103"/>
        <v>High</v>
      </c>
      <c r="S1336" t="str">
        <f t="shared" si="104"/>
        <v>Valid</v>
      </c>
    </row>
    <row r="1337" spans="1:19" x14ac:dyDescent="0.25">
      <c r="A1337" s="1">
        <v>45552</v>
      </c>
      <c r="B1337" s="1" t="str">
        <f t="shared" si="100"/>
        <v>2024-09</v>
      </c>
      <c r="C1337" t="s">
        <v>28</v>
      </c>
      <c r="D1337" t="s">
        <v>29</v>
      </c>
      <c r="E1337" t="s">
        <v>19</v>
      </c>
      <c r="F1337" t="s">
        <v>32</v>
      </c>
      <c r="G1337" s="4">
        <v>23113</v>
      </c>
      <c r="H1337" s="4">
        <v>228</v>
      </c>
      <c r="I1337" s="5">
        <v>9.9000000000000008E-3</v>
      </c>
      <c r="J1337" s="2">
        <v>0.6</v>
      </c>
      <c r="K1337" s="6">
        <v>136.80000000000001</v>
      </c>
      <c r="L1337" s="4">
        <v>17</v>
      </c>
      <c r="M1337" s="2">
        <v>8.0500000000000007</v>
      </c>
      <c r="N1337" s="6">
        <v>2097.34</v>
      </c>
      <c r="O1337" s="6">
        <f t="shared" si="101"/>
        <v>1960.5400000000002</v>
      </c>
      <c r="P1337" s="6">
        <f t="shared" si="102"/>
        <v>14.331432748538012</v>
      </c>
      <c r="Q1337" s="3">
        <v>15.33</v>
      </c>
      <c r="R1337" t="str">
        <f t="shared" si="103"/>
        <v>High</v>
      </c>
      <c r="S1337" t="str">
        <f t="shared" si="104"/>
        <v>Valid</v>
      </c>
    </row>
    <row r="1338" spans="1:19" x14ac:dyDescent="0.25">
      <c r="A1338" s="1">
        <v>45504</v>
      </c>
      <c r="B1338" s="1" t="str">
        <f t="shared" si="100"/>
        <v>2024-07</v>
      </c>
      <c r="C1338" t="s">
        <v>28</v>
      </c>
      <c r="D1338" t="s">
        <v>15</v>
      </c>
      <c r="E1338" t="s">
        <v>19</v>
      </c>
      <c r="F1338" t="s">
        <v>26</v>
      </c>
      <c r="G1338" s="4">
        <v>39754</v>
      </c>
      <c r="H1338" s="4">
        <v>1164</v>
      </c>
      <c r="I1338" s="5">
        <v>2.93E-2</v>
      </c>
      <c r="J1338" s="2">
        <v>1.35</v>
      </c>
      <c r="K1338" s="6">
        <v>1571.4</v>
      </c>
      <c r="L1338" s="4">
        <v>72</v>
      </c>
      <c r="M1338" s="2">
        <v>21.83</v>
      </c>
      <c r="N1338" s="6">
        <v>9221.61</v>
      </c>
      <c r="O1338" s="6">
        <f t="shared" si="101"/>
        <v>7650.2100000000009</v>
      </c>
      <c r="P1338" s="6">
        <f t="shared" si="102"/>
        <v>4.8684039709812907</v>
      </c>
      <c r="Q1338" s="3">
        <v>5.87</v>
      </c>
      <c r="R1338" t="str">
        <f t="shared" si="103"/>
        <v>High</v>
      </c>
      <c r="S1338" t="str">
        <f t="shared" si="104"/>
        <v>Valid</v>
      </c>
    </row>
    <row r="1339" spans="1:19" x14ac:dyDescent="0.25">
      <c r="A1339" s="1">
        <v>45520</v>
      </c>
      <c r="B1339" s="1" t="str">
        <f t="shared" si="100"/>
        <v>2024-08</v>
      </c>
      <c r="C1339" t="s">
        <v>14</v>
      </c>
      <c r="D1339" t="s">
        <v>24</v>
      </c>
      <c r="E1339" t="s">
        <v>25</v>
      </c>
      <c r="F1339" t="s">
        <v>17</v>
      </c>
      <c r="G1339" s="4">
        <v>89383</v>
      </c>
      <c r="H1339" s="4">
        <v>5631</v>
      </c>
      <c r="I1339" s="5">
        <v>6.3E-2</v>
      </c>
      <c r="J1339" s="2">
        <v>3.67</v>
      </c>
      <c r="K1339" s="6">
        <v>20665.77</v>
      </c>
      <c r="L1339" s="4">
        <v>163</v>
      </c>
      <c r="M1339" s="2">
        <v>126.78</v>
      </c>
      <c r="N1339" s="6">
        <v>35918.239999999998</v>
      </c>
      <c r="O1339" s="6">
        <f t="shared" si="101"/>
        <v>15252.469999999998</v>
      </c>
      <c r="P1339" s="6">
        <f t="shared" si="102"/>
        <v>0.73805476398895353</v>
      </c>
      <c r="Q1339" s="3">
        <v>1.74</v>
      </c>
      <c r="R1339" t="str">
        <f t="shared" si="103"/>
        <v>Medium</v>
      </c>
      <c r="S1339" t="str">
        <f t="shared" si="104"/>
        <v>Valid</v>
      </c>
    </row>
    <row r="1340" spans="1:19" x14ac:dyDescent="0.25">
      <c r="A1340" s="1">
        <v>45330</v>
      </c>
      <c r="B1340" s="1" t="str">
        <f t="shared" si="100"/>
        <v>2024-02</v>
      </c>
      <c r="C1340" t="s">
        <v>18</v>
      </c>
      <c r="D1340" t="s">
        <v>15</v>
      </c>
      <c r="E1340" t="s">
        <v>19</v>
      </c>
      <c r="F1340" t="s">
        <v>23</v>
      </c>
      <c r="G1340" s="4">
        <v>128900</v>
      </c>
      <c r="H1340" s="4">
        <v>10273</v>
      </c>
      <c r="I1340" s="5">
        <v>7.9699999999999993E-2</v>
      </c>
      <c r="J1340" s="2">
        <v>0.84</v>
      </c>
      <c r="K1340" s="6">
        <v>8629.32</v>
      </c>
      <c r="L1340" s="4">
        <v>238</v>
      </c>
      <c r="M1340" s="2">
        <v>36.26</v>
      </c>
      <c r="N1340" s="6">
        <v>11417.91</v>
      </c>
      <c r="O1340" s="6">
        <f t="shared" si="101"/>
        <v>2788.59</v>
      </c>
      <c r="P1340" s="6">
        <f t="shared" si="102"/>
        <v>0.32315292514358029</v>
      </c>
      <c r="Q1340" s="3">
        <v>1.32</v>
      </c>
      <c r="R1340" t="str">
        <f t="shared" si="103"/>
        <v>Medium</v>
      </c>
      <c r="S1340" t="str">
        <f t="shared" si="104"/>
        <v>Valid</v>
      </c>
    </row>
    <row r="1341" spans="1:19" x14ac:dyDescent="0.25">
      <c r="A1341" s="1">
        <v>45522</v>
      </c>
      <c r="B1341" s="1" t="str">
        <f t="shared" si="100"/>
        <v>2024-08</v>
      </c>
      <c r="C1341" t="s">
        <v>14</v>
      </c>
      <c r="D1341" t="s">
        <v>29</v>
      </c>
      <c r="E1341" t="s">
        <v>19</v>
      </c>
      <c r="F1341" t="s">
        <v>27</v>
      </c>
      <c r="G1341" s="4">
        <v>179159</v>
      </c>
      <c r="H1341" s="4">
        <v>6593</v>
      </c>
      <c r="I1341" s="5">
        <v>3.6799999999999999E-2</v>
      </c>
      <c r="J1341" s="2">
        <v>2.23</v>
      </c>
      <c r="K1341" s="6">
        <v>14702.39</v>
      </c>
      <c r="L1341" s="4">
        <v>459</v>
      </c>
      <c r="M1341" s="2">
        <v>32.03</v>
      </c>
      <c r="N1341" s="6">
        <v>76527.740000000005</v>
      </c>
      <c r="O1341" s="6">
        <f t="shared" si="101"/>
        <v>61825.350000000006</v>
      </c>
      <c r="P1341" s="6">
        <f t="shared" si="102"/>
        <v>4.2051224324752647</v>
      </c>
      <c r="Q1341" s="3">
        <v>5.21</v>
      </c>
      <c r="R1341" t="str">
        <f t="shared" si="103"/>
        <v>High</v>
      </c>
      <c r="S1341" t="str">
        <f t="shared" si="104"/>
        <v>Valid</v>
      </c>
    </row>
    <row r="1342" spans="1:19" x14ac:dyDescent="0.25">
      <c r="A1342" s="1">
        <v>45381</v>
      </c>
      <c r="B1342" s="1" t="str">
        <f t="shared" si="100"/>
        <v>2024-03</v>
      </c>
      <c r="C1342" t="s">
        <v>18</v>
      </c>
      <c r="D1342" t="s">
        <v>29</v>
      </c>
      <c r="E1342" t="s">
        <v>25</v>
      </c>
      <c r="F1342" t="s">
        <v>31</v>
      </c>
      <c r="G1342" s="4">
        <v>15739</v>
      </c>
      <c r="H1342" s="4">
        <v>1205</v>
      </c>
      <c r="I1342" s="5">
        <v>7.6600000000000001E-2</v>
      </c>
      <c r="J1342" s="2">
        <v>0.46</v>
      </c>
      <c r="K1342" s="6">
        <v>554.29999999999995</v>
      </c>
      <c r="L1342" s="4">
        <v>60</v>
      </c>
      <c r="M1342" s="2">
        <v>9.24</v>
      </c>
      <c r="N1342" s="6">
        <v>6092.69</v>
      </c>
      <c r="O1342" s="6">
        <f t="shared" si="101"/>
        <v>5538.3899999999994</v>
      </c>
      <c r="P1342" s="6">
        <f t="shared" si="102"/>
        <v>9.9916832040411325</v>
      </c>
      <c r="Q1342" s="3">
        <v>10.99</v>
      </c>
      <c r="R1342" t="str">
        <f t="shared" si="103"/>
        <v>High</v>
      </c>
      <c r="S1342" t="str">
        <f t="shared" si="104"/>
        <v>Valid</v>
      </c>
    </row>
    <row r="1343" spans="1:19" x14ac:dyDescent="0.25">
      <c r="A1343" s="1">
        <v>45371</v>
      </c>
      <c r="B1343" s="1" t="str">
        <f t="shared" si="100"/>
        <v>2024-03</v>
      </c>
      <c r="C1343" t="s">
        <v>28</v>
      </c>
      <c r="D1343" t="s">
        <v>24</v>
      </c>
      <c r="E1343" t="s">
        <v>16</v>
      </c>
      <c r="F1343" t="s">
        <v>32</v>
      </c>
      <c r="G1343" s="4">
        <v>25243</v>
      </c>
      <c r="H1343" s="4">
        <v>580</v>
      </c>
      <c r="I1343" s="5">
        <v>2.3E-2</v>
      </c>
      <c r="J1343" s="2">
        <v>1.98</v>
      </c>
      <c r="K1343" s="6">
        <v>1148.4000000000001</v>
      </c>
      <c r="L1343" s="4">
        <v>13</v>
      </c>
      <c r="M1343" s="2">
        <v>88.34</v>
      </c>
      <c r="N1343" s="6">
        <v>3883.09</v>
      </c>
      <c r="O1343" s="6">
        <f t="shared" si="101"/>
        <v>2734.69</v>
      </c>
      <c r="P1343" s="6">
        <f t="shared" si="102"/>
        <v>2.3813044235458025</v>
      </c>
      <c r="Q1343" s="3">
        <v>3.38</v>
      </c>
      <c r="R1343" t="str">
        <f t="shared" si="103"/>
        <v>High</v>
      </c>
      <c r="S1343" t="str">
        <f t="shared" si="104"/>
        <v>Valid</v>
      </c>
    </row>
    <row r="1344" spans="1:19" x14ac:dyDescent="0.25">
      <c r="A1344" s="1">
        <v>45450</v>
      </c>
      <c r="B1344" s="1" t="str">
        <f t="shared" si="100"/>
        <v>2024-06</v>
      </c>
      <c r="C1344" t="s">
        <v>18</v>
      </c>
      <c r="D1344" t="s">
        <v>21</v>
      </c>
      <c r="E1344" t="s">
        <v>16</v>
      </c>
      <c r="F1344" t="s">
        <v>27</v>
      </c>
      <c r="G1344" s="4">
        <v>196745</v>
      </c>
      <c r="H1344" s="4">
        <v>13240</v>
      </c>
      <c r="I1344" s="5">
        <v>6.7299999999999999E-2</v>
      </c>
      <c r="J1344" s="2">
        <v>1.63</v>
      </c>
      <c r="K1344" s="6">
        <v>21581.200000000001</v>
      </c>
      <c r="L1344" s="4">
        <v>761</v>
      </c>
      <c r="M1344" s="2">
        <v>28.36</v>
      </c>
      <c r="N1344" s="6">
        <v>195233.42</v>
      </c>
      <c r="O1344" s="6">
        <f t="shared" si="101"/>
        <v>173652.22</v>
      </c>
      <c r="P1344" s="6">
        <f t="shared" si="102"/>
        <v>8.046458028283876</v>
      </c>
      <c r="Q1344" s="3">
        <v>9.0500000000000007</v>
      </c>
      <c r="R1344" t="str">
        <f t="shared" si="103"/>
        <v>High</v>
      </c>
      <c r="S1344" t="str">
        <f t="shared" si="104"/>
        <v>Valid</v>
      </c>
    </row>
    <row r="1345" spans="1:19" x14ac:dyDescent="0.25">
      <c r="A1345" s="1">
        <v>45618</v>
      </c>
      <c r="B1345" s="1" t="str">
        <f t="shared" si="100"/>
        <v>2024-11</v>
      </c>
      <c r="C1345" t="s">
        <v>28</v>
      </c>
      <c r="D1345" t="s">
        <v>15</v>
      </c>
      <c r="E1345" t="s">
        <v>30</v>
      </c>
      <c r="F1345" t="s">
        <v>26</v>
      </c>
      <c r="G1345" s="4">
        <v>23186</v>
      </c>
      <c r="H1345" s="4">
        <v>512</v>
      </c>
      <c r="I1345" s="5">
        <v>2.2100000000000002E-2</v>
      </c>
      <c r="J1345" s="2">
        <v>2.11</v>
      </c>
      <c r="K1345" s="6">
        <v>1080.32</v>
      </c>
      <c r="L1345" s="4">
        <v>26</v>
      </c>
      <c r="M1345" s="2">
        <v>41.55</v>
      </c>
      <c r="N1345" s="6">
        <v>2663.68</v>
      </c>
      <c r="O1345" s="6">
        <f t="shared" si="101"/>
        <v>1583.36</v>
      </c>
      <c r="P1345" s="6">
        <f t="shared" si="102"/>
        <v>1.4656398104265402</v>
      </c>
      <c r="Q1345" s="3">
        <v>2.4700000000000002</v>
      </c>
      <c r="R1345" t="str">
        <f t="shared" si="103"/>
        <v>Medium</v>
      </c>
      <c r="S1345" t="str">
        <f t="shared" si="104"/>
        <v>Valid</v>
      </c>
    </row>
    <row r="1346" spans="1:19" x14ac:dyDescent="0.25">
      <c r="A1346" s="1">
        <v>45591</v>
      </c>
      <c r="B1346" s="1" t="str">
        <f t="shared" si="100"/>
        <v>2024-10</v>
      </c>
      <c r="C1346" t="s">
        <v>14</v>
      </c>
      <c r="D1346" t="s">
        <v>24</v>
      </c>
      <c r="E1346" t="s">
        <v>25</v>
      </c>
      <c r="F1346" t="s">
        <v>23</v>
      </c>
      <c r="G1346" s="4">
        <v>189480</v>
      </c>
      <c r="H1346" s="4">
        <v>6290</v>
      </c>
      <c r="I1346" s="5">
        <v>3.32E-2</v>
      </c>
      <c r="J1346" s="2">
        <v>3.55</v>
      </c>
      <c r="K1346" s="6">
        <v>22329.5</v>
      </c>
      <c r="L1346" s="4">
        <v>204</v>
      </c>
      <c r="M1346" s="2">
        <v>109.46</v>
      </c>
      <c r="N1346" s="6">
        <v>44620.04</v>
      </c>
      <c r="O1346" s="6">
        <f t="shared" si="101"/>
        <v>22290.54</v>
      </c>
      <c r="P1346" s="6">
        <f t="shared" si="102"/>
        <v>0.99825522291139523</v>
      </c>
      <c r="Q1346" s="3">
        <v>2</v>
      </c>
      <c r="R1346" t="str">
        <f t="shared" si="103"/>
        <v>Medium</v>
      </c>
      <c r="S1346" t="str">
        <f t="shared" si="104"/>
        <v>Valid</v>
      </c>
    </row>
    <row r="1347" spans="1:19" x14ac:dyDescent="0.25">
      <c r="A1347" s="1">
        <v>45607</v>
      </c>
      <c r="B1347" s="1" t="str">
        <f t="shared" ref="B1347:B1410" si="105">TEXT(A1347, "yyyy-mm")</f>
        <v>2024-11</v>
      </c>
      <c r="C1347" t="s">
        <v>28</v>
      </c>
      <c r="D1347" t="s">
        <v>21</v>
      </c>
      <c r="E1347" t="s">
        <v>16</v>
      </c>
      <c r="F1347" t="s">
        <v>20</v>
      </c>
      <c r="G1347" s="4">
        <v>112518</v>
      </c>
      <c r="H1347" s="4">
        <v>1597</v>
      </c>
      <c r="I1347" s="5">
        <v>1.4200000000000001E-2</v>
      </c>
      <c r="J1347" s="2">
        <v>1.08</v>
      </c>
      <c r="K1347" s="6">
        <v>1724.76</v>
      </c>
      <c r="L1347" s="4">
        <v>105</v>
      </c>
      <c r="M1347" s="2">
        <v>16.43</v>
      </c>
      <c r="N1347" s="6">
        <v>25379.08</v>
      </c>
      <c r="O1347" s="6">
        <f t="shared" ref="O1347:O1410" si="106">N1347-K1347</f>
        <v>23654.320000000003</v>
      </c>
      <c r="P1347" s="6">
        <f t="shared" ref="P1347:P1410" si="107">IFERROR(O1347/K1347, "")</f>
        <v>13.714557387694521</v>
      </c>
      <c r="Q1347" s="3">
        <v>14.71</v>
      </c>
      <c r="R1347" t="str">
        <f t="shared" ref="R1347:R1410" si="108">IF(Q1347 &gt;= 3, "High", IF(Q1347&gt;=1, "Medium", "Low"))</f>
        <v>High</v>
      </c>
      <c r="S1347" t="str">
        <f t="shared" ref="S1347:S1410" si="109">IF(OR(G1347=0, H1347&gt;G1347, L1347&gt;H1347), "Invalid", "Valid")</f>
        <v>Valid</v>
      </c>
    </row>
    <row r="1348" spans="1:19" x14ac:dyDescent="0.25">
      <c r="A1348" s="1">
        <v>45516</v>
      </c>
      <c r="B1348" s="1" t="str">
        <f t="shared" si="105"/>
        <v>2024-08</v>
      </c>
      <c r="C1348" t="s">
        <v>14</v>
      </c>
      <c r="D1348" t="s">
        <v>21</v>
      </c>
      <c r="E1348" t="s">
        <v>30</v>
      </c>
      <c r="F1348" t="s">
        <v>23</v>
      </c>
      <c r="G1348" s="4">
        <v>116789</v>
      </c>
      <c r="H1348" s="4">
        <v>6586</v>
      </c>
      <c r="I1348" s="5">
        <v>5.6399999999999999E-2</v>
      </c>
      <c r="J1348" s="2">
        <v>2.69</v>
      </c>
      <c r="K1348" s="6">
        <v>17716.34</v>
      </c>
      <c r="L1348" s="4">
        <v>220</v>
      </c>
      <c r="M1348" s="2">
        <v>80.53</v>
      </c>
      <c r="N1348" s="6">
        <v>34309.56</v>
      </c>
      <c r="O1348" s="6">
        <f t="shared" si="106"/>
        <v>16593.219999999998</v>
      </c>
      <c r="P1348" s="6">
        <f t="shared" si="107"/>
        <v>0.93660541624285809</v>
      </c>
      <c r="Q1348" s="3">
        <v>1.94</v>
      </c>
      <c r="R1348" t="str">
        <f t="shared" si="108"/>
        <v>Medium</v>
      </c>
      <c r="S1348" t="str">
        <f t="shared" si="109"/>
        <v>Valid</v>
      </c>
    </row>
    <row r="1349" spans="1:19" x14ac:dyDescent="0.25">
      <c r="A1349" s="1">
        <v>45408</v>
      </c>
      <c r="B1349" s="1" t="str">
        <f t="shared" si="105"/>
        <v>2024-04</v>
      </c>
      <c r="C1349" t="s">
        <v>18</v>
      </c>
      <c r="D1349" t="s">
        <v>15</v>
      </c>
      <c r="E1349" t="s">
        <v>25</v>
      </c>
      <c r="F1349" t="s">
        <v>26</v>
      </c>
      <c r="G1349" s="4">
        <v>42575</v>
      </c>
      <c r="H1349" s="4">
        <v>2188</v>
      </c>
      <c r="I1349" s="5">
        <v>5.1400000000000001E-2</v>
      </c>
      <c r="J1349" s="2">
        <v>1.8</v>
      </c>
      <c r="K1349" s="6">
        <v>3938.4</v>
      </c>
      <c r="L1349" s="4">
        <v>63</v>
      </c>
      <c r="M1349" s="2">
        <v>62.51</v>
      </c>
      <c r="N1349" s="6">
        <v>13519.27</v>
      </c>
      <c r="O1349" s="6">
        <f t="shared" si="106"/>
        <v>9580.8700000000008</v>
      </c>
      <c r="P1349" s="6">
        <f t="shared" si="107"/>
        <v>2.4326807840747513</v>
      </c>
      <c r="Q1349" s="3">
        <v>3.43</v>
      </c>
      <c r="R1349" t="str">
        <f t="shared" si="108"/>
        <v>High</v>
      </c>
      <c r="S1349" t="str">
        <f t="shared" si="109"/>
        <v>Valid</v>
      </c>
    </row>
    <row r="1350" spans="1:19" x14ac:dyDescent="0.25">
      <c r="A1350" s="1">
        <v>45496</v>
      </c>
      <c r="B1350" s="1" t="str">
        <f t="shared" si="105"/>
        <v>2024-07</v>
      </c>
      <c r="C1350" t="s">
        <v>18</v>
      </c>
      <c r="D1350" t="s">
        <v>21</v>
      </c>
      <c r="E1350" t="s">
        <v>16</v>
      </c>
      <c r="F1350" t="s">
        <v>27</v>
      </c>
      <c r="G1350" s="4">
        <v>51557</v>
      </c>
      <c r="H1350" s="4">
        <v>2882</v>
      </c>
      <c r="I1350" s="5">
        <v>5.5899999999999998E-2</v>
      </c>
      <c r="J1350" s="2">
        <v>1.25</v>
      </c>
      <c r="K1350" s="6">
        <v>3602.5</v>
      </c>
      <c r="L1350" s="4">
        <v>135</v>
      </c>
      <c r="M1350" s="2">
        <v>26.69</v>
      </c>
      <c r="N1350" s="6">
        <v>6028.08</v>
      </c>
      <c r="O1350" s="6">
        <f t="shared" si="106"/>
        <v>2425.58</v>
      </c>
      <c r="P1350" s="6">
        <f t="shared" si="107"/>
        <v>0.67330464954892433</v>
      </c>
      <c r="Q1350" s="3">
        <v>1.67</v>
      </c>
      <c r="R1350" t="str">
        <f t="shared" si="108"/>
        <v>Medium</v>
      </c>
      <c r="S1350" t="str">
        <f t="shared" si="109"/>
        <v>Valid</v>
      </c>
    </row>
    <row r="1351" spans="1:19" x14ac:dyDescent="0.25">
      <c r="A1351" s="1">
        <v>45297</v>
      </c>
      <c r="B1351" s="1" t="str">
        <f t="shared" si="105"/>
        <v>2024-01</v>
      </c>
      <c r="C1351" t="s">
        <v>28</v>
      </c>
      <c r="D1351" t="s">
        <v>21</v>
      </c>
      <c r="E1351" t="s">
        <v>22</v>
      </c>
      <c r="F1351" t="s">
        <v>32</v>
      </c>
      <c r="G1351" s="4">
        <v>131681</v>
      </c>
      <c r="H1351" s="4">
        <v>1725</v>
      </c>
      <c r="I1351" s="5">
        <v>1.3100000000000001E-2</v>
      </c>
      <c r="J1351" s="2">
        <v>0.79</v>
      </c>
      <c r="K1351" s="6">
        <v>1362.75</v>
      </c>
      <c r="L1351" s="4">
        <v>108</v>
      </c>
      <c r="M1351" s="2">
        <v>12.62</v>
      </c>
      <c r="N1351" s="6">
        <v>31291.1</v>
      </c>
      <c r="O1351" s="6">
        <f t="shared" si="106"/>
        <v>29928.35</v>
      </c>
      <c r="P1351" s="6">
        <f t="shared" si="107"/>
        <v>21.96173179233168</v>
      </c>
      <c r="Q1351" s="3">
        <v>22.96</v>
      </c>
      <c r="R1351" t="str">
        <f t="shared" si="108"/>
        <v>High</v>
      </c>
      <c r="S1351" t="str">
        <f t="shared" si="109"/>
        <v>Valid</v>
      </c>
    </row>
    <row r="1352" spans="1:19" x14ac:dyDescent="0.25">
      <c r="A1352" s="1">
        <v>45423</v>
      </c>
      <c r="B1352" s="1" t="str">
        <f t="shared" si="105"/>
        <v>2024-05</v>
      </c>
      <c r="C1352" t="s">
        <v>14</v>
      </c>
      <c r="D1352" t="s">
        <v>15</v>
      </c>
      <c r="E1352" t="s">
        <v>25</v>
      </c>
      <c r="F1352" t="s">
        <v>27</v>
      </c>
      <c r="G1352" s="4">
        <v>89833</v>
      </c>
      <c r="H1352" s="4">
        <v>4536</v>
      </c>
      <c r="I1352" s="5">
        <v>5.0500000000000003E-2</v>
      </c>
      <c r="J1352" s="2">
        <v>3.74</v>
      </c>
      <c r="K1352" s="6">
        <v>16964.64</v>
      </c>
      <c r="L1352" s="4">
        <v>166</v>
      </c>
      <c r="M1352" s="2">
        <v>102.2</v>
      </c>
      <c r="N1352" s="6">
        <v>42497.440000000002</v>
      </c>
      <c r="O1352" s="6">
        <f t="shared" si="106"/>
        <v>25532.800000000003</v>
      </c>
      <c r="P1352" s="6">
        <f t="shared" si="107"/>
        <v>1.5050599364324857</v>
      </c>
      <c r="Q1352" s="3">
        <v>2.5099999999999998</v>
      </c>
      <c r="R1352" t="str">
        <f t="shared" si="108"/>
        <v>Medium</v>
      </c>
      <c r="S1352" t="str">
        <f t="shared" si="109"/>
        <v>Valid</v>
      </c>
    </row>
    <row r="1353" spans="1:19" x14ac:dyDescent="0.25">
      <c r="A1353" s="1">
        <v>45635</v>
      </c>
      <c r="B1353" s="1" t="str">
        <f t="shared" si="105"/>
        <v>2024-12</v>
      </c>
      <c r="C1353" t="s">
        <v>28</v>
      </c>
      <c r="D1353" t="s">
        <v>24</v>
      </c>
      <c r="E1353" t="s">
        <v>16</v>
      </c>
      <c r="F1353" t="s">
        <v>23</v>
      </c>
      <c r="G1353" s="4">
        <v>116161</v>
      </c>
      <c r="H1353" s="4">
        <v>4379</v>
      </c>
      <c r="I1353" s="5">
        <v>3.7699999999999997E-2</v>
      </c>
      <c r="J1353" s="2">
        <v>1.77</v>
      </c>
      <c r="K1353" s="6">
        <v>7750.83</v>
      </c>
      <c r="L1353" s="4">
        <v>264</v>
      </c>
      <c r="M1353" s="2">
        <v>29.36</v>
      </c>
      <c r="N1353" s="6">
        <v>18090.29</v>
      </c>
      <c r="O1353" s="6">
        <f t="shared" si="106"/>
        <v>10339.460000000001</v>
      </c>
      <c r="P1353" s="6">
        <f t="shared" si="107"/>
        <v>1.3339810059051742</v>
      </c>
      <c r="Q1353" s="3">
        <v>2.33</v>
      </c>
      <c r="R1353" t="str">
        <f t="shared" si="108"/>
        <v>Medium</v>
      </c>
      <c r="S1353" t="str">
        <f t="shared" si="109"/>
        <v>Valid</v>
      </c>
    </row>
    <row r="1354" spans="1:19" x14ac:dyDescent="0.25">
      <c r="A1354" s="1">
        <v>45300</v>
      </c>
      <c r="B1354" s="1" t="str">
        <f t="shared" si="105"/>
        <v>2024-01</v>
      </c>
      <c r="C1354" t="s">
        <v>14</v>
      </c>
      <c r="D1354" t="s">
        <v>15</v>
      </c>
      <c r="E1354" t="s">
        <v>25</v>
      </c>
      <c r="F1354" t="s">
        <v>32</v>
      </c>
      <c r="G1354" s="4">
        <v>53544</v>
      </c>
      <c r="H1354" s="4">
        <v>1670</v>
      </c>
      <c r="I1354" s="5">
        <v>3.1199999999999999E-2</v>
      </c>
      <c r="J1354" s="2">
        <v>1.41</v>
      </c>
      <c r="K1354" s="6">
        <v>2354.6999999999998</v>
      </c>
      <c r="L1354" s="4">
        <v>20</v>
      </c>
      <c r="M1354" s="2">
        <v>117.73</v>
      </c>
      <c r="N1354" s="6">
        <v>4659.21</v>
      </c>
      <c r="O1354" s="6">
        <f t="shared" si="106"/>
        <v>2304.5100000000002</v>
      </c>
      <c r="P1354" s="6">
        <f t="shared" si="107"/>
        <v>0.97868518282583783</v>
      </c>
      <c r="Q1354" s="3">
        <v>1.98</v>
      </c>
      <c r="R1354" t="str">
        <f t="shared" si="108"/>
        <v>Medium</v>
      </c>
      <c r="S1354" t="str">
        <f t="shared" si="109"/>
        <v>Valid</v>
      </c>
    </row>
    <row r="1355" spans="1:19" x14ac:dyDescent="0.25">
      <c r="A1355" s="1">
        <v>45639</v>
      </c>
      <c r="B1355" s="1" t="str">
        <f t="shared" si="105"/>
        <v>2024-12</v>
      </c>
      <c r="C1355" t="s">
        <v>28</v>
      </c>
      <c r="D1355" t="s">
        <v>24</v>
      </c>
      <c r="E1355" t="s">
        <v>16</v>
      </c>
      <c r="F1355" t="s">
        <v>27</v>
      </c>
      <c r="G1355" s="4">
        <v>107126</v>
      </c>
      <c r="H1355" s="4">
        <v>3631</v>
      </c>
      <c r="I1355" s="5">
        <v>3.39E-2</v>
      </c>
      <c r="J1355" s="2">
        <v>1.08</v>
      </c>
      <c r="K1355" s="6">
        <v>3921.48</v>
      </c>
      <c r="L1355" s="4">
        <v>260</v>
      </c>
      <c r="M1355" s="2">
        <v>15.08</v>
      </c>
      <c r="N1355" s="6">
        <v>19151.86</v>
      </c>
      <c r="O1355" s="6">
        <f t="shared" si="106"/>
        <v>15230.380000000001</v>
      </c>
      <c r="P1355" s="6">
        <f t="shared" si="107"/>
        <v>3.8838346746636478</v>
      </c>
      <c r="Q1355" s="3">
        <v>4.88</v>
      </c>
      <c r="R1355" t="str">
        <f t="shared" si="108"/>
        <v>High</v>
      </c>
      <c r="S1355" t="str">
        <f t="shared" si="109"/>
        <v>Valid</v>
      </c>
    </row>
    <row r="1356" spans="1:19" x14ac:dyDescent="0.25">
      <c r="A1356" s="1">
        <v>45594</v>
      </c>
      <c r="B1356" s="1" t="str">
        <f t="shared" si="105"/>
        <v>2024-10</v>
      </c>
      <c r="C1356" t="s">
        <v>14</v>
      </c>
      <c r="D1356" t="s">
        <v>24</v>
      </c>
      <c r="E1356" t="s">
        <v>19</v>
      </c>
      <c r="F1356" t="s">
        <v>23</v>
      </c>
      <c r="G1356" s="4">
        <v>182395</v>
      </c>
      <c r="H1356" s="4">
        <v>8517</v>
      </c>
      <c r="I1356" s="5">
        <v>4.6699999999999998E-2</v>
      </c>
      <c r="J1356" s="2">
        <v>3.45</v>
      </c>
      <c r="K1356" s="6">
        <v>29383.65</v>
      </c>
      <c r="L1356" s="4">
        <v>517</v>
      </c>
      <c r="M1356" s="2">
        <v>56.83</v>
      </c>
      <c r="N1356" s="6">
        <v>27133.78</v>
      </c>
      <c r="O1356" s="6">
        <f t="shared" si="106"/>
        <v>-2249.8700000000026</v>
      </c>
      <c r="P1356" s="6">
        <f t="shared" si="107"/>
        <v>-7.6568772089240192E-2</v>
      </c>
      <c r="Q1356" s="3">
        <v>0.92</v>
      </c>
      <c r="R1356" t="str">
        <f t="shared" si="108"/>
        <v>Low</v>
      </c>
      <c r="S1356" t="str">
        <f t="shared" si="109"/>
        <v>Valid</v>
      </c>
    </row>
    <row r="1357" spans="1:19" x14ac:dyDescent="0.25">
      <c r="A1357" s="1">
        <v>45580</v>
      </c>
      <c r="B1357" s="1" t="str">
        <f t="shared" si="105"/>
        <v>2024-10</v>
      </c>
      <c r="C1357" t="s">
        <v>28</v>
      </c>
      <c r="D1357" t="s">
        <v>21</v>
      </c>
      <c r="E1357" t="s">
        <v>25</v>
      </c>
      <c r="F1357" t="s">
        <v>23</v>
      </c>
      <c r="G1357" s="4">
        <v>39253</v>
      </c>
      <c r="H1357" s="4">
        <v>1122</v>
      </c>
      <c r="I1357" s="5">
        <v>2.86E-2</v>
      </c>
      <c r="J1357" s="2">
        <v>1.25</v>
      </c>
      <c r="K1357" s="6">
        <v>1402.5</v>
      </c>
      <c r="L1357" s="4">
        <v>81</v>
      </c>
      <c r="M1357" s="2">
        <v>17.309999999999999</v>
      </c>
      <c r="N1357" s="6">
        <v>15452.61</v>
      </c>
      <c r="O1357" s="6">
        <f t="shared" si="106"/>
        <v>14050.11</v>
      </c>
      <c r="P1357" s="6">
        <f t="shared" si="107"/>
        <v>10.017903743315509</v>
      </c>
      <c r="Q1357" s="3">
        <v>11.02</v>
      </c>
      <c r="R1357" t="str">
        <f t="shared" si="108"/>
        <v>High</v>
      </c>
      <c r="S1357" t="str">
        <f t="shared" si="109"/>
        <v>Valid</v>
      </c>
    </row>
    <row r="1358" spans="1:19" x14ac:dyDescent="0.25">
      <c r="A1358" s="1">
        <v>45348</v>
      </c>
      <c r="B1358" s="1" t="str">
        <f t="shared" si="105"/>
        <v>2024-02</v>
      </c>
      <c r="C1358" t="s">
        <v>18</v>
      </c>
      <c r="D1358" t="s">
        <v>15</v>
      </c>
      <c r="E1358" t="s">
        <v>30</v>
      </c>
      <c r="F1358" t="s">
        <v>27</v>
      </c>
      <c r="G1358" s="4">
        <v>109794</v>
      </c>
      <c r="H1358" s="4">
        <v>3886</v>
      </c>
      <c r="I1358" s="5">
        <v>3.5400000000000001E-2</v>
      </c>
      <c r="J1358" s="2">
        <v>1.61</v>
      </c>
      <c r="K1358" s="6">
        <v>6256.46</v>
      </c>
      <c r="L1358" s="4">
        <v>73</v>
      </c>
      <c r="M1358" s="2">
        <v>85.7</v>
      </c>
      <c r="N1358" s="6">
        <v>9808.76</v>
      </c>
      <c r="O1358" s="6">
        <f t="shared" si="106"/>
        <v>3552.3</v>
      </c>
      <c r="P1358" s="6">
        <f t="shared" si="107"/>
        <v>0.56778114141223635</v>
      </c>
      <c r="Q1358" s="3">
        <v>1.57</v>
      </c>
      <c r="R1358" t="str">
        <f t="shared" si="108"/>
        <v>Medium</v>
      </c>
      <c r="S1358" t="str">
        <f t="shared" si="109"/>
        <v>Valid</v>
      </c>
    </row>
    <row r="1359" spans="1:19" x14ac:dyDescent="0.25">
      <c r="A1359" s="1">
        <v>45605</v>
      </c>
      <c r="B1359" s="1" t="str">
        <f t="shared" si="105"/>
        <v>2024-11</v>
      </c>
      <c r="C1359" t="s">
        <v>14</v>
      </c>
      <c r="D1359" t="s">
        <v>21</v>
      </c>
      <c r="E1359" t="s">
        <v>30</v>
      </c>
      <c r="F1359" t="s">
        <v>17</v>
      </c>
      <c r="G1359" s="4">
        <v>27612</v>
      </c>
      <c r="H1359" s="4">
        <v>963</v>
      </c>
      <c r="I1359" s="5">
        <v>3.49E-2</v>
      </c>
      <c r="J1359" s="2">
        <v>3.3</v>
      </c>
      <c r="K1359" s="6">
        <v>3177.9</v>
      </c>
      <c r="L1359" s="4">
        <v>75</v>
      </c>
      <c r="M1359" s="2">
        <v>42.37</v>
      </c>
      <c r="N1359" s="6">
        <v>12575.02</v>
      </c>
      <c r="O1359" s="6">
        <f t="shared" si="106"/>
        <v>9397.1200000000008</v>
      </c>
      <c r="P1359" s="6">
        <f t="shared" si="107"/>
        <v>2.9570219327228675</v>
      </c>
      <c r="Q1359" s="3">
        <v>3.96</v>
      </c>
      <c r="R1359" t="str">
        <f t="shared" si="108"/>
        <v>High</v>
      </c>
      <c r="S1359" t="str">
        <f t="shared" si="109"/>
        <v>Valid</v>
      </c>
    </row>
    <row r="1360" spans="1:19" x14ac:dyDescent="0.25">
      <c r="A1360" s="1">
        <v>45578</v>
      </c>
      <c r="B1360" s="1" t="str">
        <f t="shared" si="105"/>
        <v>2024-10</v>
      </c>
      <c r="C1360" t="s">
        <v>28</v>
      </c>
      <c r="D1360" t="s">
        <v>15</v>
      </c>
      <c r="E1360" t="s">
        <v>30</v>
      </c>
      <c r="F1360" t="s">
        <v>31</v>
      </c>
      <c r="G1360" s="4">
        <v>61994</v>
      </c>
      <c r="H1360" s="4">
        <v>1847</v>
      </c>
      <c r="I1360" s="5">
        <v>2.98E-2</v>
      </c>
      <c r="J1360" s="2">
        <v>0.8</v>
      </c>
      <c r="K1360" s="6">
        <v>1477.6</v>
      </c>
      <c r="L1360" s="4">
        <v>147</v>
      </c>
      <c r="M1360" s="2">
        <v>10.050000000000001</v>
      </c>
      <c r="N1360" s="6">
        <v>5622.21</v>
      </c>
      <c r="O1360" s="6">
        <f t="shared" si="106"/>
        <v>4144.6100000000006</v>
      </c>
      <c r="P1360" s="6">
        <f t="shared" si="107"/>
        <v>2.8049607471575535</v>
      </c>
      <c r="Q1360" s="3">
        <v>3.8</v>
      </c>
      <c r="R1360" t="str">
        <f t="shared" si="108"/>
        <v>High</v>
      </c>
      <c r="S1360" t="str">
        <f t="shared" si="109"/>
        <v>Valid</v>
      </c>
    </row>
    <row r="1361" spans="1:19" x14ac:dyDescent="0.25">
      <c r="A1361" s="1">
        <v>45570</v>
      </c>
      <c r="B1361" s="1" t="str">
        <f t="shared" si="105"/>
        <v>2024-10</v>
      </c>
      <c r="C1361" t="s">
        <v>14</v>
      </c>
      <c r="D1361" t="s">
        <v>15</v>
      </c>
      <c r="E1361" t="s">
        <v>30</v>
      </c>
      <c r="F1361" t="s">
        <v>17</v>
      </c>
      <c r="G1361" s="4">
        <v>48953</v>
      </c>
      <c r="H1361" s="4">
        <v>2447</v>
      </c>
      <c r="I1361" s="5">
        <v>0.05</v>
      </c>
      <c r="J1361" s="2">
        <v>1.1100000000000001</v>
      </c>
      <c r="K1361" s="6">
        <v>2716.17</v>
      </c>
      <c r="L1361" s="4">
        <v>144</v>
      </c>
      <c r="M1361" s="2">
        <v>18.86</v>
      </c>
      <c r="N1361" s="6">
        <v>17526.62</v>
      </c>
      <c r="O1361" s="6">
        <f t="shared" si="106"/>
        <v>14810.449999999999</v>
      </c>
      <c r="P1361" s="6">
        <f t="shared" si="107"/>
        <v>5.4526962598070075</v>
      </c>
      <c r="Q1361" s="3">
        <v>6.45</v>
      </c>
      <c r="R1361" t="str">
        <f t="shared" si="108"/>
        <v>High</v>
      </c>
      <c r="S1361" t="str">
        <f t="shared" si="109"/>
        <v>Valid</v>
      </c>
    </row>
    <row r="1362" spans="1:19" x14ac:dyDescent="0.25">
      <c r="A1362" s="1">
        <v>45400</v>
      </c>
      <c r="B1362" s="1" t="str">
        <f t="shared" si="105"/>
        <v>2024-04</v>
      </c>
      <c r="C1362" t="s">
        <v>14</v>
      </c>
      <c r="D1362" t="s">
        <v>15</v>
      </c>
      <c r="E1362" t="s">
        <v>30</v>
      </c>
      <c r="F1362" t="s">
        <v>26</v>
      </c>
      <c r="G1362" s="4">
        <v>13484</v>
      </c>
      <c r="H1362" s="4">
        <v>382</v>
      </c>
      <c r="I1362" s="5">
        <v>2.8400000000000002E-2</v>
      </c>
      <c r="J1362" s="2">
        <v>1.34</v>
      </c>
      <c r="K1362" s="6">
        <v>511.88</v>
      </c>
      <c r="L1362" s="4">
        <v>23</v>
      </c>
      <c r="M1362" s="2">
        <v>22.26</v>
      </c>
      <c r="N1362" s="6">
        <v>1623.76</v>
      </c>
      <c r="O1362" s="6">
        <f t="shared" si="106"/>
        <v>1111.8800000000001</v>
      </c>
      <c r="P1362" s="6">
        <f t="shared" si="107"/>
        <v>2.1721497225912327</v>
      </c>
      <c r="Q1362" s="3">
        <v>3.17</v>
      </c>
      <c r="R1362" t="str">
        <f t="shared" si="108"/>
        <v>High</v>
      </c>
      <c r="S1362" t="str">
        <f t="shared" si="109"/>
        <v>Valid</v>
      </c>
    </row>
    <row r="1363" spans="1:19" x14ac:dyDescent="0.25">
      <c r="A1363" s="1">
        <v>45612</v>
      </c>
      <c r="B1363" s="1" t="str">
        <f t="shared" si="105"/>
        <v>2024-11</v>
      </c>
      <c r="C1363" t="s">
        <v>18</v>
      </c>
      <c r="D1363" t="s">
        <v>29</v>
      </c>
      <c r="E1363" t="s">
        <v>19</v>
      </c>
      <c r="F1363" t="s">
        <v>20</v>
      </c>
      <c r="G1363" s="4">
        <v>13255</v>
      </c>
      <c r="H1363" s="4">
        <v>709</v>
      </c>
      <c r="I1363" s="5">
        <v>5.3499999999999999E-2</v>
      </c>
      <c r="J1363" s="2">
        <v>1.32</v>
      </c>
      <c r="K1363" s="6">
        <v>935.88</v>
      </c>
      <c r="L1363" s="4">
        <v>37</v>
      </c>
      <c r="M1363" s="2">
        <v>25.29</v>
      </c>
      <c r="N1363" s="6">
        <v>11059.11</v>
      </c>
      <c r="O1363" s="6">
        <f t="shared" si="106"/>
        <v>10123.230000000001</v>
      </c>
      <c r="P1363" s="6">
        <f t="shared" si="107"/>
        <v>10.816803436337993</v>
      </c>
      <c r="Q1363" s="3">
        <v>11.82</v>
      </c>
      <c r="R1363" t="str">
        <f t="shared" si="108"/>
        <v>High</v>
      </c>
      <c r="S1363" t="str">
        <f t="shared" si="109"/>
        <v>Valid</v>
      </c>
    </row>
    <row r="1364" spans="1:19" x14ac:dyDescent="0.25">
      <c r="A1364" s="1">
        <v>45604</v>
      </c>
      <c r="B1364" s="1" t="str">
        <f t="shared" si="105"/>
        <v>2024-11</v>
      </c>
      <c r="C1364" t="s">
        <v>28</v>
      </c>
      <c r="D1364" t="s">
        <v>21</v>
      </c>
      <c r="E1364" t="s">
        <v>19</v>
      </c>
      <c r="F1364" t="s">
        <v>32</v>
      </c>
      <c r="G1364" s="4">
        <v>162889</v>
      </c>
      <c r="H1364" s="4">
        <v>4658</v>
      </c>
      <c r="I1364" s="5">
        <v>2.86E-2</v>
      </c>
      <c r="J1364" s="2">
        <v>1.1100000000000001</v>
      </c>
      <c r="K1364" s="6">
        <v>5170.38</v>
      </c>
      <c r="L1364" s="4">
        <v>332</v>
      </c>
      <c r="M1364" s="2">
        <v>15.57</v>
      </c>
      <c r="N1364" s="6">
        <v>57094.6</v>
      </c>
      <c r="O1364" s="6">
        <f t="shared" si="106"/>
        <v>51924.22</v>
      </c>
      <c r="P1364" s="6">
        <f t="shared" si="107"/>
        <v>10.042631295958904</v>
      </c>
      <c r="Q1364" s="3">
        <v>11.04</v>
      </c>
      <c r="R1364" t="str">
        <f t="shared" si="108"/>
        <v>High</v>
      </c>
      <c r="S1364" t="str">
        <f t="shared" si="109"/>
        <v>Valid</v>
      </c>
    </row>
    <row r="1365" spans="1:19" x14ac:dyDescent="0.25">
      <c r="A1365" s="1">
        <v>45593</v>
      </c>
      <c r="B1365" s="1" t="str">
        <f t="shared" si="105"/>
        <v>2024-10</v>
      </c>
      <c r="C1365" t="s">
        <v>18</v>
      </c>
      <c r="D1365" t="s">
        <v>24</v>
      </c>
      <c r="E1365" t="s">
        <v>22</v>
      </c>
      <c r="F1365" t="s">
        <v>17</v>
      </c>
      <c r="G1365" s="4">
        <v>21972</v>
      </c>
      <c r="H1365" s="4">
        <v>1915</v>
      </c>
      <c r="I1365" s="5">
        <v>8.72E-2</v>
      </c>
      <c r="J1365" s="2">
        <v>1.05</v>
      </c>
      <c r="K1365" s="6">
        <v>2010.75</v>
      </c>
      <c r="L1365" s="4">
        <v>36</v>
      </c>
      <c r="M1365" s="2">
        <v>55.85</v>
      </c>
      <c r="N1365" s="6">
        <v>2412.15</v>
      </c>
      <c r="O1365" s="6">
        <f t="shared" si="106"/>
        <v>401.40000000000009</v>
      </c>
      <c r="P1365" s="6">
        <f t="shared" si="107"/>
        <v>0.199627004848937</v>
      </c>
      <c r="Q1365" s="3">
        <v>1.2</v>
      </c>
      <c r="R1365" t="str">
        <f t="shared" si="108"/>
        <v>Medium</v>
      </c>
      <c r="S1365" t="str">
        <f t="shared" si="109"/>
        <v>Valid</v>
      </c>
    </row>
    <row r="1366" spans="1:19" x14ac:dyDescent="0.25">
      <c r="A1366" s="1">
        <v>45524</v>
      </c>
      <c r="B1366" s="1" t="str">
        <f t="shared" si="105"/>
        <v>2024-08</v>
      </c>
      <c r="C1366" t="s">
        <v>18</v>
      </c>
      <c r="D1366" t="s">
        <v>24</v>
      </c>
      <c r="E1366" t="s">
        <v>25</v>
      </c>
      <c r="F1366" t="s">
        <v>27</v>
      </c>
      <c r="G1366" s="4">
        <v>186136</v>
      </c>
      <c r="H1366" s="4">
        <v>13885</v>
      </c>
      <c r="I1366" s="5">
        <v>7.46E-2</v>
      </c>
      <c r="J1366" s="2">
        <v>0.95</v>
      </c>
      <c r="K1366" s="6">
        <v>13190.75</v>
      </c>
      <c r="L1366" s="4">
        <v>891</v>
      </c>
      <c r="M1366" s="2">
        <v>14.8</v>
      </c>
      <c r="N1366" s="6">
        <v>133397.70000000001</v>
      </c>
      <c r="O1366" s="6">
        <f t="shared" si="106"/>
        <v>120206.95000000001</v>
      </c>
      <c r="P1366" s="6">
        <f t="shared" si="107"/>
        <v>9.1129731061539339</v>
      </c>
      <c r="Q1366" s="3">
        <v>10.11</v>
      </c>
      <c r="R1366" t="str">
        <f t="shared" si="108"/>
        <v>High</v>
      </c>
      <c r="S1366" t="str">
        <f t="shared" si="109"/>
        <v>Valid</v>
      </c>
    </row>
    <row r="1367" spans="1:19" x14ac:dyDescent="0.25">
      <c r="A1367" s="1">
        <v>45410</v>
      </c>
      <c r="B1367" s="1" t="str">
        <f t="shared" si="105"/>
        <v>2024-04</v>
      </c>
      <c r="C1367" t="s">
        <v>14</v>
      </c>
      <c r="D1367" t="s">
        <v>29</v>
      </c>
      <c r="E1367" t="s">
        <v>22</v>
      </c>
      <c r="F1367" t="s">
        <v>17</v>
      </c>
      <c r="G1367" s="4">
        <v>135171</v>
      </c>
      <c r="H1367" s="4">
        <v>5231</v>
      </c>
      <c r="I1367" s="5">
        <v>3.8699999999999998E-2</v>
      </c>
      <c r="J1367" s="2">
        <v>1.78</v>
      </c>
      <c r="K1367" s="6">
        <v>9311.18</v>
      </c>
      <c r="L1367" s="4">
        <v>149</v>
      </c>
      <c r="M1367" s="2">
        <v>62.49</v>
      </c>
      <c r="N1367" s="6">
        <v>19918.919999999998</v>
      </c>
      <c r="O1367" s="6">
        <f t="shared" si="106"/>
        <v>10607.739999999998</v>
      </c>
      <c r="P1367" s="6">
        <f t="shared" si="107"/>
        <v>1.1392476571175725</v>
      </c>
      <c r="Q1367" s="3">
        <v>2.14</v>
      </c>
      <c r="R1367" t="str">
        <f t="shared" si="108"/>
        <v>Medium</v>
      </c>
      <c r="S1367" t="str">
        <f t="shared" si="109"/>
        <v>Valid</v>
      </c>
    </row>
    <row r="1368" spans="1:19" x14ac:dyDescent="0.25">
      <c r="A1368" s="1">
        <v>45378</v>
      </c>
      <c r="B1368" s="1" t="str">
        <f t="shared" si="105"/>
        <v>2024-03</v>
      </c>
      <c r="C1368" t="s">
        <v>28</v>
      </c>
      <c r="D1368" t="s">
        <v>15</v>
      </c>
      <c r="E1368" t="s">
        <v>16</v>
      </c>
      <c r="F1368" t="s">
        <v>31</v>
      </c>
      <c r="G1368" s="4">
        <v>176656</v>
      </c>
      <c r="H1368" s="4">
        <v>2897</v>
      </c>
      <c r="I1368" s="5">
        <v>1.6400000000000001E-2</v>
      </c>
      <c r="J1368" s="2">
        <v>1.87</v>
      </c>
      <c r="K1368" s="6">
        <v>5417.39</v>
      </c>
      <c r="L1368" s="4">
        <v>86</v>
      </c>
      <c r="M1368" s="2">
        <v>62.99</v>
      </c>
      <c r="N1368" s="6">
        <v>23130.95</v>
      </c>
      <c r="O1368" s="6">
        <f t="shared" si="106"/>
        <v>17713.560000000001</v>
      </c>
      <c r="P1368" s="6">
        <f t="shared" si="107"/>
        <v>3.2697590537140577</v>
      </c>
      <c r="Q1368" s="3">
        <v>4.2699999999999996</v>
      </c>
      <c r="R1368" t="str">
        <f t="shared" si="108"/>
        <v>High</v>
      </c>
      <c r="S1368" t="str">
        <f t="shared" si="109"/>
        <v>Valid</v>
      </c>
    </row>
    <row r="1369" spans="1:19" x14ac:dyDescent="0.25">
      <c r="A1369" s="1">
        <v>45328</v>
      </c>
      <c r="B1369" s="1" t="str">
        <f t="shared" si="105"/>
        <v>2024-02</v>
      </c>
      <c r="C1369" t="s">
        <v>14</v>
      </c>
      <c r="D1369" t="s">
        <v>29</v>
      </c>
      <c r="E1369" t="s">
        <v>22</v>
      </c>
      <c r="F1369" t="s">
        <v>23</v>
      </c>
      <c r="G1369" s="4">
        <v>51678</v>
      </c>
      <c r="H1369" s="4">
        <v>2966</v>
      </c>
      <c r="I1369" s="5">
        <v>5.74E-2</v>
      </c>
      <c r="J1369" s="2">
        <v>2.58</v>
      </c>
      <c r="K1369" s="6">
        <v>7652.28</v>
      </c>
      <c r="L1369" s="4">
        <v>192</v>
      </c>
      <c r="M1369" s="2">
        <v>39.86</v>
      </c>
      <c r="N1369" s="6">
        <v>21240.9</v>
      </c>
      <c r="O1369" s="6">
        <f t="shared" si="106"/>
        <v>13588.620000000003</v>
      </c>
      <c r="P1369" s="6">
        <f t="shared" si="107"/>
        <v>1.7757609496777436</v>
      </c>
      <c r="Q1369" s="3">
        <v>2.78</v>
      </c>
      <c r="R1369" t="str">
        <f t="shared" si="108"/>
        <v>Medium</v>
      </c>
      <c r="S1369" t="str">
        <f t="shared" si="109"/>
        <v>Valid</v>
      </c>
    </row>
    <row r="1370" spans="1:19" x14ac:dyDescent="0.25">
      <c r="A1370" s="1">
        <v>45515</v>
      </c>
      <c r="B1370" s="1" t="str">
        <f t="shared" si="105"/>
        <v>2024-08</v>
      </c>
      <c r="C1370" t="s">
        <v>28</v>
      </c>
      <c r="D1370" t="s">
        <v>15</v>
      </c>
      <c r="E1370" t="s">
        <v>25</v>
      </c>
      <c r="F1370" t="s">
        <v>26</v>
      </c>
      <c r="G1370" s="4">
        <v>26491</v>
      </c>
      <c r="H1370" s="4">
        <v>423</v>
      </c>
      <c r="I1370" s="5">
        <v>1.6E-2</v>
      </c>
      <c r="J1370" s="2">
        <v>0.95</v>
      </c>
      <c r="K1370" s="6">
        <v>401.85</v>
      </c>
      <c r="L1370" s="4">
        <v>28</v>
      </c>
      <c r="M1370" s="2">
        <v>14.35</v>
      </c>
      <c r="N1370" s="6">
        <v>3219.77</v>
      </c>
      <c r="O1370" s="6">
        <f t="shared" si="106"/>
        <v>2817.92</v>
      </c>
      <c r="P1370" s="6">
        <f t="shared" si="107"/>
        <v>7.0123677989299491</v>
      </c>
      <c r="Q1370" s="3">
        <v>8.01</v>
      </c>
      <c r="R1370" t="str">
        <f t="shared" si="108"/>
        <v>High</v>
      </c>
      <c r="S1370" t="str">
        <f t="shared" si="109"/>
        <v>Valid</v>
      </c>
    </row>
    <row r="1371" spans="1:19" x14ac:dyDescent="0.25">
      <c r="A1371" s="1">
        <v>45550</v>
      </c>
      <c r="B1371" s="1" t="str">
        <f t="shared" si="105"/>
        <v>2024-09</v>
      </c>
      <c r="C1371" t="s">
        <v>28</v>
      </c>
      <c r="D1371" t="s">
        <v>24</v>
      </c>
      <c r="E1371" t="s">
        <v>22</v>
      </c>
      <c r="F1371" t="s">
        <v>20</v>
      </c>
      <c r="G1371" s="4">
        <v>174862</v>
      </c>
      <c r="H1371" s="4">
        <v>3846</v>
      </c>
      <c r="I1371" s="5">
        <v>2.1999999999999999E-2</v>
      </c>
      <c r="J1371" s="2">
        <v>0.45</v>
      </c>
      <c r="K1371" s="6">
        <v>1730.7</v>
      </c>
      <c r="L1371" s="4">
        <v>299</v>
      </c>
      <c r="M1371" s="2">
        <v>5.79</v>
      </c>
      <c r="N1371" s="6">
        <v>67036.78</v>
      </c>
      <c r="O1371" s="6">
        <f t="shared" si="106"/>
        <v>65306.080000000002</v>
      </c>
      <c r="P1371" s="6">
        <f t="shared" si="107"/>
        <v>37.733911134223149</v>
      </c>
      <c r="Q1371" s="3">
        <v>38.729999999999997</v>
      </c>
      <c r="R1371" t="str">
        <f t="shared" si="108"/>
        <v>High</v>
      </c>
      <c r="S1371" t="str">
        <f t="shared" si="109"/>
        <v>Valid</v>
      </c>
    </row>
    <row r="1372" spans="1:19" x14ac:dyDescent="0.25">
      <c r="A1372" s="1">
        <v>45578</v>
      </c>
      <c r="B1372" s="1" t="str">
        <f t="shared" si="105"/>
        <v>2024-10</v>
      </c>
      <c r="C1372" t="s">
        <v>28</v>
      </c>
      <c r="D1372" t="s">
        <v>21</v>
      </c>
      <c r="E1372" t="s">
        <v>30</v>
      </c>
      <c r="F1372" t="s">
        <v>26</v>
      </c>
      <c r="G1372" s="4">
        <v>77353</v>
      </c>
      <c r="H1372" s="4">
        <v>1895</v>
      </c>
      <c r="I1372" s="5">
        <v>2.4500000000000001E-2</v>
      </c>
      <c r="J1372" s="2">
        <v>1.69</v>
      </c>
      <c r="K1372" s="6">
        <v>3202.55</v>
      </c>
      <c r="L1372" s="4">
        <v>73</v>
      </c>
      <c r="M1372" s="2">
        <v>43.87</v>
      </c>
      <c r="N1372" s="6">
        <v>9316.26</v>
      </c>
      <c r="O1372" s="6">
        <f t="shared" si="106"/>
        <v>6113.71</v>
      </c>
      <c r="P1372" s="6">
        <f t="shared" si="107"/>
        <v>1.9090131301619022</v>
      </c>
      <c r="Q1372" s="3">
        <v>2.91</v>
      </c>
      <c r="R1372" t="str">
        <f t="shared" si="108"/>
        <v>Medium</v>
      </c>
      <c r="S1372" t="str">
        <f t="shared" si="109"/>
        <v>Valid</v>
      </c>
    </row>
    <row r="1373" spans="1:19" x14ac:dyDescent="0.25">
      <c r="A1373" s="1">
        <v>45368</v>
      </c>
      <c r="B1373" s="1" t="str">
        <f t="shared" si="105"/>
        <v>2024-03</v>
      </c>
      <c r="C1373" t="s">
        <v>28</v>
      </c>
      <c r="D1373" t="s">
        <v>24</v>
      </c>
      <c r="E1373" t="s">
        <v>19</v>
      </c>
      <c r="F1373" t="s">
        <v>17</v>
      </c>
      <c r="G1373" s="4">
        <v>108726</v>
      </c>
      <c r="H1373" s="4">
        <v>2968</v>
      </c>
      <c r="I1373" s="5">
        <v>2.7300000000000001E-2</v>
      </c>
      <c r="J1373" s="2">
        <v>2.3199999999999998</v>
      </c>
      <c r="K1373" s="6">
        <v>6885.76</v>
      </c>
      <c r="L1373" s="4">
        <v>49</v>
      </c>
      <c r="M1373" s="2">
        <v>140.53</v>
      </c>
      <c r="N1373" s="6">
        <v>2393.62</v>
      </c>
      <c r="O1373" s="6">
        <f t="shared" si="106"/>
        <v>-4492.1400000000003</v>
      </c>
      <c r="P1373" s="6">
        <f t="shared" si="107"/>
        <v>-0.65238114601728792</v>
      </c>
      <c r="Q1373" s="3">
        <v>0.35</v>
      </c>
      <c r="R1373" t="str">
        <f t="shared" si="108"/>
        <v>Low</v>
      </c>
      <c r="S1373" t="str">
        <f t="shared" si="109"/>
        <v>Valid</v>
      </c>
    </row>
    <row r="1374" spans="1:19" x14ac:dyDescent="0.25">
      <c r="A1374" s="1">
        <v>45471</v>
      </c>
      <c r="B1374" s="1" t="str">
        <f t="shared" si="105"/>
        <v>2024-06</v>
      </c>
      <c r="C1374" t="s">
        <v>14</v>
      </c>
      <c r="D1374" t="s">
        <v>15</v>
      </c>
      <c r="E1374" t="s">
        <v>16</v>
      </c>
      <c r="F1374" t="s">
        <v>20</v>
      </c>
      <c r="G1374" s="4">
        <v>196883</v>
      </c>
      <c r="H1374" s="4">
        <v>10119</v>
      </c>
      <c r="I1374" s="5">
        <v>5.1400000000000001E-2</v>
      </c>
      <c r="J1374" s="2">
        <v>1.48</v>
      </c>
      <c r="K1374" s="6">
        <v>14976.12</v>
      </c>
      <c r="L1374" s="4">
        <v>636</v>
      </c>
      <c r="M1374" s="2">
        <v>23.55</v>
      </c>
      <c r="N1374" s="6">
        <v>121588.49</v>
      </c>
      <c r="O1374" s="6">
        <f t="shared" si="106"/>
        <v>106612.37000000001</v>
      </c>
      <c r="P1374" s="6">
        <f t="shared" si="107"/>
        <v>7.1188245019404226</v>
      </c>
      <c r="Q1374" s="3">
        <v>8.1199999999999992</v>
      </c>
      <c r="R1374" t="str">
        <f t="shared" si="108"/>
        <v>High</v>
      </c>
      <c r="S1374" t="str">
        <f t="shared" si="109"/>
        <v>Valid</v>
      </c>
    </row>
    <row r="1375" spans="1:19" x14ac:dyDescent="0.25">
      <c r="A1375" s="1">
        <v>45649</v>
      </c>
      <c r="B1375" s="1" t="str">
        <f t="shared" si="105"/>
        <v>2024-12</v>
      </c>
      <c r="C1375" t="s">
        <v>14</v>
      </c>
      <c r="D1375" t="s">
        <v>15</v>
      </c>
      <c r="E1375" t="s">
        <v>19</v>
      </c>
      <c r="F1375" t="s">
        <v>17</v>
      </c>
      <c r="G1375" s="4">
        <v>180627</v>
      </c>
      <c r="H1375" s="4">
        <v>8074</v>
      </c>
      <c r="I1375" s="5">
        <v>4.4699999999999997E-2</v>
      </c>
      <c r="J1375" s="2">
        <v>1.58</v>
      </c>
      <c r="K1375" s="6">
        <v>12756.92</v>
      </c>
      <c r="L1375" s="4">
        <v>266</v>
      </c>
      <c r="M1375" s="2">
        <v>47.96</v>
      </c>
      <c r="N1375" s="6">
        <v>72041.279999999999</v>
      </c>
      <c r="O1375" s="6">
        <f t="shared" si="106"/>
        <v>59284.36</v>
      </c>
      <c r="P1375" s="6">
        <f t="shared" si="107"/>
        <v>4.6472314633939851</v>
      </c>
      <c r="Q1375" s="3">
        <v>5.65</v>
      </c>
      <c r="R1375" t="str">
        <f t="shared" si="108"/>
        <v>High</v>
      </c>
      <c r="S1375" t="str">
        <f t="shared" si="109"/>
        <v>Valid</v>
      </c>
    </row>
    <row r="1376" spans="1:19" x14ac:dyDescent="0.25">
      <c r="A1376" s="1">
        <v>45347</v>
      </c>
      <c r="B1376" s="1" t="str">
        <f t="shared" si="105"/>
        <v>2024-02</v>
      </c>
      <c r="C1376" t="s">
        <v>14</v>
      </c>
      <c r="D1376" t="s">
        <v>21</v>
      </c>
      <c r="E1376" t="s">
        <v>25</v>
      </c>
      <c r="F1376" t="s">
        <v>31</v>
      </c>
      <c r="G1376" s="4">
        <v>85196</v>
      </c>
      <c r="H1376" s="4">
        <v>2572</v>
      </c>
      <c r="I1376" s="5">
        <v>3.0200000000000001E-2</v>
      </c>
      <c r="J1376" s="2">
        <v>2.29</v>
      </c>
      <c r="K1376" s="6">
        <v>5889.88</v>
      </c>
      <c r="L1376" s="4">
        <v>34</v>
      </c>
      <c r="M1376" s="2">
        <v>173.23</v>
      </c>
      <c r="N1376" s="6">
        <v>8900.58</v>
      </c>
      <c r="O1376" s="6">
        <f t="shared" si="106"/>
        <v>3010.7</v>
      </c>
      <c r="P1376" s="6">
        <f t="shared" si="107"/>
        <v>0.511164913376843</v>
      </c>
      <c r="Q1376" s="3">
        <v>1.51</v>
      </c>
      <c r="R1376" t="str">
        <f t="shared" si="108"/>
        <v>Medium</v>
      </c>
      <c r="S1376" t="str">
        <f t="shared" si="109"/>
        <v>Valid</v>
      </c>
    </row>
    <row r="1377" spans="1:19" x14ac:dyDescent="0.25">
      <c r="A1377" s="1">
        <v>45369</v>
      </c>
      <c r="B1377" s="1" t="str">
        <f t="shared" si="105"/>
        <v>2024-03</v>
      </c>
      <c r="C1377" t="s">
        <v>14</v>
      </c>
      <c r="D1377" t="s">
        <v>21</v>
      </c>
      <c r="E1377" t="s">
        <v>30</v>
      </c>
      <c r="F1377" t="s">
        <v>32</v>
      </c>
      <c r="G1377" s="4">
        <v>74098</v>
      </c>
      <c r="H1377" s="4">
        <v>1911</v>
      </c>
      <c r="I1377" s="5">
        <v>2.58E-2</v>
      </c>
      <c r="J1377" s="2">
        <v>2.85</v>
      </c>
      <c r="K1377" s="6">
        <v>5446.35</v>
      </c>
      <c r="L1377" s="4">
        <v>91</v>
      </c>
      <c r="M1377" s="2">
        <v>59.85</v>
      </c>
      <c r="N1377" s="6">
        <v>9234.9599999999991</v>
      </c>
      <c r="O1377" s="6">
        <f t="shared" si="106"/>
        <v>3788.6099999999988</v>
      </c>
      <c r="P1377" s="6">
        <f t="shared" si="107"/>
        <v>0.69562367457104268</v>
      </c>
      <c r="Q1377" s="3">
        <v>1.7</v>
      </c>
      <c r="R1377" t="str">
        <f t="shared" si="108"/>
        <v>Medium</v>
      </c>
      <c r="S1377" t="str">
        <f t="shared" si="109"/>
        <v>Valid</v>
      </c>
    </row>
    <row r="1378" spans="1:19" x14ac:dyDescent="0.25">
      <c r="A1378" s="1">
        <v>45298</v>
      </c>
      <c r="B1378" s="1" t="str">
        <f t="shared" si="105"/>
        <v>2024-01</v>
      </c>
      <c r="C1378" t="s">
        <v>18</v>
      </c>
      <c r="D1378" t="s">
        <v>15</v>
      </c>
      <c r="E1378" t="s">
        <v>22</v>
      </c>
      <c r="F1378" t="s">
        <v>20</v>
      </c>
      <c r="G1378" s="4">
        <v>166711</v>
      </c>
      <c r="H1378" s="4">
        <v>13670</v>
      </c>
      <c r="I1378" s="5">
        <v>8.2000000000000003E-2</v>
      </c>
      <c r="J1378" s="2">
        <v>1.5</v>
      </c>
      <c r="K1378" s="6">
        <v>20505</v>
      </c>
      <c r="L1378" s="4">
        <v>592</v>
      </c>
      <c r="M1378" s="2">
        <v>34.64</v>
      </c>
      <c r="N1378" s="6">
        <v>43676.76</v>
      </c>
      <c r="O1378" s="6">
        <f t="shared" si="106"/>
        <v>23171.760000000002</v>
      </c>
      <c r="P1378" s="6">
        <f t="shared" si="107"/>
        <v>1.130054133138259</v>
      </c>
      <c r="Q1378" s="3">
        <v>2.13</v>
      </c>
      <c r="R1378" t="str">
        <f t="shared" si="108"/>
        <v>Medium</v>
      </c>
      <c r="S1378" t="str">
        <f t="shared" si="109"/>
        <v>Valid</v>
      </c>
    </row>
    <row r="1379" spans="1:19" x14ac:dyDescent="0.25">
      <c r="A1379" s="1">
        <v>45553</v>
      </c>
      <c r="B1379" s="1" t="str">
        <f t="shared" si="105"/>
        <v>2024-09</v>
      </c>
      <c r="C1379" t="s">
        <v>14</v>
      </c>
      <c r="D1379" t="s">
        <v>21</v>
      </c>
      <c r="E1379" t="s">
        <v>22</v>
      </c>
      <c r="F1379" t="s">
        <v>17</v>
      </c>
      <c r="G1379" s="4">
        <v>141501</v>
      </c>
      <c r="H1379" s="4">
        <v>6452</v>
      </c>
      <c r="I1379" s="5">
        <v>4.5600000000000002E-2</v>
      </c>
      <c r="J1379" s="2">
        <v>2.97</v>
      </c>
      <c r="K1379" s="6">
        <v>19162.439999999999</v>
      </c>
      <c r="L1379" s="4">
        <v>193</v>
      </c>
      <c r="M1379" s="2">
        <v>99.29</v>
      </c>
      <c r="N1379" s="6">
        <v>47970.13</v>
      </c>
      <c r="O1379" s="6">
        <f t="shared" si="106"/>
        <v>28807.69</v>
      </c>
      <c r="P1379" s="6">
        <f t="shared" si="107"/>
        <v>1.5033414325106824</v>
      </c>
      <c r="Q1379" s="3">
        <v>2.5</v>
      </c>
      <c r="R1379" t="str">
        <f t="shared" si="108"/>
        <v>Medium</v>
      </c>
      <c r="S1379" t="str">
        <f t="shared" si="109"/>
        <v>Valid</v>
      </c>
    </row>
    <row r="1380" spans="1:19" x14ac:dyDescent="0.25">
      <c r="A1380" s="1">
        <v>45381</v>
      </c>
      <c r="B1380" s="1" t="str">
        <f t="shared" si="105"/>
        <v>2024-03</v>
      </c>
      <c r="C1380" t="s">
        <v>14</v>
      </c>
      <c r="D1380" t="s">
        <v>21</v>
      </c>
      <c r="E1380" t="s">
        <v>16</v>
      </c>
      <c r="F1380" t="s">
        <v>17</v>
      </c>
      <c r="G1380" s="4">
        <v>81303</v>
      </c>
      <c r="H1380" s="4">
        <v>4154</v>
      </c>
      <c r="I1380" s="5">
        <v>5.11E-2</v>
      </c>
      <c r="J1380" s="2">
        <v>1.95</v>
      </c>
      <c r="K1380" s="6">
        <v>8100.3</v>
      </c>
      <c r="L1380" s="4">
        <v>121</v>
      </c>
      <c r="M1380" s="2">
        <v>66.94</v>
      </c>
      <c r="N1380" s="6">
        <v>35667.19</v>
      </c>
      <c r="O1380" s="6">
        <f t="shared" si="106"/>
        <v>27566.890000000003</v>
      </c>
      <c r="P1380" s="6">
        <f t="shared" si="107"/>
        <v>3.4031937088749804</v>
      </c>
      <c r="Q1380" s="3">
        <v>4.4000000000000004</v>
      </c>
      <c r="R1380" t="str">
        <f t="shared" si="108"/>
        <v>High</v>
      </c>
      <c r="S1380" t="str">
        <f t="shared" si="109"/>
        <v>Valid</v>
      </c>
    </row>
    <row r="1381" spans="1:19" x14ac:dyDescent="0.25">
      <c r="A1381" s="1">
        <v>45304</v>
      </c>
      <c r="B1381" s="1" t="str">
        <f t="shared" si="105"/>
        <v>2024-01</v>
      </c>
      <c r="C1381" t="s">
        <v>18</v>
      </c>
      <c r="D1381" t="s">
        <v>24</v>
      </c>
      <c r="E1381" t="s">
        <v>25</v>
      </c>
      <c r="F1381" t="s">
        <v>31</v>
      </c>
      <c r="G1381" s="4">
        <v>83871</v>
      </c>
      <c r="H1381" s="4">
        <v>6382</v>
      </c>
      <c r="I1381" s="5">
        <v>7.6100000000000001E-2</v>
      </c>
      <c r="J1381" s="2">
        <v>1.05</v>
      </c>
      <c r="K1381" s="6">
        <v>6701.1</v>
      </c>
      <c r="L1381" s="4">
        <v>196</v>
      </c>
      <c r="M1381" s="2">
        <v>34.19</v>
      </c>
      <c r="N1381" s="6">
        <v>31406.57</v>
      </c>
      <c r="O1381" s="6">
        <f t="shared" si="106"/>
        <v>24705.47</v>
      </c>
      <c r="P1381" s="6">
        <f t="shared" si="107"/>
        <v>3.6867782901314707</v>
      </c>
      <c r="Q1381" s="3">
        <v>4.6900000000000004</v>
      </c>
      <c r="R1381" t="str">
        <f t="shared" si="108"/>
        <v>High</v>
      </c>
      <c r="S1381" t="str">
        <f t="shared" si="109"/>
        <v>Valid</v>
      </c>
    </row>
    <row r="1382" spans="1:19" x14ac:dyDescent="0.25">
      <c r="A1382" s="1">
        <v>45601</v>
      </c>
      <c r="B1382" s="1" t="str">
        <f t="shared" si="105"/>
        <v>2024-11</v>
      </c>
      <c r="C1382" t="s">
        <v>28</v>
      </c>
      <c r="D1382" t="s">
        <v>21</v>
      </c>
      <c r="E1382" t="s">
        <v>22</v>
      </c>
      <c r="F1382" t="s">
        <v>26</v>
      </c>
      <c r="G1382" s="4">
        <v>178013</v>
      </c>
      <c r="H1382" s="4">
        <v>1886</v>
      </c>
      <c r="I1382" s="5">
        <v>1.06E-2</v>
      </c>
      <c r="J1382" s="2">
        <v>1.1399999999999999</v>
      </c>
      <c r="K1382" s="6">
        <v>2150.04</v>
      </c>
      <c r="L1382" s="4">
        <v>83</v>
      </c>
      <c r="M1382" s="2">
        <v>25.9</v>
      </c>
      <c r="N1382" s="6">
        <v>22320.49</v>
      </c>
      <c r="O1382" s="6">
        <f t="shared" si="106"/>
        <v>20170.45</v>
      </c>
      <c r="P1382" s="6">
        <f t="shared" si="107"/>
        <v>9.3814301129281326</v>
      </c>
      <c r="Q1382" s="3">
        <v>10.38</v>
      </c>
      <c r="R1382" t="str">
        <f t="shared" si="108"/>
        <v>High</v>
      </c>
      <c r="S1382" t="str">
        <f t="shared" si="109"/>
        <v>Valid</v>
      </c>
    </row>
    <row r="1383" spans="1:19" x14ac:dyDescent="0.25">
      <c r="A1383" s="1">
        <v>45545</v>
      </c>
      <c r="B1383" s="1" t="str">
        <f t="shared" si="105"/>
        <v>2024-09</v>
      </c>
      <c r="C1383" t="s">
        <v>28</v>
      </c>
      <c r="D1383" t="s">
        <v>15</v>
      </c>
      <c r="E1383" t="s">
        <v>19</v>
      </c>
      <c r="F1383" t="s">
        <v>31</v>
      </c>
      <c r="G1383" s="4">
        <v>160341</v>
      </c>
      <c r="H1383" s="4">
        <v>2228</v>
      </c>
      <c r="I1383" s="5">
        <v>1.3899999999999999E-2</v>
      </c>
      <c r="J1383" s="2">
        <v>0.86</v>
      </c>
      <c r="K1383" s="6">
        <v>1916.08</v>
      </c>
      <c r="L1383" s="4">
        <v>70</v>
      </c>
      <c r="M1383" s="2">
        <v>27.37</v>
      </c>
      <c r="N1383" s="6">
        <v>6302.54</v>
      </c>
      <c r="O1383" s="6">
        <f t="shared" si="106"/>
        <v>4386.46</v>
      </c>
      <c r="P1383" s="6">
        <f t="shared" si="107"/>
        <v>2.2892885474510458</v>
      </c>
      <c r="Q1383" s="3">
        <v>3.29</v>
      </c>
      <c r="R1383" t="str">
        <f t="shared" si="108"/>
        <v>High</v>
      </c>
      <c r="S1383" t="str">
        <f t="shared" si="109"/>
        <v>Valid</v>
      </c>
    </row>
    <row r="1384" spans="1:19" x14ac:dyDescent="0.25">
      <c r="A1384" s="1">
        <v>45458</v>
      </c>
      <c r="B1384" s="1" t="str">
        <f t="shared" si="105"/>
        <v>2024-06</v>
      </c>
      <c r="C1384" t="s">
        <v>14</v>
      </c>
      <c r="D1384" t="s">
        <v>24</v>
      </c>
      <c r="E1384" t="s">
        <v>30</v>
      </c>
      <c r="F1384" t="s">
        <v>23</v>
      </c>
      <c r="G1384" s="4">
        <v>138135</v>
      </c>
      <c r="H1384" s="4">
        <v>7721</v>
      </c>
      <c r="I1384" s="5">
        <v>5.5899999999999998E-2</v>
      </c>
      <c r="J1384" s="2">
        <v>1.66</v>
      </c>
      <c r="K1384" s="6">
        <v>12816.86</v>
      </c>
      <c r="L1384" s="4">
        <v>112</v>
      </c>
      <c r="M1384" s="2">
        <v>114.44</v>
      </c>
      <c r="N1384" s="6">
        <v>4652.6000000000004</v>
      </c>
      <c r="O1384" s="6">
        <f t="shared" si="106"/>
        <v>-8164.26</v>
      </c>
      <c r="P1384" s="6">
        <f t="shared" si="107"/>
        <v>-0.63699377226559395</v>
      </c>
      <c r="Q1384" s="3">
        <v>0.36</v>
      </c>
      <c r="R1384" t="str">
        <f t="shared" si="108"/>
        <v>Low</v>
      </c>
      <c r="S1384" t="str">
        <f t="shared" si="109"/>
        <v>Valid</v>
      </c>
    </row>
    <row r="1385" spans="1:19" x14ac:dyDescent="0.25">
      <c r="A1385" s="1">
        <v>45574</v>
      </c>
      <c r="B1385" s="1" t="str">
        <f t="shared" si="105"/>
        <v>2024-10</v>
      </c>
      <c r="C1385" t="s">
        <v>28</v>
      </c>
      <c r="D1385" t="s">
        <v>29</v>
      </c>
      <c r="E1385" t="s">
        <v>30</v>
      </c>
      <c r="F1385" t="s">
        <v>26</v>
      </c>
      <c r="G1385" s="4">
        <v>72500</v>
      </c>
      <c r="H1385" s="4">
        <v>1341</v>
      </c>
      <c r="I1385" s="5">
        <v>1.8499999999999999E-2</v>
      </c>
      <c r="J1385" s="2">
        <v>1.55</v>
      </c>
      <c r="K1385" s="6">
        <v>2078.5500000000002</v>
      </c>
      <c r="L1385" s="4">
        <v>30</v>
      </c>
      <c r="M1385" s="2">
        <v>69.290000000000006</v>
      </c>
      <c r="N1385" s="6">
        <v>5770.13</v>
      </c>
      <c r="O1385" s="6">
        <f t="shared" si="106"/>
        <v>3691.58</v>
      </c>
      <c r="P1385" s="6">
        <f t="shared" si="107"/>
        <v>1.776036179067138</v>
      </c>
      <c r="Q1385" s="3">
        <v>2.78</v>
      </c>
      <c r="R1385" t="str">
        <f t="shared" si="108"/>
        <v>Medium</v>
      </c>
      <c r="S1385" t="str">
        <f t="shared" si="109"/>
        <v>Valid</v>
      </c>
    </row>
    <row r="1386" spans="1:19" x14ac:dyDescent="0.25">
      <c r="A1386" s="1">
        <v>45319</v>
      </c>
      <c r="B1386" s="1" t="str">
        <f t="shared" si="105"/>
        <v>2024-01</v>
      </c>
      <c r="C1386" t="s">
        <v>18</v>
      </c>
      <c r="D1386" t="s">
        <v>29</v>
      </c>
      <c r="E1386" t="s">
        <v>22</v>
      </c>
      <c r="F1386" t="s">
        <v>31</v>
      </c>
      <c r="G1386" s="4">
        <v>104626</v>
      </c>
      <c r="H1386" s="4">
        <v>9144</v>
      </c>
      <c r="I1386" s="5">
        <v>8.7400000000000005E-2</v>
      </c>
      <c r="J1386" s="2">
        <v>1.1000000000000001</v>
      </c>
      <c r="K1386" s="6">
        <v>10058.4</v>
      </c>
      <c r="L1386" s="4">
        <v>389</v>
      </c>
      <c r="M1386" s="2">
        <v>25.86</v>
      </c>
      <c r="N1386" s="6">
        <v>83739.39</v>
      </c>
      <c r="O1386" s="6">
        <f t="shared" si="106"/>
        <v>73680.990000000005</v>
      </c>
      <c r="P1386" s="6">
        <f t="shared" si="107"/>
        <v>7.3253191362443335</v>
      </c>
      <c r="Q1386" s="3">
        <v>8.33</v>
      </c>
      <c r="R1386" t="str">
        <f t="shared" si="108"/>
        <v>High</v>
      </c>
      <c r="S1386" t="str">
        <f t="shared" si="109"/>
        <v>Valid</v>
      </c>
    </row>
    <row r="1387" spans="1:19" x14ac:dyDescent="0.25">
      <c r="A1387" s="1">
        <v>45600</v>
      </c>
      <c r="B1387" s="1" t="str">
        <f t="shared" si="105"/>
        <v>2024-11</v>
      </c>
      <c r="C1387" t="s">
        <v>14</v>
      </c>
      <c r="D1387" t="s">
        <v>24</v>
      </c>
      <c r="E1387" t="s">
        <v>16</v>
      </c>
      <c r="F1387" t="s">
        <v>31</v>
      </c>
      <c r="G1387" s="4">
        <v>70107</v>
      </c>
      <c r="H1387" s="4">
        <v>4045</v>
      </c>
      <c r="I1387" s="5">
        <v>5.7700000000000001E-2</v>
      </c>
      <c r="J1387" s="2">
        <v>2.72</v>
      </c>
      <c r="K1387" s="6">
        <v>11002.4</v>
      </c>
      <c r="L1387" s="4">
        <v>203</v>
      </c>
      <c r="M1387" s="2">
        <v>54.2</v>
      </c>
      <c r="N1387" s="6">
        <v>22267.98</v>
      </c>
      <c r="O1387" s="6">
        <f t="shared" si="106"/>
        <v>11265.58</v>
      </c>
      <c r="P1387" s="6">
        <f t="shared" si="107"/>
        <v>1.0239202355849633</v>
      </c>
      <c r="Q1387" s="3">
        <v>2.02</v>
      </c>
      <c r="R1387" t="str">
        <f t="shared" si="108"/>
        <v>Medium</v>
      </c>
      <c r="S1387" t="str">
        <f t="shared" si="109"/>
        <v>Valid</v>
      </c>
    </row>
    <row r="1388" spans="1:19" x14ac:dyDescent="0.25">
      <c r="A1388" s="1">
        <v>45344</v>
      </c>
      <c r="B1388" s="1" t="str">
        <f t="shared" si="105"/>
        <v>2024-02</v>
      </c>
      <c r="C1388" t="s">
        <v>28</v>
      </c>
      <c r="D1388" t="s">
        <v>15</v>
      </c>
      <c r="E1388" t="s">
        <v>19</v>
      </c>
      <c r="F1388" t="s">
        <v>23</v>
      </c>
      <c r="G1388" s="4">
        <v>63952</v>
      </c>
      <c r="H1388" s="4">
        <v>1451</v>
      </c>
      <c r="I1388" s="5">
        <v>2.2700000000000001E-2</v>
      </c>
      <c r="J1388" s="2">
        <v>2.2400000000000002</v>
      </c>
      <c r="K1388" s="6">
        <v>3250.24</v>
      </c>
      <c r="L1388" s="4">
        <v>86</v>
      </c>
      <c r="M1388" s="2">
        <v>37.79</v>
      </c>
      <c r="N1388" s="6">
        <v>25126.44</v>
      </c>
      <c r="O1388" s="6">
        <f t="shared" si="106"/>
        <v>21876.199999999997</v>
      </c>
      <c r="P1388" s="6">
        <f t="shared" si="107"/>
        <v>6.7306414295559707</v>
      </c>
      <c r="Q1388" s="3">
        <v>7.73</v>
      </c>
      <c r="R1388" t="str">
        <f t="shared" si="108"/>
        <v>High</v>
      </c>
      <c r="S1388" t="str">
        <f t="shared" si="109"/>
        <v>Valid</v>
      </c>
    </row>
    <row r="1389" spans="1:19" x14ac:dyDescent="0.25">
      <c r="A1389" s="1">
        <v>45387</v>
      </c>
      <c r="B1389" s="1" t="str">
        <f t="shared" si="105"/>
        <v>2024-04</v>
      </c>
      <c r="C1389" t="s">
        <v>28</v>
      </c>
      <c r="D1389" t="s">
        <v>24</v>
      </c>
      <c r="E1389" t="s">
        <v>30</v>
      </c>
      <c r="F1389" t="s">
        <v>20</v>
      </c>
      <c r="G1389" s="4">
        <v>43148</v>
      </c>
      <c r="H1389" s="4">
        <v>979</v>
      </c>
      <c r="I1389" s="5">
        <v>2.2700000000000001E-2</v>
      </c>
      <c r="J1389" s="2">
        <v>1.1100000000000001</v>
      </c>
      <c r="K1389" s="6">
        <v>1086.69</v>
      </c>
      <c r="L1389" s="4">
        <v>71</v>
      </c>
      <c r="M1389" s="2">
        <v>15.31</v>
      </c>
      <c r="N1389" s="6">
        <v>7719.69</v>
      </c>
      <c r="O1389" s="6">
        <f t="shared" si="106"/>
        <v>6633</v>
      </c>
      <c r="P1389" s="6">
        <f t="shared" si="107"/>
        <v>6.1038566656544182</v>
      </c>
      <c r="Q1389" s="3">
        <v>7.1</v>
      </c>
      <c r="R1389" t="str">
        <f t="shared" si="108"/>
        <v>High</v>
      </c>
      <c r="S1389" t="str">
        <f t="shared" si="109"/>
        <v>Valid</v>
      </c>
    </row>
    <row r="1390" spans="1:19" x14ac:dyDescent="0.25">
      <c r="A1390" s="1">
        <v>45357</v>
      </c>
      <c r="B1390" s="1" t="str">
        <f t="shared" si="105"/>
        <v>2024-03</v>
      </c>
      <c r="C1390" t="s">
        <v>14</v>
      </c>
      <c r="D1390" t="s">
        <v>24</v>
      </c>
      <c r="E1390" t="s">
        <v>25</v>
      </c>
      <c r="F1390" t="s">
        <v>17</v>
      </c>
      <c r="G1390" s="4">
        <v>193326</v>
      </c>
      <c r="H1390" s="4">
        <v>12334</v>
      </c>
      <c r="I1390" s="5">
        <v>6.3799999999999996E-2</v>
      </c>
      <c r="J1390" s="2">
        <v>1.28</v>
      </c>
      <c r="K1390" s="6">
        <v>15787.52</v>
      </c>
      <c r="L1390" s="4">
        <v>715</v>
      </c>
      <c r="M1390" s="2">
        <v>22.08</v>
      </c>
      <c r="N1390" s="6">
        <v>196162.94</v>
      </c>
      <c r="O1390" s="6">
        <f t="shared" si="106"/>
        <v>180375.42</v>
      </c>
      <c r="P1390" s="6">
        <f t="shared" si="107"/>
        <v>11.425190276876926</v>
      </c>
      <c r="Q1390" s="3">
        <v>12.43</v>
      </c>
      <c r="R1390" t="str">
        <f t="shared" si="108"/>
        <v>High</v>
      </c>
      <c r="S1390" t="str">
        <f t="shared" si="109"/>
        <v>Valid</v>
      </c>
    </row>
    <row r="1391" spans="1:19" x14ac:dyDescent="0.25">
      <c r="A1391" s="1">
        <v>45313</v>
      </c>
      <c r="B1391" s="1" t="str">
        <f t="shared" si="105"/>
        <v>2024-01</v>
      </c>
      <c r="C1391" t="s">
        <v>28</v>
      </c>
      <c r="D1391" t="s">
        <v>15</v>
      </c>
      <c r="E1391" t="s">
        <v>16</v>
      </c>
      <c r="F1391" t="s">
        <v>23</v>
      </c>
      <c r="G1391" s="4">
        <v>80507</v>
      </c>
      <c r="H1391" s="4">
        <v>2318</v>
      </c>
      <c r="I1391" s="5">
        <v>2.8799999999999999E-2</v>
      </c>
      <c r="J1391" s="2">
        <v>0.71</v>
      </c>
      <c r="K1391" s="6">
        <v>1645.78</v>
      </c>
      <c r="L1391" s="4">
        <v>119</v>
      </c>
      <c r="M1391" s="2">
        <v>13.83</v>
      </c>
      <c r="N1391" s="6">
        <v>23887.119999999999</v>
      </c>
      <c r="O1391" s="6">
        <f t="shared" si="106"/>
        <v>22241.34</v>
      </c>
      <c r="P1391" s="6">
        <f t="shared" si="107"/>
        <v>13.514163496943699</v>
      </c>
      <c r="Q1391" s="3">
        <v>14.51</v>
      </c>
      <c r="R1391" t="str">
        <f t="shared" si="108"/>
        <v>High</v>
      </c>
      <c r="S1391" t="str">
        <f t="shared" si="109"/>
        <v>Valid</v>
      </c>
    </row>
    <row r="1392" spans="1:19" x14ac:dyDescent="0.25">
      <c r="A1392" s="1">
        <v>45318</v>
      </c>
      <c r="B1392" s="1" t="str">
        <f t="shared" si="105"/>
        <v>2024-01</v>
      </c>
      <c r="C1392" t="s">
        <v>28</v>
      </c>
      <c r="D1392" t="s">
        <v>15</v>
      </c>
      <c r="E1392" t="s">
        <v>16</v>
      </c>
      <c r="F1392" t="s">
        <v>27</v>
      </c>
      <c r="G1392" s="4">
        <v>128556</v>
      </c>
      <c r="H1392" s="4">
        <v>4910</v>
      </c>
      <c r="I1392" s="5">
        <v>3.8199999999999998E-2</v>
      </c>
      <c r="J1392" s="2">
        <v>0.88</v>
      </c>
      <c r="K1392" s="6">
        <v>4320.8</v>
      </c>
      <c r="L1392" s="4">
        <v>55</v>
      </c>
      <c r="M1392" s="2">
        <v>78.56</v>
      </c>
      <c r="N1392" s="6">
        <v>10684.27</v>
      </c>
      <c r="O1392" s="6">
        <f t="shared" si="106"/>
        <v>6363.47</v>
      </c>
      <c r="P1392" s="6">
        <f t="shared" si="107"/>
        <v>1.4727527309757453</v>
      </c>
      <c r="Q1392" s="3">
        <v>2.4700000000000002</v>
      </c>
      <c r="R1392" t="str">
        <f t="shared" si="108"/>
        <v>Medium</v>
      </c>
      <c r="S1392" t="str">
        <f t="shared" si="109"/>
        <v>Valid</v>
      </c>
    </row>
    <row r="1393" spans="1:19" x14ac:dyDescent="0.25">
      <c r="A1393" s="1">
        <v>45514</v>
      </c>
      <c r="B1393" s="1" t="str">
        <f t="shared" si="105"/>
        <v>2024-08</v>
      </c>
      <c r="C1393" t="s">
        <v>28</v>
      </c>
      <c r="D1393" t="s">
        <v>15</v>
      </c>
      <c r="E1393" t="s">
        <v>22</v>
      </c>
      <c r="F1393" t="s">
        <v>20</v>
      </c>
      <c r="G1393" s="4">
        <v>29055</v>
      </c>
      <c r="H1393" s="4">
        <v>912</v>
      </c>
      <c r="I1393" s="5">
        <v>3.1399999999999997E-2</v>
      </c>
      <c r="J1393" s="2">
        <v>1.47</v>
      </c>
      <c r="K1393" s="6">
        <v>1340.64</v>
      </c>
      <c r="L1393" s="4">
        <v>41</v>
      </c>
      <c r="M1393" s="2">
        <v>32.700000000000003</v>
      </c>
      <c r="N1393" s="6">
        <v>6404.23</v>
      </c>
      <c r="O1393" s="6">
        <f t="shared" si="106"/>
        <v>5063.5899999999992</v>
      </c>
      <c r="P1393" s="6">
        <f t="shared" si="107"/>
        <v>3.776994569757727</v>
      </c>
      <c r="Q1393" s="3">
        <v>4.78</v>
      </c>
      <c r="R1393" t="str">
        <f t="shared" si="108"/>
        <v>High</v>
      </c>
      <c r="S1393" t="str">
        <f t="shared" si="109"/>
        <v>Valid</v>
      </c>
    </row>
    <row r="1394" spans="1:19" x14ac:dyDescent="0.25">
      <c r="A1394" s="1">
        <v>45385</v>
      </c>
      <c r="B1394" s="1" t="str">
        <f t="shared" si="105"/>
        <v>2024-04</v>
      </c>
      <c r="C1394" t="s">
        <v>28</v>
      </c>
      <c r="D1394" t="s">
        <v>21</v>
      </c>
      <c r="E1394" t="s">
        <v>25</v>
      </c>
      <c r="F1394" t="s">
        <v>17</v>
      </c>
      <c r="G1394" s="4">
        <v>172517</v>
      </c>
      <c r="H1394" s="4">
        <v>3191</v>
      </c>
      <c r="I1394" s="5">
        <v>1.8499999999999999E-2</v>
      </c>
      <c r="J1394" s="2">
        <v>1.81</v>
      </c>
      <c r="K1394" s="6">
        <v>5775.71</v>
      </c>
      <c r="L1394" s="4">
        <v>96</v>
      </c>
      <c r="M1394" s="2">
        <v>60.16</v>
      </c>
      <c r="N1394" s="6">
        <v>13225.69</v>
      </c>
      <c r="O1394" s="6">
        <f t="shared" si="106"/>
        <v>7449.9800000000005</v>
      </c>
      <c r="P1394" s="6">
        <f t="shared" si="107"/>
        <v>1.2898812440375296</v>
      </c>
      <c r="Q1394" s="3">
        <v>2.29</v>
      </c>
      <c r="R1394" t="str">
        <f t="shared" si="108"/>
        <v>Medium</v>
      </c>
      <c r="S1394" t="str">
        <f t="shared" si="109"/>
        <v>Valid</v>
      </c>
    </row>
    <row r="1395" spans="1:19" x14ac:dyDescent="0.25">
      <c r="A1395" s="1">
        <v>45309</v>
      </c>
      <c r="B1395" s="1" t="str">
        <f t="shared" si="105"/>
        <v>2024-01</v>
      </c>
      <c r="C1395" t="s">
        <v>28</v>
      </c>
      <c r="D1395" t="s">
        <v>21</v>
      </c>
      <c r="E1395" t="s">
        <v>16</v>
      </c>
      <c r="F1395" t="s">
        <v>27</v>
      </c>
      <c r="G1395" s="4">
        <v>84712</v>
      </c>
      <c r="H1395" s="4">
        <v>1473</v>
      </c>
      <c r="I1395" s="5">
        <v>1.7399999999999999E-2</v>
      </c>
      <c r="J1395" s="2">
        <v>2.27</v>
      </c>
      <c r="K1395" s="6">
        <v>3343.71</v>
      </c>
      <c r="L1395" s="4">
        <v>74</v>
      </c>
      <c r="M1395" s="2">
        <v>45.19</v>
      </c>
      <c r="N1395" s="6">
        <v>3310.43</v>
      </c>
      <c r="O1395" s="6">
        <f t="shared" si="106"/>
        <v>-33.2800000000002</v>
      </c>
      <c r="P1395" s="6">
        <f t="shared" si="107"/>
        <v>-9.9530162603814927E-3</v>
      </c>
      <c r="Q1395" s="3">
        <v>0.99</v>
      </c>
      <c r="R1395" t="str">
        <f t="shared" si="108"/>
        <v>Low</v>
      </c>
      <c r="S1395" t="str">
        <f t="shared" si="109"/>
        <v>Valid</v>
      </c>
    </row>
    <row r="1396" spans="1:19" x14ac:dyDescent="0.25">
      <c r="A1396" s="1">
        <v>45628</v>
      </c>
      <c r="B1396" s="1" t="str">
        <f t="shared" si="105"/>
        <v>2024-12</v>
      </c>
      <c r="C1396" t="s">
        <v>14</v>
      </c>
      <c r="D1396" t="s">
        <v>21</v>
      </c>
      <c r="E1396" t="s">
        <v>16</v>
      </c>
      <c r="F1396" t="s">
        <v>31</v>
      </c>
      <c r="G1396" s="4">
        <v>115760</v>
      </c>
      <c r="H1396" s="4">
        <v>2558</v>
      </c>
      <c r="I1396" s="5">
        <v>2.2100000000000002E-2</v>
      </c>
      <c r="J1396" s="2">
        <v>3.19</v>
      </c>
      <c r="K1396" s="6">
        <v>8160.02</v>
      </c>
      <c r="L1396" s="4">
        <v>164</v>
      </c>
      <c r="M1396" s="2">
        <v>49.76</v>
      </c>
      <c r="N1396" s="6">
        <v>37092.550000000003</v>
      </c>
      <c r="O1396" s="6">
        <f t="shared" si="106"/>
        <v>28932.530000000002</v>
      </c>
      <c r="P1396" s="6">
        <f t="shared" si="107"/>
        <v>3.5456444959693729</v>
      </c>
      <c r="Q1396" s="3">
        <v>4.55</v>
      </c>
      <c r="R1396" t="str">
        <f t="shared" si="108"/>
        <v>High</v>
      </c>
      <c r="S1396" t="str">
        <f t="shared" si="109"/>
        <v>Valid</v>
      </c>
    </row>
    <row r="1397" spans="1:19" x14ac:dyDescent="0.25">
      <c r="A1397" s="1">
        <v>45398</v>
      </c>
      <c r="B1397" s="1" t="str">
        <f t="shared" si="105"/>
        <v>2024-04</v>
      </c>
      <c r="C1397" t="s">
        <v>14</v>
      </c>
      <c r="D1397" t="s">
        <v>15</v>
      </c>
      <c r="E1397" t="s">
        <v>16</v>
      </c>
      <c r="F1397" t="s">
        <v>26</v>
      </c>
      <c r="G1397" s="4">
        <v>187831</v>
      </c>
      <c r="H1397" s="4">
        <v>7306</v>
      </c>
      <c r="I1397" s="5">
        <v>3.8899999999999997E-2</v>
      </c>
      <c r="J1397" s="2">
        <v>1.37</v>
      </c>
      <c r="K1397" s="6">
        <v>10009.219999999999</v>
      </c>
      <c r="L1397" s="4">
        <v>321</v>
      </c>
      <c r="M1397" s="2">
        <v>31.18</v>
      </c>
      <c r="N1397" s="6">
        <v>91963.37</v>
      </c>
      <c r="O1397" s="6">
        <f t="shared" si="106"/>
        <v>81954.149999999994</v>
      </c>
      <c r="P1397" s="6">
        <f t="shared" si="107"/>
        <v>8.1878657877437</v>
      </c>
      <c r="Q1397" s="3">
        <v>9.19</v>
      </c>
      <c r="R1397" t="str">
        <f t="shared" si="108"/>
        <v>High</v>
      </c>
      <c r="S1397" t="str">
        <f t="shared" si="109"/>
        <v>Valid</v>
      </c>
    </row>
    <row r="1398" spans="1:19" x14ac:dyDescent="0.25">
      <c r="A1398" s="1">
        <v>45309</v>
      </c>
      <c r="B1398" s="1" t="str">
        <f t="shared" si="105"/>
        <v>2024-01</v>
      </c>
      <c r="C1398" t="s">
        <v>28</v>
      </c>
      <c r="D1398" t="s">
        <v>21</v>
      </c>
      <c r="E1398" t="s">
        <v>16</v>
      </c>
      <c r="F1398" t="s">
        <v>20</v>
      </c>
      <c r="G1398" s="4">
        <v>72278</v>
      </c>
      <c r="H1398" s="4">
        <v>2421</v>
      </c>
      <c r="I1398" s="5">
        <v>3.3500000000000002E-2</v>
      </c>
      <c r="J1398" s="2">
        <v>1.29</v>
      </c>
      <c r="K1398" s="6">
        <v>3123.09</v>
      </c>
      <c r="L1398" s="4">
        <v>26</v>
      </c>
      <c r="M1398" s="2">
        <v>120.12</v>
      </c>
      <c r="N1398" s="6">
        <v>5625.44</v>
      </c>
      <c r="O1398" s="6">
        <f t="shared" si="106"/>
        <v>2502.3499999999995</v>
      </c>
      <c r="P1398" s="6">
        <f t="shared" si="107"/>
        <v>0.80124171893861507</v>
      </c>
      <c r="Q1398" s="3">
        <v>1.8</v>
      </c>
      <c r="R1398" t="str">
        <f t="shared" si="108"/>
        <v>Medium</v>
      </c>
      <c r="S1398" t="str">
        <f t="shared" si="109"/>
        <v>Valid</v>
      </c>
    </row>
    <row r="1399" spans="1:19" x14ac:dyDescent="0.25">
      <c r="A1399" s="1">
        <v>45586</v>
      </c>
      <c r="B1399" s="1" t="str">
        <f t="shared" si="105"/>
        <v>2024-10</v>
      </c>
      <c r="C1399" t="s">
        <v>14</v>
      </c>
      <c r="D1399" t="s">
        <v>15</v>
      </c>
      <c r="E1399" t="s">
        <v>19</v>
      </c>
      <c r="F1399" t="s">
        <v>23</v>
      </c>
      <c r="G1399" s="4">
        <v>121107</v>
      </c>
      <c r="H1399" s="4">
        <v>3148</v>
      </c>
      <c r="I1399" s="5">
        <v>2.5999999999999999E-2</v>
      </c>
      <c r="J1399" s="2">
        <v>2.39</v>
      </c>
      <c r="K1399" s="6">
        <v>7523.72</v>
      </c>
      <c r="L1399" s="4">
        <v>243</v>
      </c>
      <c r="M1399" s="2">
        <v>30.96</v>
      </c>
      <c r="N1399" s="6">
        <v>33241.31</v>
      </c>
      <c r="O1399" s="6">
        <f t="shared" si="106"/>
        <v>25717.589999999997</v>
      </c>
      <c r="P1399" s="6">
        <f t="shared" si="107"/>
        <v>3.4182013684719785</v>
      </c>
      <c r="Q1399" s="3">
        <v>4.42</v>
      </c>
      <c r="R1399" t="str">
        <f t="shared" si="108"/>
        <v>High</v>
      </c>
      <c r="S1399" t="str">
        <f t="shared" si="109"/>
        <v>Valid</v>
      </c>
    </row>
    <row r="1400" spans="1:19" x14ac:dyDescent="0.25">
      <c r="A1400" s="1">
        <v>45523</v>
      </c>
      <c r="B1400" s="1" t="str">
        <f t="shared" si="105"/>
        <v>2024-08</v>
      </c>
      <c r="C1400" t="s">
        <v>14</v>
      </c>
      <c r="D1400" t="s">
        <v>24</v>
      </c>
      <c r="E1400" t="s">
        <v>16</v>
      </c>
      <c r="F1400" t="s">
        <v>31</v>
      </c>
      <c r="G1400" s="4">
        <v>112930</v>
      </c>
      <c r="H1400" s="4">
        <v>2427</v>
      </c>
      <c r="I1400" s="5">
        <v>2.1499999999999998E-2</v>
      </c>
      <c r="J1400" s="2">
        <v>0.95</v>
      </c>
      <c r="K1400" s="6">
        <v>2305.65</v>
      </c>
      <c r="L1400" s="4">
        <v>53</v>
      </c>
      <c r="M1400" s="2">
        <v>43.5</v>
      </c>
      <c r="N1400" s="6">
        <v>10549.62</v>
      </c>
      <c r="O1400" s="6">
        <f t="shared" si="106"/>
        <v>8243.9700000000012</v>
      </c>
      <c r="P1400" s="6">
        <f t="shared" si="107"/>
        <v>3.5755513629562166</v>
      </c>
      <c r="Q1400" s="3">
        <v>4.58</v>
      </c>
      <c r="R1400" t="str">
        <f t="shared" si="108"/>
        <v>High</v>
      </c>
      <c r="S1400" t="str">
        <f t="shared" si="109"/>
        <v>Valid</v>
      </c>
    </row>
    <row r="1401" spans="1:19" x14ac:dyDescent="0.25">
      <c r="A1401" s="1">
        <v>45640</v>
      </c>
      <c r="B1401" s="1" t="str">
        <f t="shared" si="105"/>
        <v>2024-12</v>
      </c>
      <c r="C1401" t="s">
        <v>14</v>
      </c>
      <c r="D1401" t="s">
        <v>21</v>
      </c>
      <c r="E1401" t="s">
        <v>25</v>
      </c>
      <c r="F1401" t="s">
        <v>27</v>
      </c>
      <c r="G1401" s="4">
        <v>94767</v>
      </c>
      <c r="H1401" s="4">
        <v>4662</v>
      </c>
      <c r="I1401" s="5">
        <v>4.9200000000000001E-2</v>
      </c>
      <c r="J1401" s="2">
        <v>2.9</v>
      </c>
      <c r="K1401" s="6">
        <v>13519.8</v>
      </c>
      <c r="L1401" s="4">
        <v>136</v>
      </c>
      <c r="M1401" s="2">
        <v>99.41</v>
      </c>
      <c r="N1401" s="6">
        <v>33757.519999999997</v>
      </c>
      <c r="O1401" s="6">
        <f t="shared" si="106"/>
        <v>20237.719999999998</v>
      </c>
      <c r="P1401" s="6">
        <f t="shared" si="107"/>
        <v>1.4968949244811314</v>
      </c>
      <c r="Q1401" s="3">
        <v>2.5</v>
      </c>
      <c r="R1401" t="str">
        <f t="shared" si="108"/>
        <v>Medium</v>
      </c>
      <c r="S1401" t="str">
        <f t="shared" si="109"/>
        <v>Valid</v>
      </c>
    </row>
    <row r="1402" spans="1:19" x14ac:dyDescent="0.25">
      <c r="A1402" s="1">
        <v>45593</v>
      </c>
      <c r="B1402" s="1" t="str">
        <f t="shared" si="105"/>
        <v>2024-10</v>
      </c>
      <c r="C1402" t="s">
        <v>18</v>
      </c>
      <c r="D1402" t="s">
        <v>29</v>
      </c>
      <c r="E1402" t="s">
        <v>30</v>
      </c>
      <c r="F1402" t="s">
        <v>31</v>
      </c>
      <c r="G1402" s="4">
        <v>189933</v>
      </c>
      <c r="H1402" s="4">
        <v>13295</v>
      </c>
      <c r="I1402" s="5">
        <v>7.0000000000000007E-2</v>
      </c>
      <c r="J1402" s="2">
        <v>1.03</v>
      </c>
      <c r="K1402" s="6">
        <v>13693.85</v>
      </c>
      <c r="L1402" s="4">
        <v>284</v>
      </c>
      <c r="M1402" s="2">
        <v>48.22</v>
      </c>
      <c r="N1402" s="6">
        <v>45485.98</v>
      </c>
      <c r="O1402" s="6">
        <f t="shared" si="106"/>
        <v>31792.130000000005</v>
      </c>
      <c r="P1402" s="6">
        <f t="shared" si="107"/>
        <v>2.3216356247512571</v>
      </c>
      <c r="Q1402" s="3">
        <v>3.32</v>
      </c>
      <c r="R1402" t="str">
        <f t="shared" si="108"/>
        <v>High</v>
      </c>
      <c r="S1402" t="str">
        <f t="shared" si="109"/>
        <v>Valid</v>
      </c>
    </row>
    <row r="1403" spans="1:19" x14ac:dyDescent="0.25">
      <c r="A1403" s="1">
        <v>45556</v>
      </c>
      <c r="B1403" s="1" t="str">
        <f t="shared" si="105"/>
        <v>2024-09</v>
      </c>
      <c r="C1403" t="s">
        <v>28</v>
      </c>
      <c r="D1403" t="s">
        <v>24</v>
      </c>
      <c r="E1403" t="s">
        <v>16</v>
      </c>
      <c r="F1403" t="s">
        <v>27</v>
      </c>
      <c r="G1403" s="4">
        <v>17281</v>
      </c>
      <c r="H1403" s="4">
        <v>793</v>
      </c>
      <c r="I1403" s="5">
        <v>4.5900000000000003E-2</v>
      </c>
      <c r="J1403" s="2">
        <v>1.18</v>
      </c>
      <c r="K1403" s="6">
        <v>935.74</v>
      </c>
      <c r="L1403" s="4">
        <v>46</v>
      </c>
      <c r="M1403" s="2">
        <v>20.34</v>
      </c>
      <c r="N1403" s="6">
        <v>12594.97</v>
      </c>
      <c r="O1403" s="6">
        <f t="shared" si="106"/>
        <v>11659.23</v>
      </c>
      <c r="P1403" s="6">
        <f t="shared" si="107"/>
        <v>12.459903391967854</v>
      </c>
      <c r="Q1403" s="3">
        <v>13.46</v>
      </c>
      <c r="R1403" t="str">
        <f t="shared" si="108"/>
        <v>High</v>
      </c>
      <c r="S1403" t="str">
        <f t="shared" si="109"/>
        <v>Valid</v>
      </c>
    </row>
    <row r="1404" spans="1:19" x14ac:dyDescent="0.25">
      <c r="A1404" s="1">
        <v>45362</v>
      </c>
      <c r="B1404" s="1" t="str">
        <f t="shared" si="105"/>
        <v>2024-03</v>
      </c>
      <c r="C1404" t="s">
        <v>14</v>
      </c>
      <c r="D1404" t="s">
        <v>21</v>
      </c>
      <c r="E1404" t="s">
        <v>16</v>
      </c>
      <c r="F1404" t="s">
        <v>20</v>
      </c>
      <c r="G1404" s="4">
        <v>41388</v>
      </c>
      <c r="H1404" s="4">
        <v>964</v>
      </c>
      <c r="I1404" s="5">
        <v>2.3300000000000001E-2</v>
      </c>
      <c r="J1404" s="2">
        <v>3.04</v>
      </c>
      <c r="K1404" s="6">
        <v>2930.56</v>
      </c>
      <c r="L1404" s="4">
        <v>72</v>
      </c>
      <c r="M1404" s="2">
        <v>40.700000000000003</v>
      </c>
      <c r="N1404" s="6">
        <v>19679.400000000001</v>
      </c>
      <c r="O1404" s="6">
        <f t="shared" si="106"/>
        <v>16748.84</v>
      </c>
      <c r="P1404" s="6">
        <f t="shared" si="107"/>
        <v>5.7152353133872023</v>
      </c>
      <c r="Q1404" s="3">
        <v>6.72</v>
      </c>
      <c r="R1404" t="str">
        <f t="shared" si="108"/>
        <v>High</v>
      </c>
      <c r="S1404" t="str">
        <f t="shared" si="109"/>
        <v>Valid</v>
      </c>
    </row>
    <row r="1405" spans="1:19" x14ac:dyDescent="0.25">
      <c r="A1405" s="1">
        <v>45605</v>
      </c>
      <c r="B1405" s="1" t="str">
        <f t="shared" si="105"/>
        <v>2024-11</v>
      </c>
      <c r="C1405" t="s">
        <v>14</v>
      </c>
      <c r="D1405" t="s">
        <v>24</v>
      </c>
      <c r="E1405" t="s">
        <v>19</v>
      </c>
      <c r="F1405" t="s">
        <v>23</v>
      </c>
      <c r="G1405" s="4">
        <v>52083</v>
      </c>
      <c r="H1405" s="4">
        <v>2781</v>
      </c>
      <c r="I1405" s="5">
        <v>5.3400000000000003E-2</v>
      </c>
      <c r="J1405" s="2">
        <v>2.64</v>
      </c>
      <c r="K1405" s="6">
        <v>7341.84</v>
      </c>
      <c r="L1405" s="4">
        <v>160</v>
      </c>
      <c r="M1405" s="2">
        <v>45.89</v>
      </c>
      <c r="N1405" s="6">
        <v>39686.47</v>
      </c>
      <c r="O1405" s="6">
        <f t="shared" si="106"/>
        <v>32344.63</v>
      </c>
      <c r="P1405" s="6">
        <f t="shared" si="107"/>
        <v>4.4055209593235487</v>
      </c>
      <c r="Q1405" s="3">
        <v>5.41</v>
      </c>
      <c r="R1405" t="str">
        <f t="shared" si="108"/>
        <v>High</v>
      </c>
      <c r="S1405" t="str">
        <f t="shared" si="109"/>
        <v>Valid</v>
      </c>
    </row>
    <row r="1406" spans="1:19" x14ac:dyDescent="0.25">
      <c r="A1406" s="1">
        <v>45628</v>
      </c>
      <c r="B1406" s="1" t="str">
        <f t="shared" si="105"/>
        <v>2024-12</v>
      </c>
      <c r="C1406" t="s">
        <v>14</v>
      </c>
      <c r="D1406" t="s">
        <v>21</v>
      </c>
      <c r="E1406" t="s">
        <v>30</v>
      </c>
      <c r="F1406" t="s">
        <v>17</v>
      </c>
      <c r="G1406" s="4">
        <v>110109</v>
      </c>
      <c r="H1406" s="4">
        <v>2378</v>
      </c>
      <c r="I1406" s="5">
        <v>2.1600000000000001E-2</v>
      </c>
      <c r="J1406" s="2">
        <v>3.19</v>
      </c>
      <c r="K1406" s="6">
        <v>7585.82</v>
      </c>
      <c r="L1406" s="4">
        <v>41</v>
      </c>
      <c r="M1406" s="2">
        <v>185.02</v>
      </c>
      <c r="N1406" s="6">
        <v>6931.99</v>
      </c>
      <c r="O1406" s="6">
        <f t="shared" si="106"/>
        <v>-653.82999999999993</v>
      </c>
      <c r="P1406" s="6">
        <f t="shared" si="107"/>
        <v>-8.6191077563137528E-2</v>
      </c>
      <c r="Q1406" s="3">
        <v>0.91</v>
      </c>
      <c r="R1406" t="str">
        <f t="shared" si="108"/>
        <v>Low</v>
      </c>
      <c r="S1406" t="str">
        <f t="shared" si="109"/>
        <v>Valid</v>
      </c>
    </row>
    <row r="1407" spans="1:19" x14ac:dyDescent="0.25">
      <c r="A1407" s="1">
        <v>45499</v>
      </c>
      <c r="B1407" s="1" t="str">
        <f t="shared" si="105"/>
        <v>2024-07</v>
      </c>
      <c r="C1407" t="s">
        <v>18</v>
      </c>
      <c r="D1407" t="s">
        <v>29</v>
      </c>
      <c r="E1407" t="s">
        <v>16</v>
      </c>
      <c r="F1407" t="s">
        <v>27</v>
      </c>
      <c r="G1407" s="4">
        <v>73743</v>
      </c>
      <c r="H1407" s="4">
        <v>1991</v>
      </c>
      <c r="I1407" s="5">
        <v>2.7E-2</v>
      </c>
      <c r="J1407" s="2">
        <v>1.77</v>
      </c>
      <c r="K1407" s="6">
        <v>3524.07</v>
      </c>
      <c r="L1407" s="4">
        <v>155</v>
      </c>
      <c r="M1407" s="2">
        <v>22.74</v>
      </c>
      <c r="N1407" s="6">
        <v>29721.14</v>
      </c>
      <c r="O1407" s="6">
        <f t="shared" si="106"/>
        <v>26197.07</v>
      </c>
      <c r="P1407" s="6">
        <f t="shared" si="107"/>
        <v>7.4337541535781071</v>
      </c>
      <c r="Q1407" s="3">
        <v>8.43</v>
      </c>
      <c r="R1407" t="str">
        <f t="shared" si="108"/>
        <v>High</v>
      </c>
      <c r="S1407" t="str">
        <f t="shared" si="109"/>
        <v>Valid</v>
      </c>
    </row>
    <row r="1408" spans="1:19" x14ac:dyDescent="0.25">
      <c r="A1408" s="1">
        <v>45501</v>
      </c>
      <c r="B1408" s="1" t="str">
        <f t="shared" si="105"/>
        <v>2024-07</v>
      </c>
      <c r="C1408" t="s">
        <v>14</v>
      </c>
      <c r="D1408" t="s">
        <v>24</v>
      </c>
      <c r="E1408" t="s">
        <v>22</v>
      </c>
      <c r="F1408" t="s">
        <v>32</v>
      </c>
      <c r="G1408" s="4">
        <v>79189</v>
      </c>
      <c r="H1408" s="4">
        <v>4315</v>
      </c>
      <c r="I1408" s="5">
        <v>5.45E-2</v>
      </c>
      <c r="J1408" s="2">
        <v>0.92</v>
      </c>
      <c r="K1408" s="6">
        <v>3969.8</v>
      </c>
      <c r="L1408" s="4">
        <v>197</v>
      </c>
      <c r="M1408" s="2">
        <v>20.149999999999999</v>
      </c>
      <c r="N1408" s="6">
        <v>21995.7</v>
      </c>
      <c r="O1408" s="6">
        <f t="shared" si="106"/>
        <v>18025.900000000001</v>
      </c>
      <c r="P1408" s="6">
        <f t="shared" si="107"/>
        <v>4.54075772079198</v>
      </c>
      <c r="Q1408" s="3">
        <v>5.54</v>
      </c>
      <c r="R1408" t="str">
        <f t="shared" si="108"/>
        <v>High</v>
      </c>
      <c r="S1408" t="str">
        <f t="shared" si="109"/>
        <v>Valid</v>
      </c>
    </row>
    <row r="1409" spans="1:19" x14ac:dyDescent="0.25">
      <c r="A1409" s="1">
        <v>45639</v>
      </c>
      <c r="B1409" s="1" t="str">
        <f t="shared" si="105"/>
        <v>2024-12</v>
      </c>
      <c r="C1409" t="s">
        <v>28</v>
      </c>
      <c r="D1409" t="s">
        <v>15</v>
      </c>
      <c r="E1409" t="s">
        <v>16</v>
      </c>
      <c r="F1409" t="s">
        <v>23</v>
      </c>
      <c r="G1409" s="4">
        <v>179943</v>
      </c>
      <c r="H1409" s="4">
        <v>4174</v>
      </c>
      <c r="I1409" s="5">
        <v>2.3199999999999998E-2</v>
      </c>
      <c r="J1409" s="2">
        <v>2.2000000000000002</v>
      </c>
      <c r="K1409" s="6">
        <v>9182.7999999999993</v>
      </c>
      <c r="L1409" s="4">
        <v>289</v>
      </c>
      <c r="M1409" s="2">
        <v>31.77</v>
      </c>
      <c r="N1409" s="6">
        <v>32129.87</v>
      </c>
      <c r="O1409" s="6">
        <f t="shared" si="106"/>
        <v>22947.07</v>
      </c>
      <c r="P1409" s="6">
        <f t="shared" si="107"/>
        <v>2.4989186304830771</v>
      </c>
      <c r="Q1409" s="3">
        <v>3.5</v>
      </c>
      <c r="R1409" t="str">
        <f t="shared" si="108"/>
        <v>High</v>
      </c>
      <c r="S1409" t="str">
        <f t="shared" si="109"/>
        <v>Valid</v>
      </c>
    </row>
    <row r="1410" spans="1:19" x14ac:dyDescent="0.25">
      <c r="A1410" s="1">
        <v>45359</v>
      </c>
      <c r="B1410" s="1" t="str">
        <f t="shared" si="105"/>
        <v>2024-03</v>
      </c>
      <c r="C1410" t="s">
        <v>14</v>
      </c>
      <c r="D1410" t="s">
        <v>15</v>
      </c>
      <c r="E1410" t="s">
        <v>30</v>
      </c>
      <c r="F1410" t="s">
        <v>27</v>
      </c>
      <c r="G1410" s="4">
        <v>22414</v>
      </c>
      <c r="H1410" s="4">
        <v>472</v>
      </c>
      <c r="I1410" s="5">
        <v>2.1100000000000001E-2</v>
      </c>
      <c r="J1410" s="2">
        <v>2.5099999999999998</v>
      </c>
      <c r="K1410" s="6">
        <v>1184.72</v>
      </c>
      <c r="L1410" s="4">
        <v>34</v>
      </c>
      <c r="M1410" s="2">
        <v>34.840000000000003</v>
      </c>
      <c r="N1410" s="6">
        <v>7160.99</v>
      </c>
      <c r="O1410" s="6">
        <f t="shared" si="106"/>
        <v>5976.2699999999995</v>
      </c>
      <c r="P1410" s="6">
        <f t="shared" si="107"/>
        <v>5.0444577621716515</v>
      </c>
      <c r="Q1410" s="3">
        <v>6.04</v>
      </c>
      <c r="R1410" t="str">
        <f t="shared" si="108"/>
        <v>High</v>
      </c>
      <c r="S1410" t="str">
        <f t="shared" si="109"/>
        <v>Valid</v>
      </c>
    </row>
    <row r="1411" spans="1:19" x14ac:dyDescent="0.25">
      <c r="A1411" s="1">
        <v>45603</v>
      </c>
      <c r="B1411" s="1" t="str">
        <f t="shared" ref="B1411:B1474" si="110">TEXT(A1411, "yyyy-mm")</f>
        <v>2024-11</v>
      </c>
      <c r="C1411" t="s">
        <v>28</v>
      </c>
      <c r="D1411" t="s">
        <v>21</v>
      </c>
      <c r="E1411" t="s">
        <v>25</v>
      </c>
      <c r="F1411" t="s">
        <v>32</v>
      </c>
      <c r="G1411" s="4">
        <v>107299</v>
      </c>
      <c r="H1411" s="4">
        <v>2585</v>
      </c>
      <c r="I1411" s="5">
        <v>2.41E-2</v>
      </c>
      <c r="J1411" s="2">
        <v>1.32</v>
      </c>
      <c r="K1411" s="6">
        <v>3412.2</v>
      </c>
      <c r="L1411" s="4">
        <v>110</v>
      </c>
      <c r="M1411" s="2">
        <v>31.02</v>
      </c>
      <c r="N1411" s="6">
        <v>23820.26</v>
      </c>
      <c r="O1411" s="6">
        <f t="shared" ref="O1411:O1474" si="111">N1411-K1411</f>
        <v>20408.059999999998</v>
      </c>
      <c r="P1411" s="6">
        <f t="shared" ref="P1411:P1474" si="112">IFERROR(O1411/K1411, "")</f>
        <v>5.9809096770412049</v>
      </c>
      <c r="Q1411" s="3">
        <v>6.98</v>
      </c>
      <c r="R1411" t="str">
        <f t="shared" ref="R1411:R1474" si="113">IF(Q1411 &gt;= 3, "High", IF(Q1411&gt;=1, "Medium", "Low"))</f>
        <v>High</v>
      </c>
      <c r="S1411" t="str">
        <f t="shared" ref="S1411:S1474" si="114">IF(OR(G1411=0, H1411&gt;G1411, L1411&gt;H1411), "Invalid", "Valid")</f>
        <v>Valid</v>
      </c>
    </row>
    <row r="1412" spans="1:19" x14ac:dyDescent="0.25">
      <c r="A1412" s="1">
        <v>45385</v>
      </c>
      <c r="B1412" s="1" t="str">
        <f t="shared" si="110"/>
        <v>2024-04</v>
      </c>
      <c r="C1412" t="s">
        <v>18</v>
      </c>
      <c r="D1412" t="s">
        <v>24</v>
      </c>
      <c r="E1412" t="s">
        <v>25</v>
      </c>
      <c r="F1412" t="s">
        <v>32</v>
      </c>
      <c r="G1412" s="4">
        <v>68815</v>
      </c>
      <c r="H1412" s="4">
        <v>3172</v>
      </c>
      <c r="I1412" s="5">
        <v>4.6100000000000002E-2</v>
      </c>
      <c r="J1412" s="2">
        <v>0.79</v>
      </c>
      <c r="K1412" s="6">
        <v>2505.88</v>
      </c>
      <c r="L1412" s="4">
        <v>76</v>
      </c>
      <c r="M1412" s="2">
        <v>32.97</v>
      </c>
      <c r="N1412" s="6">
        <v>2602.5700000000002</v>
      </c>
      <c r="O1412" s="6">
        <f t="shared" si="111"/>
        <v>96.690000000000055</v>
      </c>
      <c r="P1412" s="6">
        <f t="shared" si="112"/>
        <v>3.8585247497884993E-2</v>
      </c>
      <c r="Q1412" s="3">
        <v>1.04</v>
      </c>
      <c r="R1412" t="str">
        <f t="shared" si="113"/>
        <v>Medium</v>
      </c>
      <c r="S1412" t="str">
        <f t="shared" si="114"/>
        <v>Valid</v>
      </c>
    </row>
    <row r="1413" spans="1:19" x14ac:dyDescent="0.25">
      <c r="A1413" s="1">
        <v>45589</v>
      </c>
      <c r="B1413" s="1" t="str">
        <f t="shared" si="110"/>
        <v>2024-10</v>
      </c>
      <c r="C1413" t="s">
        <v>14</v>
      </c>
      <c r="D1413" t="s">
        <v>29</v>
      </c>
      <c r="E1413" t="s">
        <v>19</v>
      </c>
      <c r="F1413" t="s">
        <v>26</v>
      </c>
      <c r="G1413" s="4">
        <v>164457</v>
      </c>
      <c r="H1413" s="4">
        <v>8321</v>
      </c>
      <c r="I1413" s="5">
        <v>5.0599999999999999E-2</v>
      </c>
      <c r="J1413" s="2">
        <v>1.76</v>
      </c>
      <c r="K1413" s="6">
        <v>14644.96</v>
      </c>
      <c r="L1413" s="4">
        <v>610</v>
      </c>
      <c r="M1413" s="2">
        <v>24.01</v>
      </c>
      <c r="N1413" s="6">
        <v>27104.12</v>
      </c>
      <c r="O1413" s="6">
        <f t="shared" si="111"/>
        <v>12459.16</v>
      </c>
      <c r="P1413" s="6">
        <f t="shared" si="112"/>
        <v>0.850747287804132</v>
      </c>
      <c r="Q1413" s="3">
        <v>1.85</v>
      </c>
      <c r="R1413" t="str">
        <f t="shared" si="113"/>
        <v>Medium</v>
      </c>
      <c r="S1413" t="str">
        <f t="shared" si="114"/>
        <v>Valid</v>
      </c>
    </row>
    <row r="1414" spans="1:19" x14ac:dyDescent="0.25">
      <c r="A1414" s="1">
        <v>45613</v>
      </c>
      <c r="B1414" s="1" t="str">
        <f t="shared" si="110"/>
        <v>2024-11</v>
      </c>
      <c r="C1414" t="s">
        <v>14</v>
      </c>
      <c r="D1414" t="s">
        <v>29</v>
      </c>
      <c r="E1414" t="s">
        <v>30</v>
      </c>
      <c r="F1414" t="s">
        <v>31</v>
      </c>
      <c r="G1414" s="4">
        <v>105477</v>
      </c>
      <c r="H1414" s="4">
        <v>6391</v>
      </c>
      <c r="I1414" s="5">
        <v>6.0600000000000001E-2</v>
      </c>
      <c r="J1414" s="2">
        <v>1.84</v>
      </c>
      <c r="K1414" s="6">
        <v>11759.44</v>
      </c>
      <c r="L1414" s="4">
        <v>116</v>
      </c>
      <c r="M1414" s="2">
        <v>101.37</v>
      </c>
      <c r="N1414" s="6">
        <v>17001.07</v>
      </c>
      <c r="O1414" s="6">
        <f t="shared" si="111"/>
        <v>5241.6299999999992</v>
      </c>
      <c r="P1414" s="6">
        <f t="shared" si="112"/>
        <v>0.44573806235671076</v>
      </c>
      <c r="Q1414" s="3">
        <v>1.45</v>
      </c>
      <c r="R1414" t="str">
        <f t="shared" si="113"/>
        <v>Medium</v>
      </c>
      <c r="S1414" t="str">
        <f t="shared" si="114"/>
        <v>Valid</v>
      </c>
    </row>
    <row r="1415" spans="1:19" x14ac:dyDescent="0.25">
      <c r="A1415" s="1">
        <v>45631</v>
      </c>
      <c r="B1415" s="1" t="str">
        <f t="shared" si="110"/>
        <v>2024-12</v>
      </c>
      <c r="C1415" t="s">
        <v>14</v>
      </c>
      <c r="D1415" t="s">
        <v>21</v>
      </c>
      <c r="E1415" t="s">
        <v>16</v>
      </c>
      <c r="F1415" t="s">
        <v>20</v>
      </c>
      <c r="G1415" s="4">
        <v>160816</v>
      </c>
      <c r="H1415" s="4">
        <v>9745</v>
      </c>
      <c r="I1415" s="5">
        <v>6.0600000000000001E-2</v>
      </c>
      <c r="J1415" s="2">
        <v>1.22</v>
      </c>
      <c r="K1415" s="6">
        <v>11888.9</v>
      </c>
      <c r="L1415" s="4">
        <v>553</v>
      </c>
      <c r="M1415" s="2">
        <v>21.5</v>
      </c>
      <c r="N1415" s="6">
        <v>62922.41</v>
      </c>
      <c r="O1415" s="6">
        <f t="shared" si="111"/>
        <v>51033.51</v>
      </c>
      <c r="P1415" s="6">
        <f t="shared" si="112"/>
        <v>4.2925342125848482</v>
      </c>
      <c r="Q1415" s="3">
        <v>5.29</v>
      </c>
      <c r="R1415" t="str">
        <f t="shared" si="113"/>
        <v>High</v>
      </c>
      <c r="S1415" t="str">
        <f t="shared" si="114"/>
        <v>Valid</v>
      </c>
    </row>
    <row r="1416" spans="1:19" x14ac:dyDescent="0.25">
      <c r="A1416" s="1">
        <v>45537</v>
      </c>
      <c r="B1416" s="1" t="str">
        <f t="shared" si="110"/>
        <v>2024-09</v>
      </c>
      <c r="C1416" t="s">
        <v>14</v>
      </c>
      <c r="D1416" t="s">
        <v>29</v>
      </c>
      <c r="E1416" t="s">
        <v>22</v>
      </c>
      <c r="F1416" t="s">
        <v>20</v>
      </c>
      <c r="G1416" s="4">
        <v>23904</v>
      </c>
      <c r="H1416" s="4">
        <v>609</v>
      </c>
      <c r="I1416" s="5">
        <v>2.5499999999999998E-2</v>
      </c>
      <c r="J1416" s="2">
        <v>1.66</v>
      </c>
      <c r="K1416" s="6">
        <v>1010.94</v>
      </c>
      <c r="L1416" s="4">
        <v>35</v>
      </c>
      <c r="M1416" s="2">
        <v>28.88</v>
      </c>
      <c r="N1416" s="6">
        <v>7211.31</v>
      </c>
      <c r="O1416" s="6">
        <f t="shared" si="111"/>
        <v>6200.3700000000008</v>
      </c>
      <c r="P1416" s="6">
        <f t="shared" si="112"/>
        <v>6.1332720042732509</v>
      </c>
      <c r="Q1416" s="3">
        <v>7.13</v>
      </c>
      <c r="R1416" t="str">
        <f t="shared" si="113"/>
        <v>High</v>
      </c>
      <c r="S1416" t="str">
        <f t="shared" si="114"/>
        <v>Valid</v>
      </c>
    </row>
    <row r="1417" spans="1:19" x14ac:dyDescent="0.25">
      <c r="A1417" s="1">
        <v>45656</v>
      </c>
      <c r="B1417" s="1" t="str">
        <f t="shared" si="110"/>
        <v>2024-12</v>
      </c>
      <c r="C1417" t="s">
        <v>28</v>
      </c>
      <c r="D1417" t="s">
        <v>29</v>
      </c>
      <c r="E1417" t="s">
        <v>25</v>
      </c>
      <c r="F1417" t="s">
        <v>23</v>
      </c>
      <c r="G1417" s="4">
        <v>60448</v>
      </c>
      <c r="H1417" s="4">
        <v>1493</v>
      </c>
      <c r="I1417" s="5">
        <v>2.47E-2</v>
      </c>
      <c r="J1417" s="2">
        <v>2.29</v>
      </c>
      <c r="K1417" s="6">
        <v>3418.97</v>
      </c>
      <c r="L1417" s="4">
        <v>89</v>
      </c>
      <c r="M1417" s="2">
        <v>38.42</v>
      </c>
      <c r="N1417" s="6">
        <v>24577.78</v>
      </c>
      <c r="O1417" s="6">
        <f t="shared" si="111"/>
        <v>21158.809999999998</v>
      </c>
      <c r="P1417" s="6">
        <f t="shared" si="112"/>
        <v>6.1886503830100876</v>
      </c>
      <c r="Q1417" s="3">
        <v>7.19</v>
      </c>
      <c r="R1417" t="str">
        <f t="shared" si="113"/>
        <v>High</v>
      </c>
      <c r="S1417" t="str">
        <f t="shared" si="114"/>
        <v>Valid</v>
      </c>
    </row>
    <row r="1418" spans="1:19" x14ac:dyDescent="0.25">
      <c r="A1418" s="1">
        <v>45528</v>
      </c>
      <c r="B1418" s="1" t="str">
        <f t="shared" si="110"/>
        <v>2024-08</v>
      </c>
      <c r="C1418" t="s">
        <v>18</v>
      </c>
      <c r="D1418" t="s">
        <v>21</v>
      </c>
      <c r="E1418" t="s">
        <v>16</v>
      </c>
      <c r="F1418" t="s">
        <v>17</v>
      </c>
      <c r="G1418" s="4">
        <v>138332</v>
      </c>
      <c r="H1418" s="4">
        <v>9558</v>
      </c>
      <c r="I1418" s="5">
        <v>6.9099999999999995E-2</v>
      </c>
      <c r="J1418" s="2">
        <v>0.35</v>
      </c>
      <c r="K1418" s="6">
        <v>3345.3</v>
      </c>
      <c r="L1418" s="4">
        <v>195</v>
      </c>
      <c r="M1418" s="2">
        <v>17.16</v>
      </c>
      <c r="N1418" s="6">
        <v>26087.06</v>
      </c>
      <c r="O1418" s="6">
        <f t="shared" si="111"/>
        <v>22741.760000000002</v>
      </c>
      <c r="P1418" s="6">
        <f t="shared" si="112"/>
        <v>6.7981227393656773</v>
      </c>
      <c r="Q1418" s="3">
        <v>7.8</v>
      </c>
      <c r="R1418" t="str">
        <f t="shared" si="113"/>
        <v>High</v>
      </c>
      <c r="S1418" t="str">
        <f t="shared" si="114"/>
        <v>Valid</v>
      </c>
    </row>
    <row r="1419" spans="1:19" x14ac:dyDescent="0.25">
      <c r="A1419" s="1">
        <v>45363</v>
      </c>
      <c r="B1419" s="1" t="str">
        <f t="shared" si="110"/>
        <v>2024-03</v>
      </c>
      <c r="C1419" t="s">
        <v>14</v>
      </c>
      <c r="D1419" t="s">
        <v>21</v>
      </c>
      <c r="E1419" t="s">
        <v>25</v>
      </c>
      <c r="F1419" t="s">
        <v>31</v>
      </c>
      <c r="G1419" s="4">
        <v>112399</v>
      </c>
      <c r="H1419" s="4">
        <v>3585</v>
      </c>
      <c r="I1419" s="5">
        <v>3.1899999999999998E-2</v>
      </c>
      <c r="J1419" s="2">
        <v>3.11</v>
      </c>
      <c r="K1419" s="6">
        <v>11149.35</v>
      </c>
      <c r="L1419" s="4">
        <v>91</v>
      </c>
      <c r="M1419" s="2">
        <v>122.52</v>
      </c>
      <c r="N1419" s="6">
        <v>20140.14</v>
      </c>
      <c r="O1419" s="6">
        <f t="shared" si="111"/>
        <v>8990.7899999999991</v>
      </c>
      <c r="P1419" s="6">
        <f t="shared" si="112"/>
        <v>0.80639588854955657</v>
      </c>
      <c r="Q1419" s="3">
        <v>1.81</v>
      </c>
      <c r="R1419" t="str">
        <f t="shared" si="113"/>
        <v>Medium</v>
      </c>
      <c r="S1419" t="str">
        <f t="shared" si="114"/>
        <v>Valid</v>
      </c>
    </row>
    <row r="1420" spans="1:19" x14ac:dyDescent="0.25">
      <c r="A1420" s="1">
        <v>45338</v>
      </c>
      <c r="B1420" s="1" t="str">
        <f t="shared" si="110"/>
        <v>2024-02</v>
      </c>
      <c r="C1420" t="s">
        <v>14</v>
      </c>
      <c r="D1420" t="s">
        <v>21</v>
      </c>
      <c r="E1420" t="s">
        <v>30</v>
      </c>
      <c r="F1420" t="s">
        <v>26</v>
      </c>
      <c r="G1420" s="4">
        <v>180069</v>
      </c>
      <c r="H1420" s="4">
        <v>5780</v>
      </c>
      <c r="I1420" s="5">
        <v>3.2099999999999997E-2</v>
      </c>
      <c r="J1420" s="2">
        <v>1.47</v>
      </c>
      <c r="K1420" s="6">
        <v>8496.6</v>
      </c>
      <c r="L1420" s="4">
        <v>272</v>
      </c>
      <c r="M1420" s="2">
        <v>31.24</v>
      </c>
      <c r="N1420" s="6">
        <v>74348.97</v>
      </c>
      <c r="O1420" s="6">
        <f t="shared" si="111"/>
        <v>65852.37</v>
      </c>
      <c r="P1420" s="6">
        <f t="shared" si="112"/>
        <v>7.7504378221876982</v>
      </c>
      <c r="Q1420" s="3">
        <v>8.75</v>
      </c>
      <c r="R1420" t="str">
        <f t="shared" si="113"/>
        <v>High</v>
      </c>
      <c r="S1420" t="str">
        <f t="shared" si="114"/>
        <v>Valid</v>
      </c>
    </row>
    <row r="1421" spans="1:19" x14ac:dyDescent="0.25">
      <c r="A1421" s="1">
        <v>45562</v>
      </c>
      <c r="B1421" s="1" t="str">
        <f t="shared" si="110"/>
        <v>2024-09</v>
      </c>
      <c r="C1421" t="s">
        <v>28</v>
      </c>
      <c r="D1421" t="s">
        <v>24</v>
      </c>
      <c r="E1421" t="s">
        <v>16</v>
      </c>
      <c r="F1421" t="s">
        <v>23</v>
      </c>
      <c r="G1421" s="4">
        <v>155354</v>
      </c>
      <c r="H1421" s="4">
        <v>3371</v>
      </c>
      <c r="I1421" s="5">
        <v>2.1700000000000001E-2</v>
      </c>
      <c r="J1421" s="2">
        <v>1.27</v>
      </c>
      <c r="K1421" s="6">
        <v>4281.17</v>
      </c>
      <c r="L1421" s="4">
        <v>100</v>
      </c>
      <c r="M1421" s="2">
        <v>42.81</v>
      </c>
      <c r="N1421" s="6">
        <v>7916.95</v>
      </c>
      <c r="O1421" s="6">
        <f t="shared" si="111"/>
        <v>3635.7799999999997</v>
      </c>
      <c r="P1421" s="6">
        <f t="shared" si="112"/>
        <v>0.84924915385280186</v>
      </c>
      <c r="Q1421" s="3">
        <v>1.85</v>
      </c>
      <c r="R1421" t="str">
        <f t="shared" si="113"/>
        <v>Medium</v>
      </c>
      <c r="S1421" t="str">
        <f t="shared" si="114"/>
        <v>Valid</v>
      </c>
    </row>
    <row r="1422" spans="1:19" x14ac:dyDescent="0.25">
      <c r="A1422" s="1">
        <v>45427</v>
      </c>
      <c r="B1422" s="1" t="str">
        <f t="shared" si="110"/>
        <v>2024-05</v>
      </c>
      <c r="C1422" t="s">
        <v>28</v>
      </c>
      <c r="D1422" t="s">
        <v>24</v>
      </c>
      <c r="E1422" t="s">
        <v>16</v>
      </c>
      <c r="F1422" t="s">
        <v>17</v>
      </c>
      <c r="G1422" s="4">
        <v>163564</v>
      </c>
      <c r="H1422" s="4">
        <v>1946</v>
      </c>
      <c r="I1422" s="5">
        <v>1.1900000000000001E-2</v>
      </c>
      <c r="J1422" s="2">
        <v>0.66</v>
      </c>
      <c r="K1422" s="6">
        <v>1284.3599999999999</v>
      </c>
      <c r="L1422" s="4">
        <v>72</v>
      </c>
      <c r="M1422" s="2">
        <v>17.84</v>
      </c>
      <c r="N1422" s="6">
        <v>6787.22</v>
      </c>
      <c r="O1422" s="6">
        <f t="shared" si="111"/>
        <v>5502.8600000000006</v>
      </c>
      <c r="P1422" s="6">
        <f t="shared" si="112"/>
        <v>4.2845152449469008</v>
      </c>
      <c r="Q1422" s="3">
        <v>5.28</v>
      </c>
      <c r="R1422" t="str">
        <f t="shared" si="113"/>
        <v>High</v>
      </c>
      <c r="S1422" t="str">
        <f t="shared" si="114"/>
        <v>Valid</v>
      </c>
    </row>
    <row r="1423" spans="1:19" x14ac:dyDescent="0.25">
      <c r="A1423" s="1">
        <v>45302</v>
      </c>
      <c r="B1423" s="1" t="str">
        <f t="shared" si="110"/>
        <v>2024-01</v>
      </c>
      <c r="C1423" t="s">
        <v>18</v>
      </c>
      <c r="D1423" t="s">
        <v>29</v>
      </c>
      <c r="E1423" t="s">
        <v>16</v>
      </c>
      <c r="F1423" t="s">
        <v>20</v>
      </c>
      <c r="G1423" s="4">
        <v>146587</v>
      </c>
      <c r="H1423" s="4">
        <v>5995</v>
      </c>
      <c r="I1423" s="5">
        <v>4.0899999999999999E-2</v>
      </c>
      <c r="J1423" s="2">
        <v>1.52</v>
      </c>
      <c r="K1423" s="6">
        <v>9112.4</v>
      </c>
      <c r="L1423" s="4">
        <v>161</v>
      </c>
      <c r="M1423" s="2">
        <v>56.6</v>
      </c>
      <c r="N1423" s="6">
        <v>27684.26</v>
      </c>
      <c r="O1423" s="6">
        <f t="shared" si="111"/>
        <v>18571.86</v>
      </c>
      <c r="P1423" s="6">
        <f t="shared" si="112"/>
        <v>2.0380865633642071</v>
      </c>
      <c r="Q1423" s="3">
        <v>3.04</v>
      </c>
      <c r="R1423" t="str">
        <f t="shared" si="113"/>
        <v>High</v>
      </c>
      <c r="S1423" t="str">
        <f t="shared" si="114"/>
        <v>Valid</v>
      </c>
    </row>
    <row r="1424" spans="1:19" x14ac:dyDescent="0.25">
      <c r="A1424" s="1">
        <v>45380</v>
      </c>
      <c r="B1424" s="1" t="str">
        <f t="shared" si="110"/>
        <v>2024-03</v>
      </c>
      <c r="C1424" t="s">
        <v>14</v>
      </c>
      <c r="D1424" t="s">
        <v>29</v>
      </c>
      <c r="E1424" t="s">
        <v>22</v>
      </c>
      <c r="F1424" t="s">
        <v>23</v>
      </c>
      <c r="G1424" s="4">
        <v>79843</v>
      </c>
      <c r="H1424" s="4">
        <v>2427</v>
      </c>
      <c r="I1424" s="5">
        <v>3.04E-2</v>
      </c>
      <c r="J1424" s="2">
        <v>1.43</v>
      </c>
      <c r="K1424" s="6">
        <v>3470.61</v>
      </c>
      <c r="L1424" s="4">
        <v>127</v>
      </c>
      <c r="M1424" s="2">
        <v>27.33</v>
      </c>
      <c r="N1424" s="6">
        <v>27833.99</v>
      </c>
      <c r="O1424" s="6">
        <f t="shared" si="111"/>
        <v>24363.38</v>
      </c>
      <c r="P1424" s="6">
        <f t="shared" si="112"/>
        <v>7.0199129259697859</v>
      </c>
      <c r="Q1424" s="3">
        <v>8.02</v>
      </c>
      <c r="R1424" t="str">
        <f t="shared" si="113"/>
        <v>High</v>
      </c>
      <c r="S1424" t="str">
        <f t="shared" si="114"/>
        <v>Valid</v>
      </c>
    </row>
    <row r="1425" spans="1:19" x14ac:dyDescent="0.25">
      <c r="A1425" s="1">
        <v>45576</v>
      </c>
      <c r="B1425" s="1" t="str">
        <f t="shared" si="110"/>
        <v>2024-10</v>
      </c>
      <c r="C1425" t="s">
        <v>28</v>
      </c>
      <c r="D1425" t="s">
        <v>21</v>
      </c>
      <c r="E1425" t="s">
        <v>25</v>
      </c>
      <c r="F1425" t="s">
        <v>27</v>
      </c>
      <c r="G1425" s="4">
        <v>128245</v>
      </c>
      <c r="H1425" s="4">
        <v>2949</v>
      </c>
      <c r="I1425" s="5">
        <v>2.3E-2</v>
      </c>
      <c r="J1425" s="2">
        <v>1.59</v>
      </c>
      <c r="K1425" s="6">
        <v>4688.91</v>
      </c>
      <c r="L1425" s="4">
        <v>85</v>
      </c>
      <c r="M1425" s="2">
        <v>55.16</v>
      </c>
      <c r="N1425" s="6">
        <v>8616.7199999999993</v>
      </c>
      <c r="O1425" s="6">
        <f t="shared" si="111"/>
        <v>3927.8099999999995</v>
      </c>
      <c r="P1425" s="6">
        <f t="shared" si="112"/>
        <v>0.83768082560765711</v>
      </c>
      <c r="Q1425" s="3">
        <v>1.84</v>
      </c>
      <c r="R1425" t="str">
        <f t="shared" si="113"/>
        <v>Medium</v>
      </c>
      <c r="S1425" t="str">
        <f t="shared" si="114"/>
        <v>Valid</v>
      </c>
    </row>
    <row r="1426" spans="1:19" x14ac:dyDescent="0.25">
      <c r="A1426" s="1">
        <v>45561</v>
      </c>
      <c r="B1426" s="1" t="str">
        <f t="shared" si="110"/>
        <v>2024-09</v>
      </c>
      <c r="C1426" t="s">
        <v>14</v>
      </c>
      <c r="D1426" t="s">
        <v>24</v>
      </c>
      <c r="E1426" t="s">
        <v>16</v>
      </c>
      <c r="F1426" t="s">
        <v>32</v>
      </c>
      <c r="G1426" s="4">
        <v>161252</v>
      </c>
      <c r="H1426" s="4">
        <v>8046</v>
      </c>
      <c r="I1426" s="5">
        <v>4.99E-2</v>
      </c>
      <c r="J1426" s="2">
        <v>3.05</v>
      </c>
      <c r="K1426" s="6">
        <v>24540.3</v>
      </c>
      <c r="L1426" s="4">
        <v>550</v>
      </c>
      <c r="M1426" s="2">
        <v>44.62</v>
      </c>
      <c r="N1426" s="6">
        <v>130994.6</v>
      </c>
      <c r="O1426" s="6">
        <f t="shared" si="111"/>
        <v>106454.3</v>
      </c>
      <c r="P1426" s="6">
        <f t="shared" si="112"/>
        <v>4.3379380040178814</v>
      </c>
      <c r="Q1426" s="3">
        <v>5.34</v>
      </c>
      <c r="R1426" t="str">
        <f t="shared" si="113"/>
        <v>High</v>
      </c>
      <c r="S1426" t="str">
        <f t="shared" si="114"/>
        <v>Valid</v>
      </c>
    </row>
    <row r="1427" spans="1:19" x14ac:dyDescent="0.25">
      <c r="A1427" s="1">
        <v>45315</v>
      </c>
      <c r="B1427" s="1" t="str">
        <f t="shared" si="110"/>
        <v>2024-01</v>
      </c>
      <c r="C1427" t="s">
        <v>18</v>
      </c>
      <c r="D1427" t="s">
        <v>24</v>
      </c>
      <c r="E1427" t="s">
        <v>25</v>
      </c>
      <c r="F1427" t="s">
        <v>26</v>
      </c>
      <c r="G1427" s="4">
        <v>107262</v>
      </c>
      <c r="H1427" s="4">
        <v>5127</v>
      </c>
      <c r="I1427" s="5">
        <v>4.7800000000000002E-2</v>
      </c>
      <c r="J1427" s="2">
        <v>1.24</v>
      </c>
      <c r="K1427" s="6">
        <v>6357.48</v>
      </c>
      <c r="L1427" s="4">
        <v>343</v>
      </c>
      <c r="M1427" s="2">
        <v>18.53</v>
      </c>
      <c r="N1427" s="6">
        <v>93405.13</v>
      </c>
      <c r="O1427" s="6">
        <f t="shared" si="111"/>
        <v>87047.650000000009</v>
      </c>
      <c r="P1427" s="6">
        <f t="shared" si="112"/>
        <v>13.692162617892626</v>
      </c>
      <c r="Q1427" s="3">
        <v>14.69</v>
      </c>
      <c r="R1427" t="str">
        <f t="shared" si="113"/>
        <v>High</v>
      </c>
      <c r="S1427" t="str">
        <f t="shared" si="114"/>
        <v>Valid</v>
      </c>
    </row>
    <row r="1428" spans="1:19" x14ac:dyDescent="0.25">
      <c r="A1428" s="1">
        <v>45436</v>
      </c>
      <c r="B1428" s="1" t="str">
        <f t="shared" si="110"/>
        <v>2024-05</v>
      </c>
      <c r="C1428" t="s">
        <v>28</v>
      </c>
      <c r="D1428" t="s">
        <v>21</v>
      </c>
      <c r="E1428" t="s">
        <v>25</v>
      </c>
      <c r="F1428" t="s">
        <v>26</v>
      </c>
      <c r="G1428" s="4">
        <v>22139</v>
      </c>
      <c r="H1428" s="4">
        <v>458</v>
      </c>
      <c r="I1428" s="5">
        <v>2.07E-2</v>
      </c>
      <c r="J1428" s="2">
        <v>0.43</v>
      </c>
      <c r="K1428" s="6">
        <v>196.94</v>
      </c>
      <c r="L1428" s="4">
        <v>8</v>
      </c>
      <c r="M1428" s="2">
        <v>24.62</v>
      </c>
      <c r="N1428" s="6">
        <v>2367.39</v>
      </c>
      <c r="O1428" s="6">
        <f t="shared" si="111"/>
        <v>2170.4499999999998</v>
      </c>
      <c r="P1428" s="6">
        <f t="shared" si="112"/>
        <v>11.020869300294505</v>
      </c>
      <c r="Q1428" s="3">
        <v>12.02</v>
      </c>
      <c r="R1428" t="str">
        <f t="shared" si="113"/>
        <v>High</v>
      </c>
      <c r="S1428" t="str">
        <f t="shared" si="114"/>
        <v>Valid</v>
      </c>
    </row>
    <row r="1429" spans="1:19" x14ac:dyDescent="0.25">
      <c r="A1429" s="1">
        <v>45399</v>
      </c>
      <c r="B1429" s="1" t="str">
        <f t="shared" si="110"/>
        <v>2024-04</v>
      </c>
      <c r="C1429" t="s">
        <v>28</v>
      </c>
      <c r="D1429" t="s">
        <v>24</v>
      </c>
      <c r="E1429" t="s">
        <v>25</v>
      </c>
      <c r="F1429" t="s">
        <v>31</v>
      </c>
      <c r="G1429" s="4">
        <v>30618</v>
      </c>
      <c r="H1429" s="4">
        <v>719</v>
      </c>
      <c r="I1429" s="5">
        <v>2.35E-2</v>
      </c>
      <c r="J1429" s="2">
        <v>1.27</v>
      </c>
      <c r="K1429" s="6">
        <v>913.13</v>
      </c>
      <c r="L1429" s="4">
        <v>40</v>
      </c>
      <c r="M1429" s="2">
        <v>22.83</v>
      </c>
      <c r="N1429" s="6">
        <v>6289.61</v>
      </c>
      <c r="O1429" s="6">
        <f t="shared" si="111"/>
        <v>5376.48</v>
      </c>
      <c r="P1429" s="6">
        <f t="shared" si="112"/>
        <v>5.8879677592456714</v>
      </c>
      <c r="Q1429" s="3">
        <v>6.89</v>
      </c>
      <c r="R1429" t="str">
        <f t="shared" si="113"/>
        <v>High</v>
      </c>
      <c r="S1429" t="str">
        <f t="shared" si="114"/>
        <v>Valid</v>
      </c>
    </row>
    <row r="1430" spans="1:19" x14ac:dyDescent="0.25">
      <c r="A1430" s="1">
        <v>45638</v>
      </c>
      <c r="B1430" s="1" t="str">
        <f t="shared" si="110"/>
        <v>2024-12</v>
      </c>
      <c r="C1430" t="s">
        <v>14</v>
      </c>
      <c r="D1430" t="s">
        <v>15</v>
      </c>
      <c r="E1430" t="s">
        <v>22</v>
      </c>
      <c r="F1430" t="s">
        <v>27</v>
      </c>
      <c r="G1430" s="4">
        <v>78606</v>
      </c>
      <c r="H1430" s="4">
        <v>3914</v>
      </c>
      <c r="I1430" s="5">
        <v>4.9799999999999997E-2</v>
      </c>
      <c r="J1430" s="2">
        <v>1.23</v>
      </c>
      <c r="K1430" s="6">
        <v>4814.22</v>
      </c>
      <c r="L1430" s="4">
        <v>88</v>
      </c>
      <c r="M1430" s="2">
        <v>54.71</v>
      </c>
      <c r="N1430" s="6">
        <v>6101.96</v>
      </c>
      <c r="O1430" s="6">
        <f t="shared" si="111"/>
        <v>1287.7399999999998</v>
      </c>
      <c r="P1430" s="6">
        <f t="shared" si="112"/>
        <v>0.26748673720768884</v>
      </c>
      <c r="Q1430" s="3">
        <v>1.27</v>
      </c>
      <c r="R1430" t="str">
        <f t="shared" si="113"/>
        <v>Medium</v>
      </c>
      <c r="S1430" t="str">
        <f t="shared" si="114"/>
        <v>Valid</v>
      </c>
    </row>
    <row r="1431" spans="1:19" x14ac:dyDescent="0.25">
      <c r="A1431" s="1">
        <v>45344</v>
      </c>
      <c r="B1431" s="1" t="str">
        <f t="shared" si="110"/>
        <v>2024-02</v>
      </c>
      <c r="C1431" t="s">
        <v>14</v>
      </c>
      <c r="D1431" t="s">
        <v>29</v>
      </c>
      <c r="E1431" t="s">
        <v>25</v>
      </c>
      <c r="F1431" t="s">
        <v>26</v>
      </c>
      <c r="G1431" s="4">
        <v>31885</v>
      </c>
      <c r="H1431" s="4">
        <v>1613</v>
      </c>
      <c r="I1431" s="5">
        <v>5.0599999999999999E-2</v>
      </c>
      <c r="J1431" s="2">
        <v>1.01</v>
      </c>
      <c r="K1431" s="6">
        <v>1629.13</v>
      </c>
      <c r="L1431" s="4">
        <v>67</v>
      </c>
      <c r="M1431" s="2">
        <v>24.32</v>
      </c>
      <c r="N1431" s="6">
        <v>19023.45</v>
      </c>
      <c r="O1431" s="6">
        <f t="shared" si="111"/>
        <v>17394.32</v>
      </c>
      <c r="P1431" s="6">
        <f t="shared" si="112"/>
        <v>10.677060762492863</v>
      </c>
      <c r="Q1431" s="3">
        <v>11.68</v>
      </c>
      <c r="R1431" t="str">
        <f t="shared" si="113"/>
        <v>High</v>
      </c>
      <c r="S1431" t="str">
        <f t="shared" si="114"/>
        <v>Valid</v>
      </c>
    </row>
    <row r="1432" spans="1:19" x14ac:dyDescent="0.25">
      <c r="A1432" s="1">
        <v>45522</v>
      </c>
      <c r="B1432" s="1" t="str">
        <f t="shared" si="110"/>
        <v>2024-08</v>
      </c>
      <c r="C1432" t="s">
        <v>18</v>
      </c>
      <c r="D1432" t="s">
        <v>24</v>
      </c>
      <c r="E1432" t="s">
        <v>19</v>
      </c>
      <c r="F1432" t="s">
        <v>27</v>
      </c>
      <c r="G1432" s="4">
        <v>11713</v>
      </c>
      <c r="H1432" s="4">
        <v>334</v>
      </c>
      <c r="I1432" s="5">
        <v>2.86E-2</v>
      </c>
      <c r="J1432" s="2">
        <v>1.46</v>
      </c>
      <c r="K1432" s="6">
        <v>487.64</v>
      </c>
      <c r="L1432" s="4">
        <v>13</v>
      </c>
      <c r="M1432" s="2">
        <v>37.51</v>
      </c>
      <c r="N1432" s="6">
        <v>2344.33</v>
      </c>
      <c r="O1432" s="6">
        <f t="shared" si="111"/>
        <v>1856.69</v>
      </c>
      <c r="P1432" s="6">
        <f t="shared" si="112"/>
        <v>3.8075014354851944</v>
      </c>
      <c r="Q1432" s="3">
        <v>4.8099999999999996</v>
      </c>
      <c r="R1432" t="str">
        <f t="shared" si="113"/>
        <v>High</v>
      </c>
      <c r="S1432" t="str">
        <f t="shared" si="114"/>
        <v>Valid</v>
      </c>
    </row>
    <row r="1433" spans="1:19" x14ac:dyDescent="0.25">
      <c r="A1433" s="1">
        <v>45386</v>
      </c>
      <c r="B1433" s="1" t="str">
        <f t="shared" si="110"/>
        <v>2024-04</v>
      </c>
      <c r="C1433" t="s">
        <v>28</v>
      </c>
      <c r="D1433" t="s">
        <v>24</v>
      </c>
      <c r="E1433" t="s">
        <v>30</v>
      </c>
      <c r="F1433" t="s">
        <v>20</v>
      </c>
      <c r="G1433" s="4">
        <v>26637</v>
      </c>
      <c r="H1433" s="4">
        <v>479</v>
      </c>
      <c r="I1433" s="5">
        <v>1.7999999999999999E-2</v>
      </c>
      <c r="J1433" s="2">
        <v>0.83</v>
      </c>
      <c r="K1433" s="6">
        <v>397.57</v>
      </c>
      <c r="L1433" s="4">
        <v>35</v>
      </c>
      <c r="M1433" s="2">
        <v>11.36</v>
      </c>
      <c r="N1433" s="6">
        <v>1488.52</v>
      </c>
      <c r="O1433" s="6">
        <f t="shared" si="111"/>
        <v>1090.95</v>
      </c>
      <c r="P1433" s="6">
        <f t="shared" si="112"/>
        <v>2.7440450738234778</v>
      </c>
      <c r="Q1433" s="3">
        <v>3.74</v>
      </c>
      <c r="R1433" t="str">
        <f t="shared" si="113"/>
        <v>High</v>
      </c>
      <c r="S1433" t="str">
        <f t="shared" si="114"/>
        <v>Valid</v>
      </c>
    </row>
    <row r="1434" spans="1:19" x14ac:dyDescent="0.25">
      <c r="A1434" s="1">
        <v>45503</v>
      </c>
      <c r="B1434" s="1" t="str">
        <f t="shared" si="110"/>
        <v>2024-07</v>
      </c>
      <c r="C1434" t="s">
        <v>14</v>
      </c>
      <c r="D1434" t="s">
        <v>29</v>
      </c>
      <c r="E1434" t="s">
        <v>19</v>
      </c>
      <c r="F1434" t="s">
        <v>31</v>
      </c>
      <c r="G1434" s="4">
        <v>44387</v>
      </c>
      <c r="H1434" s="4">
        <v>1886</v>
      </c>
      <c r="I1434" s="5">
        <v>4.2500000000000003E-2</v>
      </c>
      <c r="J1434" s="2">
        <v>2.81</v>
      </c>
      <c r="K1434" s="6">
        <v>5299.66</v>
      </c>
      <c r="L1434" s="4">
        <v>112</v>
      </c>
      <c r="M1434" s="2">
        <v>47.32</v>
      </c>
      <c r="N1434" s="6">
        <v>16115.2</v>
      </c>
      <c r="O1434" s="6">
        <f t="shared" si="111"/>
        <v>10815.54</v>
      </c>
      <c r="P1434" s="6">
        <f t="shared" si="112"/>
        <v>2.0407988436994073</v>
      </c>
      <c r="Q1434" s="3">
        <v>3.04</v>
      </c>
      <c r="R1434" t="str">
        <f t="shared" si="113"/>
        <v>High</v>
      </c>
      <c r="S1434" t="str">
        <f t="shared" si="114"/>
        <v>Valid</v>
      </c>
    </row>
    <row r="1435" spans="1:19" x14ac:dyDescent="0.25">
      <c r="A1435" s="1">
        <v>45294</v>
      </c>
      <c r="B1435" s="1" t="str">
        <f t="shared" si="110"/>
        <v>2024-01</v>
      </c>
      <c r="C1435" t="s">
        <v>28</v>
      </c>
      <c r="D1435" t="s">
        <v>15</v>
      </c>
      <c r="E1435" t="s">
        <v>30</v>
      </c>
      <c r="F1435" t="s">
        <v>20</v>
      </c>
      <c r="G1435" s="4">
        <v>91392</v>
      </c>
      <c r="H1435" s="4">
        <v>2705</v>
      </c>
      <c r="I1435" s="5">
        <v>2.9600000000000001E-2</v>
      </c>
      <c r="J1435" s="2">
        <v>2.04</v>
      </c>
      <c r="K1435" s="6">
        <v>5518.2</v>
      </c>
      <c r="L1435" s="4">
        <v>87</v>
      </c>
      <c r="M1435" s="2">
        <v>63.43</v>
      </c>
      <c r="N1435" s="6">
        <v>12147.08</v>
      </c>
      <c r="O1435" s="6">
        <f t="shared" si="111"/>
        <v>6628.88</v>
      </c>
      <c r="P1435" s="6">
        <f t="shared" si="112"/>
        <v>1.2012757783335146</v>
      </c>
      <c r="Q1435" s="3">
        <v>2.2000000000000002</v>
      </c>
      <c r="R1435" t="str">
        <f t="shared" si="113"/>
        <v>Medium</v>
      </c>
      <c r="S1435" t="str">
        <f t="shared" si="114"/>
        <v>Valid</v>
      </c>
    </row>
    <row r="1436" spans="1:19" x14ac:dyDescent="0.25">
      <c r="A1436" s="1">
        <v>45559</v>
      </c>
      <c r="B1436" s="1" t="str">
        <f t="shared" si="110"/>
        <v>2024-09</v>
      </c>
      <c r="C1436" t="s">
        <v>18</v>
      </c>
      <c r="D1436" t="s">
        <v>15</v>
      </c>
      <c r="E1436" t="s">
        <v>19</v>
      </c>
      <c r="F1436" t="s">
        <v>20</v>
      </c>
      <c r="G1436" s="4">
        <v>31727</v>
      </c>
      <c r="H1436" s="4">
        <v>2233</v>
      </c>
      <c r="I1436" s="5">
        <v>7.0400000000000004E-2</v>
      </c>
      <c r="J1436" s="2">
        <v>0.46</v>
      </c>
      <c r="K1436" s="6">
        <v>1027.18</v>
      </c>
      <c r="L1436" s="4">
        <v>74</v>
      </c>
      <c r="M1436" s="2">
        <v>13.88</v>
      </c>
      <c r="N1436" s="6">
        <v>9946.57</v>
      </c>
      <c r="O1436" s="6">
        <f t="shared" si="111"/>
        <v>8919.39</v>
      </c>
      <c r="P1436" s="6">
        <f t="shared" si="112"/>
        <v>8.6833758445452585</v>
      </c>
      <c r="Q1436" s="3">
        <v>9.68</v>
      </c>
      <c r="R1436" t="str">
        <f t="shared" si="113"/>
        <v>High</v>
      </c>
      <c r="S1436" t="str">
        <f t="shared" si="114"/>
        <v>Valid</v>
      </c>
    </row>
    <row r="1437" spans="1:19" x14ac:dyDescent="0.25">
      <c r="A1437" s="1">
        <v>45527</v>
      </c>
      <c r="B1437" s="1" t="str">
        <f t="shared" si="110"/>
        <v>2024-08</v>
      </c>
      <c r="C1437" t="s">
        <v>28</v>
      </c>
      <c r="D1437" t="s">
        <v>24</v>
      </c>
      <c r="E1437" t="s">
        <v>25</v>
      </c>
      <c r="F1437" t="s">
        <v>26</v>
      </c>
      <c r="G1437" s="4">
        <v>154676</v>
      </c>
      <c r="H1437" s="4">
        <v>1624</v>
      </c>
      <c r="I1437" s="5">
        <v>1.0500000000000001E-2</v>
      </c>
      <c r="J1437" s="2">
        <v>1.69</v>
      </c>
      <c r="K1437" s="6">
        <v>2744.56</v>
      </c>
      <c r="L1437" s="4">
        <v>26</v>
      </c>
      <c r="M1437" s="2">
        <v>105.56</v>
      </c>
      <c r="N1437" s="6">
        <v>1813.36</v>
      </c>
      <c r="O1437" s="6">
        <f t="shared" si="111"/>
        <v>-931.2</v>
      </c>
      <c r="P1437" s="6">
        <f t="shared" si="112"/>
        <v>-0.33928935785699715</v>
      </c>
      <c r="Q1437" s="3">
        <v>0.66</v>
      </c>
      <c r="R1437" t="str">
        <f t="shared" si="113"/>
        <v>Low</v>
      </c>
      <c r="S1437" t="str">
        <f t="shared" si="114"/>
        <v>Valid</v>
      </c>
    </row>
    <row r="1438" spans="1:19" x14ac:dyDescent="0.25">
      <c r="A1438" s="1">
        <v>45518</v>
      </c>
      <c r="B1438" s="1" t="str">
        <f t="shared" si="110"/>
        <v>2024-08</v>
      </c>
      <c r="C1438" t="s">
        <v>28</v>
      </c>
      <c r="D1438" t="s">
        <v>24</v>
      </c>
      <c r="E1438" t="s">
        <v>30</v>
      </c>
      <c r="F1438" t="s">
        <v>20</v>
      </c>
      <c r="G1438" s="4">
        <v>122710</v>
      </c>
      <c r="H1438" s="4">
        <v>5129</v>
      </c>
      <c r="I1438" s="5">
        <v>4.1799999999999997E-2</v>
      </c>
      <c r="J1438" s="2">
        <v>1.02</v>
      </c>
      <c r="K1438" s="6">
        <v>5231.58</v>
      </c>
      <c r="L1438" s="4">
        <v>157</v>
      </c>
      <c r="M1438" s="2">
        <v>33.32</v>
      </c>
      <c r="N1438" s="6">
        <v>24344.87</v>
      </c>
      <c r="O1438" s="6">
        <f t="shared" si="111"/>
        <v>19113.29</v>
      </c>
      <c r="P1438" s="6">
        <f t="shared" si="112"/>
        <v>3.653445039548282</v>
      </c>
      <c r="Q1438" s="3">
        <v>4.6500000000000004</v>
      </c>
      <c r="R1438" t="str">
        <f t="shared" si="113"/>
        <v>High</v>
      </c>
      <c r="S1438" t="str">
        <f t="shared" si="114"/>
        <v>Valid</v>
      </c>
    </row>
    <row r="1439" spans="1:19" x14ac:dyDescent="0.25">
      <c r="A1439" s="1">
        <v>45648</v>
      </c>
      <c r="B1439" s="1" t="str">
        <f t="shared" si="110"/>
        <v>2024-12</v>
      </c>
      <c r="C1439" t="s">
        <v>18</v>
      </c>
      <c r="D1439" t="s">
        <v>15</v>
      </c>
      <c r="E1439" t="s">
        <v>19</v>
      </c>
      <c r="F1439" t="s">
        <v>27</v>
      </c>
      <c r="G1439" s="4">
        <v>194117</v>
      </c>
      <c r="H1439" s="4">
        <v>16422</v>
      </c>
      <c r="I1439" s="5">
        <v>8.4599999999999995E-2</v>
      </c>
      <c r="J1439" s="2">
        <v>1.33</v>
      </c>
      <c r="K1439" s="6">
        <v>21841.26</v>
      </c>
      <c r="L1439" s="4">
        <v>1133</v>
      </c>
      <c r="M1439" s="2">
        <v>19.28</v>
      </c>
      <c r="N1439" s="6">
        <v>121361.12</v>
      </c>
      <c r="O1439" s="6">
        <f t="shared" si="111"/>
        <v>99519.86</v>
      </c>
      <c r="P1439" s="6">
        <f t="shared" si="112"/>
        <v>4.55650727110066</v>
      </c>
      <c r="Q1439" s="3">
        <v>5.56</v>
      </c>
      <c r="R1439" t="str">
        <f t="shared" si="113"/>
        <v>High</v>
      </c>
      <c r="S1439" t="str">
        <f t="shared" si="114"/>
        <v>Valid</v>
      </c>
    </row>
    <row r="1440" spans="1:19" x14ac:dyDescent="0.25">
      <c r="A1440" s="1">
        <v>45325</v>
      </c>
      <c r="B1440" s="1" t="str">
        <f t="shared" si="110"/>
        <v>2024-02</v>
      </c>
      <c r="C1440" t="s">
        <v>18</v>
      </c>
      <c r="D1440" t="s">
        <v>24</v>
      </c>
      <c r="E1440" t="s">
        <v>22</v>
      </c>
      <c r="F1440" t="s">
        <v>32</v>
      </c>
      <c r="G1440" s="4">
        <v>23043</v>
      </c>
      <c r="H1440" s="4">
        <v>1534</v>
      </c>
      <c r="I1440" s="5">
        <v>6.6600000000000006E-2</v>
      </c>
      <c r="J1440" s="2">
        <v>1.36</v>
      </c>
      <c r="K1440" s="6">
        <v>2086.2399999999998</v>
      </c>
      <c r="L1440" s="4">
        <v>119</v>
      </c>
      <c r="M1440" s="2">
        <v>17.53</v>
      </c>
      <c r="N1440" s="6">
        <v>6284.67</v>
      </c>
      <c r="O1440" s="6">
        <f t="shared" si="111"/>
        <v>4198.43</v>
      </c>
      <c r="P1440" s="6">
        <f t="shared" si="112"/>
        <v>2.012438645601657</v>
      </c>
      <c r="Q1440" s="3">
        <v>3.01</v>
      </c>
      <c r="R1440" t="str">
        <f t="shared" si="113"/>
        <v>High</v>
      </c>
      <c r="S1440" t="str">
        <f t="shared" si="114"/>
        <v>Valid</v>
      </c>
    </row>
    <row r="1441" spans="1:19" x14ac:dyDescent="0.25">
      <c r="A1441" s="1">
        <v>45345</v>
      </c>
      <c r="B1441" s="1" t="str">
        <f t="shared" si="110"/>
        <v>2024-02</v>
      </c>
      <c r="C1441" t="s">
        <v>14</v>
      </c>
      <c r="D1441" t="s">
        <v>15</v>
      </c>
      <c r="E1441" t="s">
        <v>16</v>
      </c>
      <c r="F1441" t="s">
        <v>23</v>
      </c>
      <c r="G1441" s="4">
        <v>21198</v>
      </c>
      <c r="H1441" s="4">
        <v>703</v>
      </c>
      <c r="I1441" s="5">
        <v>3.32E-2</v>
      </c>
      <c r="J1441" s="2">
        <v>1.96</v>
      </c>
      <c r="K1441" s="6">
        <v>1377.88</v>
      </c>
      <c r="L1441" s="4">
        <v>28</v>
      </c>
      <c r="M1441" s="2">
        <v>49.21</v>
      </c>
      <c r="N1441" s="6">
        <v>6226.83</v>
      </c>
      <c r="O1441" s="6">
        <f t="shared" si="111"/>
        <v>4848.95</v>
      </c>
      <c r="P1441" s="6">
        <f t="shared" si="112"/>
        <v>3.519138096205765</v>
      </c>
      <c r="Q1441" s="3">
        <v>4.5199999999999996</v>
      </c>
      <c r="R1441" t="str">
        <f t="shared" si="113"/>
        <v>High</v>
      </c>
      <c r="S1441" t="str">
        <f t="shared" si="114"/>
        <v>Valid</v>
      </c>
    </row>
    <row r="1442" spans="1:19" x14ac:dyDescent="0.25">
      <c r="A1442" s="1">
        <v>45463</v>
      </c>
      <c r="B1442" s="1" t="str">
        <f t="shared" si="110"/>
        <v>2024-06</v>
      </c>
      <c r="C1442" t="s">
        <v>28</v>
      </c>
      <c r="D1442" t="s">
        <v>29</v>
      </c>
      <c r="E1442" t="s">
        <v>22</v>
      </c>
      <c r="F1442" t="s">
        <v>31</v>
      </c>
      <c r="G1442" s="4">
        <v>132208</v>
      </c>
      <c r="H1442" s="4">
        <v>3133</v>
      </c>
      <c r="I1442" s="5">
        <v>2.3699999999999999E-2</v>
      </c>
      <c r="J1442" s="2">
        <v>1.57</v>
      </c>
      <c r="K1442" s="6">
        <v>4918.8100000000004</v>
      </c>
      <c r="L1442" s="4">
        <v>183</v>
      </c>
      <c r="M1442" s="2">
        <v>26.88</v>
      </c>
      <c r="N1442" s="6">
        <v>53669.78</v>
      </c>
      <c r="O1442" s="6">
        <f t="shared" si="111"/>
        <v>48750.97</v>
      </c>
      <c r="P1442" s="6">
        <f t="shared" si="112"/>
        <v>9.9111309442731059</v>
      </c>
      <c r="Q1442" s="3">
        <v>10.91</v>
      </c>
      <c r="R1442" t="str">
        <f t="shared" si="113"/>
        <v>High</v>
      </c>
      <c r="S1442" t="str">
        <f t="shared" si="114"/>
        <v>Valid</v>
      </c>
    </row>
    <row r="1443" spans="1:19" x14ac:dyDescent="0.25">
      <c r="A1443" s="1">
        <v>45338</v>
      </c>
      <c r="B1443" s="1" t="str">
        <f t="shared" si="110"/>
        <v>2024-02</v>
      </c>
      <c r="C1443" t="s">
        <v>28</v>
      </c>
      <c r="D1443" t="s">
        <v>24</v>
      </c>
      <c r="E1443" t="s">
        <v>16</v>
      </c>
      <c r="F1443" t="s">
        <v>31</v>
      </c>
      <c r="G1443" s="4">
        <v>19040</v>
      </c>
      <c r="H1443" s="4">
        <v>784</v>
      </c>
      <c r="I1443" s="5">
        <v>4.1200000000000001E-2</v>
      </c>
      <c r="J1443" s="2">
        <v>1.93</v>
      </c>
      <c r="K1443" s="6">
        <v>1513.12</v>
      </c>
      <c r="L1443" s="4">
        <v>39</v>
      </c>
      <c r="M1443" s="2">
        <v>38.799999999999997</v>
      </c>
      <c r="N1443" s="6">
        <v>5591.9</v>
      </c>
      <c r="O1443" s="6">
        <f t="shared" si="111"/>
        <v>4078.7799999999997</v>
      </c>
      <c r="P1443" s="6">
        <f t="shared" si="112"/>
        <v>2.695609072644602</v>
      </c>
      <c r="Q1443" s="3">
        <v>3.7</v>
      </c>
      <c r="R1443" t="str">
        <f t="shared" si="113"/>
        <v>High</v>
      </c>
      <c r="S1443" t="str">
        <f t="shared" si="114"/>
        <v>Valid</v>
      </c>
    </row>
    <row r="1444" spans="1:19" x14ac:dyDescent="0.25">
      <c r="A1444" s="1">
        <v>45366</v>
      </c>
      <c r="B1444" s="1" t="str">
        <f t="shared" si="110"/>
        <v>2024-03</v>
      </c>
      <c r="C1444" t="s">
        <v>14</v>
      </c>
      <c r="D1444" t="s">
        <v>29</v>
      </c>
      <c r="E1444" t="s">
        <v>22</v>
      </c>
      <c r="F1444" t="s">
        <v>31</v>
      </c>
      <c r="G1444" s="4">
        <v>157270</v>
      </c>
      <c r="H1444" s="4">
        <v>5535</v>
      </c>
      <c r="I1444" s="5">
        <v>3.5200000000000002E-2</v>
      </c>
      <c r="J1444" s="2">
        <v>1</v>
      </c>
      <c r="K1444" s="6">
        <v>5535</v>
      </c>
      <c r="L1444" s="4">
        <v>356</v>
      </c>
      <c r="M1444" s="2">
        <v>15.55</v>
      </c>
      <c r="N1444" s="6">
        <v>86412.59</v>
      </c>
      <c r="O1444" s="6">
        <f t="shared" si="111"/>
        <v>80877.59</v>
      </c>
      <c r="P1444" s="6">
        <f t="shared" si="112"/>
        <v>14.612030713640468</v>
      </c>
      <c r="Q1444" s="3">
        <v>15.61</v>
      </c>
      <c r="R1444" t="str">
        <f t="shared" si="113"/>
        <v>High</v>
      </c>
      <c r="S1444" t="str">
        <f t="shared" si="114"/>
        <v>Valid</v>
      </c>
    </row>
    <row r="1445" spans="1:19" x14ac:dyDescent="0.25">
      <c r="A1445" s="1">
        <v>45298</v>
      </c>
      <c r="B1445" s="1" t="str">
        <f t="shared" si="110"/>
        <v>2024-01</v>
      </c>
      <c r="C1445" t="s">
        <v>14</v>
      </c>
      <c r="D1445" t="s">
        <v>21</v>
      </c>
      <c r="E1445" t="s">
        <v>30</v>
      </c>
      <c r="F1445" t="s">
        <v>20</v>
      </c>
      <c r="G1445" s="4">
        <v>33433</v>
      </c>
      <c r="H1445" s="4">
        <v>1698</v>
      </c>
      <c r="I1445" s="5">
        <v>5.0799999999999998E-2</v>
      </c>
      <c r="J1445" s="2">
        <v>2.93</v>
      </c>
      <c r="K1445" s="6">
        <v>4975.1400000000003</v>
      </c>
      <c r="L1445" s="4">
        <v>60</v>
      </c>
      <c r="M1445" s="2">
        <v>82.92</v>
      </c>
      <c r="N1445" s="6">
        <v>4216.8100000000004</v>
      </c>
      <c r="O1445" s="6">
        <f t="shared" si="111"/>
        <v>-758.32999999999993</v>
      </c>
      <c r="P1445" s="6">
        <f t="shared" si="112"/>
        <v>-0.15242385138910661</v>
      </c>
      <c r="Q1445" s="3">
        <v>0.85</v>
      </c>
      <c r="R1445" t="str">
        <f t="shared" si="113"/>
        <v>Low</v>
      </c>
      <c r="S1445" t="str">
        <f t="shared" si="114"/>
        <v>Valid</v>
      </c>
    </row>
    <row r="1446" spans="1:19" x14ac:dyDescent="0.25">
      <c r="A1446" s="1">
        <v>45378</v>
      </c>
      <c r="B1446" s="1" t="str">
        <f t="shared" si="110"/>
        <v>2024-03</v>
      </c>
      <c r="C1446" t="s">
        <v>28</v>
      </c>
      <c r="D1446" t="s">
        <v>21</v>
      </c>
      <c r="E1446" t="s">
        <v>16</v>
      </c>
      <c r="F1446" t="s">
        <v>26</v>
      </c>
      <c r="G1446" s="4">
        <v>94786</v>
      </c>
      <c r="H1446" s="4">
        <v>2682</v>
      </c>
      <c r="I1446" s="5">
        <v>2.8299999999999999E-2</v>
      </c>
      <c r="J1446" s="2">
        <v>1.5</v>
      </c>
      <c r="K1446" s="6">
        <v>4023</v>
      </c>
      <c r="L1446" s="4">
        <v>155</v>
      </c>
      <c r="M1446" s="2">
        <v>25.95</v>
      </c>
      <c r="N1446" s="6">
        <v>6510.51</v>
      </c>
      <c r="O1446" s="6">
        <f t="shared" si="111"/>
        <v>2487.5100000000002</v>
      </c>
      <c r="P1446" s="6">
        <f t="shared" si="112"/>
        <v>0.61832214765100679</v>
      </c>
      <c r="Q1446" s="3">
        <v>1.62</v>
      </c>
      <c r="R1446" t="str">
        <f t="shared" si="113"/>
        <v>Medium</v>
      </c>
      <c r="S1446" t="str">
        <f t="shared" si="114"/>
        <v>Valid</v>
      </c>
    </row>
    <row r="1447" spans="1:19" x14ac:dyDescent="0.25">
      <c r="A1447" s="1">
        <v>45407</v>
      </c>
      <c r="B1447" s="1" t="str">
        <f t="shared" si="110"/>
        <v>2024-04</v>
      </c>
      <c r="C1447" t="s">
        <v>28</v>
      </c>
      <c r="D1447" t="s">
        <v>29</v>
      </c>
      <c r="E1447" t="s">
        <v>30</v>
      </c>
      <c r="F1447" t="s">
        <v>32</v>
      </c>
      <c r="G1447" s="4">
        <v>144895</v>
      </c>
      <c r="H1447" s="4">
        <v>2158</v>
      </c>
      <c r="I1447" s="5">
        <v>1.49E-2</v>
      </c>
      <c r="J1447" s="2">
        <v>1.92</v>
      </c>
      <c r="K1447" s="6">
        <v>4143.3599999999997</v>
      </c>
      <c r="L1447" s="4">
        <v>151</v>
      </c>
      <c r="M1447" s="2">
        <v>27.44</v>
      </c>
      <c r="N1447" s="6">
        <v>25541.81</v>
      </c>
      <c r="O1447" s="6">
        <f t="shared" si="111"/>
        <v>21398.45</v>
      </c>
      <c r="P1447" s="6">
        <f t="shared" si="112"/>
        <v>5.1645162380290399</v>
      </c>
      <c r="Q1447" s="3">
        <v>6.16</v>
      </c>
      <c r="R1447" t="str">
        <f t="shared" si="113"/>
        <v>High</v>
      </c>
      <c r="S1447" t="str">
        <f t="shared" si="114"/>
        <v>Valid</v>
      </c>
    </row>
    <row r="1448" spans="1:19" x14ac:dyDescent="0.25">
      <c r="A1448" s="1">
        <v>45636</v>
      </c>
      <c r="B1448" s="1" t="str">
        <f t="shared" si="110"/>
        <v>2024-12</v>
      </c>
      <c r="C1448" t="s">
        <v>28</v>
      </c>
      <c r="D1448" t="s">
        <v>29</v>
      </c>
      <c r="E1448" t="s">
        <v>16</v>
      </c>
      <c r="F1448" t="s">
        <v>26</v>
      </c>
      <c r="G1448" s="4">
        <v>57996</v>
      </c>
      <c r="H1448" s="4">
        <v>1705</v>
      </c>
      <c r="I1448" s="5">
        <v>2.9399999999999999E-2</v>
      </c>
      <c r="J1448" s="2">
        <v>2.04</v>
      </c>
      <c r="K1448" s="6">
        <v>3478.2</v>
      </c>
      <c r="L1448" s="4">
        <v>127</v>
      </c>
      <c r="M1448" s="2">
        <v>27.39</v>
      </c>
      <c r="N1448" s="6">
        <v>26935.06</v>
      </c>
      <c r="O1448" s="6">
        <f t="shared" si="111"/>
        <v>23456.86</v>
      </c>
      <c r="P1448" s="6">
        <f t="shared" si="112"/>
        <v>6.7439652693922145</v>
      </c>
      <c r="Q1448" s="3">
        <v>7.74</v>
      </c>
      <c r="R1448" t="str">
        <f t="shared" si="113"/>
        <v>High</v>
      </c>
      <c r="S1448" t="str">
        <f t="shared" si="114"/>
        <v>Valid</v>
      </c>
    </row>
    <row r="1449" spans="1:19" x14ac:dyDescent="0.25">
      <c r="A1449" s="1">
        <v>45537</v>
      </c>
      <c r="B1449" s="1" t="str">
        <f t="shared" si="110"/>
        <v>2024-09</v>
      </c>
      <c r="C1449" t="s">
        <v>14</v>
      </c>
      <c r="D1449" t="s">
        <v>24</v>
      </c>
      <c r="E1449" t="s">
        <v>22</v>
      </c>
      <c r="F1449" t="s">
        <v>27</v>
      </c>
      <c r="G1449" s="4">
        <v>154631</v>
      </c>
      <c r="H1449" s="4">
        <v>4793</v>
      </c>
      <c r="I1449" s="5">
        <v>3.1E-2</v>
      </c>
      <c r="J1449" s="2">
        <v>3.14</v>
      </c>
      <c r="K1449" s="6">
        <v>15050.02</v>
      </c>
      <c r="L1449" s="4">
        <v>155</v>
      </c>
      <c r="M1449" s="2">
        <v>97.1</v>
      </c>
      <c r="N1449" s="6">
        <v>15403.3</v>
      </c>
      <c r="O1449" s="6">
        <f t="shared" si="111"/>
        <v>353.27999999999884</v>
      </c>
      <c r="P1449" s="6">
        <f t="shared" si="112"/>
        <v>2.3473722958507619E-2</v>
      </c>
      <c r="Q1449" s="3">
        <v>1.02</v>
      </c>
      <c r="R1449" t="str">
        <f t="shared" si="113"/>
        <v>Medium</v>
      </c>
      <c r="S1449" t="str">
        <f t="shared" si="114"/>
        <v>Valid</v>
      </c>
    </row>
    <row r="1450" spans="1:19" x14ac:dyDescent="0.25">
      <c r="A1450" s="1">
        <v>45350</v>
      </c>
      <c r="B1450" s="1" t="str">
        <f t="shared" si="110"/>
        <v>2024-02</v>
      </c>
      <c r="C1450" t="s">
        <v>28</v>
      </c>
      <c r="D1450" t="s">
        <v>21</v>
      </c>
      <c r="E1450" t="s">
        <v>25</v>
      </c>
      <c r="F1450" t="s">
        <v>26</v>
      </c>
      <c r="G1450" s="4">
        <v>56209</v>
      </c>
      <c r="H1450" s="4">
        <v>1405</v>
      </c>
      <c r="I1450" s="5">
        <v>2.5000000000000001E-2</v>
      </c>
      <c r="J1450" s="2">
        <v>2.39</v>
      </c>
      <c r="K1450" s="6">
        <v>3357.95</v>
      </c>
      <c r="L1450" s="4">
        <v>94</v>
      </c>
      <c r="M1450" s="2">
        <v>35.72</v>
      </c>
      <c r="N1450" s="6">
        <v>20195.05</v>
      </c>
      <c r="O1450" s="6">
        <f t="shared" si="111"/>
        <v>16837.099999999999</v>
      </c>
      <c r="P1450" s="6">
        <f t="shared" si="112"/>
        <v>5.0141008651111543</v>
      </c>
      <c r="Q1450" s="3">
        <v>6.01</v>
      </c>
      <c r="R1450" t="str">
        <f t="shared" si="113"/>
        <v>High</v>
      </c>
      <c r="S1450" t="str">
        <f t="shared" si="114"/>
        <v>Valid</v>
      </c>
    </row>
    <row r="1451" spans="1:19" x14ac:dyDescent="0.25">
      <c r="A1451" s="1">
        <v>45479</v>
      </c>
      <c r="B1451" s="1" t="str">
        <f t="shared" si="110"/>
        <v>2024-07</v>
      </c>
      <c r="C1451" t="s">
        <v>18</v>
      </c>
      <c r="D1451" t="s">
        <v>21</v>
      </c>
      <c r="E1451" t="s">
        <v>25</v>
      </c>
      <c r="F1451" t="s">
        <v>27</v>
      </c>
      <c r="G1451" s="4">
        <v>187411</v>
      </c>
      <c r="H1451" s="4">
        <v>15667</v>
      </c>
      <c r="I1451" s="5">
        <v>8.3599999999999994E-2</v>
      </c>
      <c r="J1451" s="2">
        <v>0.43</v>
      </c>
      <c r="K1451" s="6">
        <v>6736.81</v>
      </c>
      <c r="L1451" s="4">
        <v>996</v>
      </c>
      <c r="M1451" s="2">
        <v>6.76</v>
      </c>
      <c r="N1451" s="6">
        <v>51799.95</v>
      </c>
      <c r="O1451" s="6">
        <f t="shared" si="111"/>
        <v>45063.14</v>
      </c>
      <c r="P1451" s="6">
        <f t="shared" si="112"/>
        <v>6.6890917214527343</v>
      </c>
      <c r="Q1451" s="3">
        <v>7.69</v>
      </c>
      <c r="R1451" t="str">
        <f t="shared" si="113"/>
        <v>High</v>
      </c>
      <c r="S1451" t="str">
        <f t="shared" si="114"/>
        <v>Valid</v>
      </c>
    </row>
    <row r="1452" spans="1:19" x14ac:dyDescent="0.25">
      <c r="A1452" s="1">
        <v>45545</v>
      </c>
      <c r="B1452" s="1" t="str">
        <f t="shared" si="110"/>
        <v>2024-09</v>
      </c>
      <c r="C1452" t="s">
        <v>14</v>
      </c>
      <c r="D1452" t="s">
        <v>21</v>
      </c>
      <c r="E1452" t="s">
        <v>16</v>
      </c>
      <c r="F1452" t="s">
        <v>31</v>
      </c>
      <c r="G1452" s="4">
        <v>46583</v>
      </c>
      <c r="H1452" s="4">
        <v>2319</v>
      </c>
      <c r="I1452" s="5">
        <v>4.9799999999999997E-2</v>
      </c>
      <c r="J1452" s="2">
        <v>2.76</v>
      </c>
      <c r="K1452" s="6">
        <v>6400.44</v>
      </c>
      <c r="L1452" s="4">
        <v>50</v>
      </c>
      <c r="M1452" s="2">
        <v>128.01</v>
      </c>
      <c r="N1452" s="6">
        <v>11413.39</v>
      </c>
      <c r="O1452" s="6">
        <f t="shared" si="111"/>
        <v>5012.95</v>
      </c>
      <c r="P1452" s="6">
        <f t="shared" si="112"/>
        <v>0.78321959115310824</v>
      </c>
      <c r="Q1452" s="3">
        <v>1.78</v>
      </c>
      <c r="R1452" t="str">
        <f t="shared" si="113"/>
        <v>Medium</v>
      </c>
      <c r="S1452" t="str">
        <f t="shared" si="114"/>
        <v>Valid</v>
      </c>
    </row>
    <row r="1453" spans="1:19" x14ac:dyDescent="0.25">
      <c r="A1453" s="1">
        <v>45360</v>
      </c>
      <c r="B1453" s="1" t="str">
        <f t="shared" si="110"/>
        <v>2024-03</v>
      </c>
      <c r="C1453" t="s">
        <v>28</v>
      </c>
      <c r="D1453" t="s">
        <v>29</v>
      </c>
      <c r="E1453" t="s">
        <v>30</v>
      </c>
      <c r="F1453" t="s">
        <v>27</v>
      </c>
      <c r="G1453" s="4">
        <v>17438</v>
      </c>
      <c r="H1453" s="4">
        <v>371</v>
      </c>
      <c r="I1453" s="5">
        <v>2.1299999999999999E-2</v>
      </c>
      <c r="J1453" s="2">
        <v>1.63</v>
      </c>
      <c r="K1453" s="6">
        <v>604.73</v>
      </c>
      <c r="L1453" s="4">
        <v>19</v>
      </c>
      <c r="M1453" s="2">
        <v>31.83</v>
      </c>
      <c r="N1453" s="6">
        <v>902.7</v>
      </c>
      <c r="O1453" s="6">
        <f t="shared" si="111"/>
        <v>297.97000000000003</v>
      </c>
      <c r="P1453" s="6">
        <f t="shared" si="112"/>
        <v>0.49273229375093019</v>
      </c>
      <c r="Q1453" s="3">
        <v>1.49</v>
      </c>
      <c r="R1453" t="str">
        <f t="shared" si="113"/>
        <v>Medium</v>
      </c>
      <c r="S1453" t="str">
        <f t="shared" si="114"/>
        <v>Valid</v>
      </c>
    </row>
    <row r="1454" spans="1:19" x14ac:dyDescent="0.25">
      <c r="A1454" s="1">
        <v>45362</v>
      </c>
      <c r="B1454" s="1" t="str">
        <f t="shared" si="110"/>
        <v>2024-03</v>
      </c>
      <c r="C1454" t="s">
        <v>14</v>
      </c>
      <c r="D1454" t="s">
        <v>21</v>
      </c>
      <c r="E1454" t="s">
        <v>25</v>
      </c>
      <c r="F1454" t="s">
        <v>17</v>
      </c>
      <c r="G1454" s="4">
        <v>122784</v>
      </c>
      <c r="H1454" s="4">
        <v>6237</v>
      </c>
      <c r="I1454" s="5">
        <v>5.0799999999999998E-2</v>
      </c>
      <c r="J1454" s="2">
        <v>2.69</v>
      </c>
      <c r="K1454" s="6">
        <v>16777.53</v>
      </c>
      <c r="L1454" s="4">
        <v>134</v>
      </c>
      <c r="M1454" s="2">
        <v>125.21</v>
      </c>
      <c r="N1454" s="6">
        <v>15407.61</v>
      </c>
      <c r="O1454" s="6">
        <f t="shared" si="111"/>
        <v>-1369.9199999999983</v>
      </c>
      <c r="P1454" s="6">
        <f t="shared" si="112"/>
        <v>-8.1652066782178206E-2</v>
      </c>
      <c r="Q1454" s="3">
        <v>0.92</v>
      </c>
      <c r="R1454" t="str">
        <f t="shared" si="113"/>
        <v>Low</v>
      </c>
      <c r="S1454" t="str">
        <f t="shared" si="114"/>
        <v>Valid</v>
      </c>
    </row>
    <row r="1455" spans="1:19" x14ac:dyDescent="0.25">
      <c r="A1455" s="1">
        <v>45543</v>
      </c>
      <c r="B1455" s="1" t="str">
        <f t="shared" si="110"/>
        <v>2024-09</v>
      </c>
      <c r="C1455" t="s">
        <v>28</v>
      </c>
      <c r="D1455" t="s">
        <v>24</v>
      </c>
      <c r="E1455" t="s">
        <v>19</v>
      </c>
      <c r="F1455" t="s">
        <v>26</v>
      </c>
      <c r="G1455" s="4">
        <v>151730</v>
      </c>
      <c r="H1455" s="4">
        <v>2063</v>
      </c>
      <c r="I1455" s="5">
        <v>1.3599999999999999E-2</v>
      </c>
      <c r="J1455" s="2">
        <v>0.74</v>
      </c>
      <c r="K1455" s="6">
        <v>1526.62</v>
      </c>
      <c r="L1455" s="4">
        <v>32</v>
      </c>
      <c r="M1455" s="2">
        <v>47.71</v>
      </c>
      <c r="N1455" s="6">
        <v>6146.93</v>
      </c>
      <c r="O1455" s="6">
        <f t="shared" si="111"/>
        <v>4620.3100000000004</v>
      </c>
      <c r="P1455" s="6">
        <f t="shared" si="112"/>
        <v>3.0264964431227162</v>
      </c>
      <c r="Q1455" s="3">
        <v>4.03</v>
      </c>
      <c r="R1455" t="str">
        <f t="shared" si="113"/>
        <v>High</v>
      </c>
      <c r="S1455" t="str">
        <f t="shared" si="114"/>
        <v>Valid</v>
      </c>
    </row>
    <row r="1456" spans="1:19" x14ac:dyDescent="0.25">
      <c r="A1456" s="1">
        <v>45524</v>
      </c>
      <c r="B1456" s="1" t="str">
        <f t="shared" si="110"/>
        <v>2024-08</v>
      </c>
      <c r="C1456" t="s">
        <v>14</v>
      </c>
      <c r="D1456" t="s">
        <v>15</v>
      </c>
      <c r="E1456" t="s">
        <v>16</v>
      </c>
      <c r="F1456" t="s">
        <v>31</v>
      </c>
      <c r="G1456" s="4">
        <v>83498</v>
      </c>
      <c r="H1456" s="4">
        <v>3531</v>
      </c>
      <c r="I1456" s="5">
        <v>4.2299999999999997E-2</v>
      </c>
      <c r="J1456" s="2">
        <v>1.03</v>
      </c>
      <c r="K1456" s="6">
        <v>3636.93</v>
      </c>
      <c r="L1456" s="4">
        <v>234</v>
      </c>
      <c r="M1456" s="2">
        <v>15.54</v>
      </c>
      <c r="N1456" s="6">
        <v>36561.1</v>
      </c>
      <c r="O1456" s="6">
        <f t="shared" si="111"/>
        <v>32924.17</v>
      </c>
      <c r="P1456" s="6">
        <f t="shared" si="112"/>
        <v>9.0527367862455428</v>
      </c>
      <c r="Q1456" s="3">
        <v>10.050000000000001</v>
      </c>
      <c r="R1456" t="str">
        <f t="shared" si="113"/>
        <v>High</v>
      </c>
      <c r="S1456" t="str">
        <f t="shared" si="114"/>
        <v>Valid</v>
      </c>
    </row>
    <row r="1457" spans="1:19" x14ac:dyDescent="0.25">
      <c r="A1457" s="1">
        <v>45586</v>
      </c>
      <c r="B1457" s="1" t="str">
        <f t="shared" si="110"/>
        <v>2024-10</v>
      </c>
      <c r="C1457" t="s">
        <v>18</v>
      </c>
      <c r="D1457" t="s">
        <v>24</v>
      </c>
      <c r="E1457" t="s">
        <v>16</v>
      </c>
      <c r="F1457" t="s">
        <v>20</v>
      </c>
      <c r="G1457" s="4">
        <v>194060</v>
      </c>
      <c r="H1457" s="4">
        <v>11721</v>
      </c>
      <c r="I1457" s="5">
        <v>6.0400000000000002E-2</v>
      </c>
      <c r="J1457" s="2">
        <v>1.73</v>
      </c>
      <c r="K1457" s="6">
        <v>20277.330000000002</v>
      </c>
      <c r="L1457" s="4">
        <v>504</v>
      </c>
      <c r="M1457" s="2">
        <v>40.229999999999997</v>
      </c>
      <c r="N1457" s="6">
        <v>76238.77</v>
      </c>
      <c r="O1457" s="6">
        <f t="shared" si="111"/>
        <v>55961.440000000002</v>
      </c>
      <c r="P1457" s="6">
        <f t="shared" si="112"/>
        <v>2.759803189078641</v>
      </c>
      <c r="Q1457" s="3">
        <v>3.76</v>
      </c>
      <c r="R1457" t="str">
        <f t="shared" si="113"/>
        <v>High</v>
      </c>
      <c r="S1457" t="str">
        <f t="shared" si="114"/>
        <v>Valid</v>
      </c>
    </row>
    <row r="1458" spans="1:19" x14ac:dyDescent="0.25">
      <c r="A1458" s="1">
        <v>45368</v>
      </c>
      <c r="B1458" s="1" t="str">
        <f t="shared" si="110"/>
        <v>2024-03</v>
      </c>
      <c r="C1458" t="s">
        <v>14</v>
      </c>
      <c r="D1458" t="s">
        <v>24</v>
      </c>
      <c r="E1458" t="s">
        <v>30</v>
      </c>
      <c r="F1458" t="s">
        <v>26</v>
      </c>
      <c r="G1458" s="4">
        <v>30118</v>
      </c>
      <c r="H1458" s="4">
        <v>951</v>
      </c>
      <c r="I1458" s="5">
        <v>3.1600000000000003E-2</v>
      </c>
      <c r="J1458" s="2">
        <v>3.28</v>
      </c>
      <c r="K1458" s="6">
        <v>3119.28</v>
      </c>
      <c r="L1458" s="4">
        <v>30</v>
      </c>
      <c r="M1458" s="2">
        <v>103.98</v>
      </c>
      <c r="N1458" s="6">
        <v>2408.7600000000002</v>
      </c>
      <c r="O1458" s="6">
        <f t="shared" si="111"/>
        <v>-710.52</v>
      </c>
      <c r="P1458" s="6">
        <f t="shared" si="112"/>
        <v>-0.22778333461568051</v>
      </c>
      <c r="Q1458" s="3">
        <v>0.77</v>
      </c>
      <c r="R1458" t="str">
        <f t="shared" si="113"/>
        <v>Low</v>
      </c>
      <c r="S1458" t="str">
        <f t="shared" si="114"/>
        <v>Valid</v>
      </c>
    </row>
    <row r="1459" spans="1:19" x14ac:dyDescent="0.25">
      <c r="A1459" s="1">
        <v>45356</v>
      </c>
      <c r="B1459" s="1" t="str">
        <f t="shared" si="110"/>
        <v>2024-03</v>
      </c>
      <c r="C1459" t="s">
        <v>28</v>
      </c>
      <c r="D1459" t="s">
        <v>15</v>
      </c>
      <c r="E1459" t="s">
        <v>22</v>
      </c>
      <c r="F1459" t="s">
        <v>23</v>
      </c>
      <c r="G1459" s="4">
        <v>88904</v>
      </c>
      <c r="H1459" s="4">
        <v>1724</v>
      </c>
      <c r="I1459" s="5">
        <v>1.9400000000000001E-2</v>
      </c>
      <c r="J1459" s="2">
        <v>1</v>
      </c>
      <c r="K1459" s="6">
        <v>1724</v>
      </c>
      <c r="L1459" s="4">
        <v>59</v>
      </c>
      <c r="M1459" s="2">
        <v>29.22</v>
      </c>
      <c r="N1459" s="6">
        <v>8894.16</v>
      </c>
      <c r="O1459" s="6">
        <f t="shared" si="111"/>
        <v>7170.16</v>
      </c>
      <c r="P1459" s="6">
        <f t="shared" si="112"/>
        <v>4.1590255220417633</v>
      </c>
      <c r="Q1459" s="3">
        <v>5.16</v>
      </c>
      <c r="R1459" t="str">
        <f t="shared" si="113"/>
        <v>High</v>
      </c>
      <c r="S1459" t="str">
        <f t="shared" si="114"/>
        <v>Valid</v>
      </c>
    </row>
    <row r="1460" spans="1:19" x14ac:dyDescent="0.25">
      <c r="A1460" s="1">
        <v>45644</v>
      </c>
      <c r="B1460" s="1" t="str">
        <f t="shared" si="110"/>
        <v>2024-12</v>
      </c>
      <c r="C1460" t="s">
        <v>14</v>
      </c>
      <c r="D1460" t="s">
        <v>29</v>
      </c>
      <c r="E1460" t="s">
        <v>22</v>
      </c>
      <c r="F1460" t="s">
        <v>32</v>
      </c>
      <c r="G1460" s="4">
        <v>119911</v>
      </c>
      <c r="H1460" s="4">
        <v>4592</v>
      </c>
      <c r="I1460" s="5">
        <v>3.8300000000000001E-2</v>
      </c>
      <c r="J1460" s="2">
        <v>2.83</v>
      </c>
      <c r="K1460" s="6">
        <v>12995.36</v>
      </c>
      <c r="L1460" s="4">
        <v>163</v>
      </c>
      <c r="M1460" s="2">
        <v>79.73</v>
      </c>
      <c r="N1460" s="6">
        <v>24856.01</v>
      </c>
      <c r="O1460" s="6">
        <f t="shared" si="111"/>
        <v>11860.649999999998</v>
      </c>
      <c r="P1460" s="6">
        <f t="shared" si="112"/>
        <v>0.91268345009295604</v>
      </c>
      <c r="Q1460" s="3">
        <v>1.91</v>
      </c>
      <c r="R1460" t="str">
        <f t="shared" si="113"/>
        <v>Medium</v>
      </c>
      <c r="S1460" t="str">
        <f t="shared" si="114"/>
        <v>Valid</v>
      </c>
    </row>
    <row r="1461" spans="1:19" x14ac:dyDescent="0.25">
      <c r="A1461" s="1">
        <v>45434</v>
      </c>
      <c r="B1461" s="1" t="str">
        <f t="shared" si="110"/>
        <v>2024-05</v>
      </c>
      <c r="C1461" t="s">
        <v>28</v>
      </c>
      <c r="D1461" t="s">
        <v>15</v>
      </c>
      <c r="E1461" t="s">
        <v>19</v>
      </c>
      <c r="F1461" t="s">
        <v>20</v>
      </c>
      <c r="G1461" s="4">
        <v>184702</v>
      </c>
      <c r="H1461" s="4">
        <v>5134</v>
      </c>
      <c r="I1461" s="5">
        <v>2.7799999999999998E-2</v>
      </c>
      <c r="J1461" s="2">
        <v>2.0099999999999998</v>
      </c>
      <c r="K1461" s="6">
        <v>10319.34</v>
      </c>
      <c r="L1461" s="4">
        <v>70</v>
      </c>
      <c r="M1461" s="2">
        <v>147.41999999999999</v>
      </c>
      <c r="N1461" s="6">
        <v>16883.490000000002</v>
      </c>
      <c r="O1461" s="6">
        <f t="shared" si="111"/>
        <v>6564.1500000000015</v>
      </c>
      <c r="P1461" s="6">
        <f t="shared" si="112"/>
        <v>0.63610172743605709</v>
      </c>
      <c r="Q1461" s="3">
        <v>1.64</v>
      </c>
      <c r="R1461" t="str">
        <f t="shared" si="113"/>
        <v>Medium</v>
      </c>
      <c r="S1461" t="str">
        <f t="shared" si="114"/>
        <v>Valid</v>
      </c>
    </row>
    <row r="1462" spans="1:19" x14ac:dyDescent="0.25">
      <c r="A1462" s="1">
        <v>45393</v>
      </c>
      <c r="B1462" s="1" t="str">
        <f t="shared" si="110"/>
        <v>2024-04</v>
      </c>
      <c r="C1462" t="s">
        <v>28</v>
      </c>
      <c r="D1462" t="s">
        <v>21</v>
      </c>
      <c r="E1462" t="s">
        <v>16</v>
      </c>
      <c r="F1462" t="s">
        <v>23</v>
      </c>
      <c r="G1462" s="4">
        <v>5209</v>
      </c>
      <c r="H1462" s="4">
        <v>198</v>
      </c>
      <c r="I1462" s="5">
        <v>3.8100000000000002E-2</v>
      </c>
      <c r="J1462" s="2">
        <v>0.7</v>
      </c>
      <c r="K1462" s="6">
        <v>138.6</v>
      </c>
      <c r="L1462" s="4">
        <v>3</v>
      </c>
      <c r="M1462" s="2">
        <v>46.2</v>
      </c>
      <c r="N1462" s="6">
        <v>490.6</v>
      </c>
      <c r="O1462" s="6">
        <f t="shared" si="111"/>
        <v>352</v>
      </c>
      <c r="P1462" s="6">
        <f t="shared" si="112"/>
        <v>2.53968253968254</v>
      </c>
      <c r="Q1462" s="3">
        <v>3.54</v>
      </c>
      <c r="R1462" t="str">
        <f t="shared" si="113"/>
        <v>High</v>
      </c>
      <c r="S1462" t="str">
        <f t="shared" si="114"/>
        <v>Valid</v>
      </c>
    </row>
    <row r="1463" spans="1:19" x14ac:dyDescent="0.25">
      <c r="A1463" s="1">
        <v>45462</v>
      </c>
      <c r="B1463" s="1" t="str">
        <f t="shared" si="110"/>
        <v>2024-06</v>
      </c>
      <c r="C1463" t="s">
        <v>28</v>
      </c>
      <c r="D1463" t="s">
        <v>29</v>
      </c>
      <c r="E1463" t="s">
        <v>30</v>
      </c>
      <c r="F1463" t="s">
        <v>31</v>
      </c>
      <c r="G1463" s="4">
        <v>88717</v>
      </c>
      <c r="H1463" s="4">
        <v>816</v>
      </c>
      <c r="I1463" s="5">
        <v>9.1999999999999998E-3</v>
      </c>
      <c r="J1463" s="2">
        <v>1.87</v>
      </c>
      <c r="K1463" s="6">
        <v>1525.92</v>
      </c>
      <c r="L1463" s="4">
        <v>46</v>
      </c>
      <c r="M1463" s="2">
        <v>33.17</v>
      </c>
      <c r="N1463" s="6">
        <v>4879.0200000000004</v>
      </c>
      <c r="O1463" s="6">
        <f t="shared" si="111"/>
        <v>3353.1000000000004</v>
      </c>
      <c r="P1463" s="6">
        <f t="shared" si="112"/>
        <v>2.1974284366152879</v>
      </c>
      <c r="Q1463" s="3">
        <v>3.2</v>
      </c>
      <c r="R1463" t="str">
        <f t="shared" si="113"/>
        <v>High</v>
      </c>
      <c r="S1463" t="str">
        <f t="shared" si="114"/>
        <v>Valid</v>
      </c>
    </row>
    <row r="1464" spans="1:19" x14ac:dyDescent="0.25">
      <c r="A1464" s="1">
        <v>45510</v>
      </c>
      <c r="B1464" s="1" t="str">
        <f t="shared" si="110"/>
        <v>2024-08</v>
      </c>
      <c r="C1464" t="s">
        <v>14</v>
      </c>
      <c r="D1464" t="s">
        <v>24</v>
      </c>
      <c r="E1464" t="s">
        <v>30</v>
      </c>
      <c r="F1464" t="s">
        <v>31</v>
      </c>
      <c r="G1464" s="4">
        <v>146788</v>
      </c>
      <c r="H1464" s="4">
        <v>6003</v>
      </c>
      <c r="I1464" s="5">
        <v>4.0899999999999999E-2</v>
      </c>
      <c r="J1464" s="2">
        <v>2.42</v>
      </c>
      <c r="K1464" s="6">
        <v>14527.26</v>
      </c>
      <c r="L1464" s="4">
        <v>476</v>
      </c>
      <c r="M1464" s="2">
        <v>30.52</v>
      </c>
      <c r="N1464" s="6">
        <v>104420.05</v>
      </c>
      <c r="O1464" s="6">
        <f t="shared" si="111"/>
        <v>89892.790000000008</v>
      </c>
      <c r="P1464" s="6">
        <f t="shared" si="112"/>
        <v>6.1878695638406693</v>
      </c>
      <c r="Q1464" s="3">
        <v>7.19</v>
      </c>
      <c r="R1464" t="str">
        <f t="shared" si="113"/>
        <v>High</v>
      </c>
      <c r="S1464" t="str">
        <f t="shared" si="114"/>
        <v>Valid</v>
      </c>
    </row>
    <row r="1465" spans="1:19" x14ac:dyDescent="0.25">
      <c r="A1465" s="1">
        <v>45321</v>
      </c>
      <c r="B1465" s="1" t="str">
        <f t="shared" si="110"/>
        <v>2024-01</v>
      </c>
      <c r="C1465" t="s">
        <v>14</v>
      </c>
      <c r="D1465" t="s">
        <v>21</v>
      </c>
      <c r="E1465" t="s">
        <v>25</v>
      </c>
      <c r="F1465" t="s">
        <v>32</v>
      </c>
      <c r="G1465" s="4">
        <v>89052</v>
      </c>
      <c r="H1465" s="4">
        <v>2591</v>
      </c>
      <c r="I1465" s="5">
        <v>2.9100000000000001E-2</v>
      </c>
      <c r="J1465" s="2">
        <v>3.66</v>
      </c>
      <c r="K1465" s="6">
        <v>9483.06</v>
      </c>
      <c r="L1465" s="4">
        <v>190</v>
      </c>
      <c r="M1465" s="2">
        <v>49.91</v>
      </c>
      <c r="N1465" s="6">
        <v>12653.72</v>
      </c>
      <c r="O1465" s="6">
        <f t="shared" si="111"/>
        <v>3170.66</v>
      </c>
      <c r="P1465" s="6">
        <f t="shared" si="112"/>
        <v>0.33434988284372347</v>
      </c>
      <c r="Q1465" s="3">
        <v>1.33</v>
      </c>
      <c r="R1465" t="str">
        <f t="shared" si="113"/>
        <v>Medium</v>
      </c>
      <c r="S1465" t="str">
        <f t="shared" si="114"/>
        <v>Valid</v>
      </c>
    </row>
    <row r="1466" spans="1:19" x14ac:dyDescent="0.25">
      <c r="A1466" s="1">
        <v>45594</v>
      </c>
      <c r="B1466" s="1" t="str">
        <f t="shared" si="110"/>
        <v>2024-10</v>
      </c>
      <c r="C1466" t="s">
        <v>14</v>
      </c>
      <c r="D1466" t="s">
        <v>24</v>
      </c>
      <c r="E1466" t="s">
        <v>30</v>
      </c>
      <c r="F1466" t="s">
        <v>26</v>
      </c>
      <c r="G1466" s="4">
        <v>46971</v>
      </c>
      <c r="H1466" s="4">
        <v>2437</v>
      </c>
      <c r="I1466" s="5">
        <v>5.1900000000000002E-2</v>
      </c>
      <c r="J1466" s="2">
        <v>2.04</v>
      </c>
      <c r="K1466" s="6">
        <v>4971.4799999999996</v>
      </c>
      <c r="L1466" s="4">
        <v>141</v>
      </c>
      <c r="M1466" s="2">
        <v>35.26</v>
      </c>
      <c r="N1466" s="6">
        <v>14817.7</v>
      </c>
      <c r="O1466" s="6">
        <f t="shared" si="111"/>
        <v>9846.2200000000012</v>
      </c>
      <c r="P1466" s="6">
        <f t="shared" si="112"/>
        <v>1.9805410058976405</v>
      </c>
      <c r="Q1466" s="3">
        <v>2.98</v>
      </c>
      <c r="R1466" t="str">
        <f t="shared" si="113"/>
        <v>Medium</v>
      </c>
      <c r="S1466" t="str">
        <f t="shared" si="114"/>
        <v>Valid</v>
      </c>
    </row>
    <row r="1467" spans="1:19" x14ac:dyDescent="0.25">
      <c r="A1467" s="1">
        <v>45561</v>
      </c>
      <c r="B1467" s="1" t="str">
        <f t="shared" si="110"/>
        <v>2024-09</v>
      </c>
      <c r="C1467" t="s">
        <v>28</v>
      </c>
      <c r="D1467" t="s">
        <v>24</v>
      </c>
      <c r="E1467" t="s">
        <v>30</v>
      </c>
      <c r="F1467" t="s">
        <v>20</v>
      </c>
      <c r="G1467" s="4">
        <v>185419</v>
      </c>
      <c r="H1467" s="4">
        <v>7750</v>
      </c>
      <c r="I1467" s="5">
        <v>4.1799999999999997E-2</v>
      </c>
      <c r="J1467" s="2">
        <v>1.38</v>
      </c>
      <c r="K1467" s="6">
        <v>10695</v>
      </c>
      <c r="L1467" s="4">
        <v>400</v>
      </c>
      <c r="M1467" s="2">
        <v>26.74</v>
      </c>
      <c r="N1467" s="6">
        <v>13470.33</v>
      </c>
      <c r="O1467" s="6">
        <f t="shared" si="111"/>
        <v>2775.33</v>
      </c>
      <c r="P1467" s="6">
        <f t="shared" si="112"/>
        <v>0.2594978962131837</v>
      </c>
      <c r="Q1467" s="3">
        <v>1.26</v>
      </c>
      <c r="R1467" t="str">
        <f t="shared" si="113"/>
        <v>Medium</v>
      </c>
      <c r="S1467" t="str">
        <f t="shared" si="114"/>
        <v>Valid</v>
      </c>
    </row>
    <row r="1468" spans="1:19" x14ac:dyDescent="0.25">
      <c r="A1468" s="1">
        <v>45470</v>
      </c>
      <c r="B1468" s="1" t="str">
        <f t="shared" si="110"/>
        <v>2024-06</v>
      </c>
      <c r="C1468" t="s">
        <v>14</v>
      </c>
      <c r="D1468" t="s">
        <v>29</v>
      </c>
      <c r="E1468" t="s">
        <v>19</v>
      </c>
      <c r="F1468" t="s">
        <v>17</v>
      </c>
      <c r="G1468" s="4">
        <v>36391</v>
      </c>
      <c r="H1468" s="4">
        <v>1684</v>
      </c>
      <c r="I1468" s="5">
        <v>4.6300000000000001E-2</v>
      </c>
      <c r="J1468" s="2">
        <v>3.59</v>
      </c>
      <c r="K1468" s="6">
        <v>6045.56</v>
      </c>
      <c r="L1468" s="4">
        <v>18</v>
      </c>
      <c r="M1468" s="2">
        <v>335.86</v>
      </c>
      <c r="N1468" s="6">
        <v>4868.51</v>
      </c>
      <c r="O1468" s="6">
        <f t="shared" si="111"/>
        <v>-1177.0500000000002</v>
      </c>
      <c r="P1468" s="6">
        <f t="shared" si="112"/>
        <v>-0.19469660378856551</v>
      </c>
      <c r="Q1468" s="3">
        <v>0.81</v>
      </c>
      <c r="R1468" t="str">
        <f t="shared" si="113"/>
        <v>Low</v>
      </c>
      <c r="S1468" t="str">
        <f t="shared" si="114"/>
        <v>Valid</v>
      </c>
    </row>
    <row r="1469" spans="1:19" x14ac:dyDescent="0.25">
      <c r="A1469" s="1">
        <v>45385</v>
      </c>
      <c r="B1469" s="1" t="str">
        <f t="shared" si="110"/>
        <v>2024-04</v>
      </c>
      <c r="C1469" t="s">
        <v>14</v>
      </c>
      <c r="D1469" t="s">
        <v>29</v>
      </c>
      <c r="E1469" t="s">
        <v>19</v>
      </c>
      <c r="F1469" t="s">
        <v>31</v>
      </c>
      <c r="G1469" s="4">
        <v>169575</v>
      </c>
      <c r="H1469" s="4">
        <v>3730</v>
      </c>
      <c r="I1469" s="5">
        <v>2.1999999999999999E-2</v>
      </c>
      <c r="J1469" s="2">
        <v>2.71</v>
      </c>
      <c r="K1469" s="6">
        <v>10108.299999999999</v>
      </c>
      <c r="L1469" s="4">
        <v>284</v>
      </c>
      <c r="M1469" s="2">
        <v>35.590000000000003</v>
      </c>
      <c r="N1469" s="6">
        <v>8952.89</v>
      </c>
      <c r="O1469" s="6">
        <f t="shared" si="111"/>
        <v>-1155.4099999999999</v>
      </c>
      <c r="P1469" s="6">
        <f t="shared" si="112"/>
        <v>-0.11430309745456703</v>
      </c>
      <c r="Q1469" s="3">
        <v>0.89</v>
      </c>
      <c r="R1469" t="str">
        <f t="shared" si="113"/>
        <v>Low</v>
      </c>
      <c r="S1469" t="str">
        <f t="shared" si="114"/>
        <v>Valid</v>
      </c>
    </row>
    <row r="1470" spans="1:19" x14ac:dyDescent="0.25">
      <c r="A1470" s="1">
        <v>45497</v>
      </c>
      <c r="B1470" s="1" t="str">
        <f t="shared" si="110"/>
        <v>2024-07</v>
      </c>
      <c r="C1470" t="s">
        <v>14</v>
      </c>
      <c r="D1470" t="s">
        <v>21</v>
      </c>
      <c r="E1470" t="s">
        <v>30</v>
      </c>
      <c r="F1470" t="s">
        <v>20</v>
      </c>
      <c r="G1470" s="4">
        <v>146656</v>
      </c>
      <c r="H1470" s="4">
        <v>5719</v>
      </c>
      <c r="I1470" s="5">
        <v>3.9E-2</v>
      </c>
      <c r="J1470" s="2">
        <v>1.75</v>
      </c>
      <c r="K1470" s="6">
        <v>10008.25</v>
      </c>
      <c r="L1470" s="4">
        <v>357</v>
      </c>
      <c r="M1470" s="2">
        <v>28.03</v>
      </c>
      <c r="N1470" s="6">
        <v>62250.35</v>
      </c>
      <c r="O1470" s="6">
        <f t="shared" si="111"/>
        <v>52242.1</v>
      </c>
      <c r="P1470" s="6">
        <f t="shared" si="112"/>
        <v>5.219903579546874</v>
      </c>
      <c r="Q1470" s="3">
        <v>6.22</v>
      </c>
      <c r="R1470" t="str">
        <f t="shared" si="113"/>
        <v>High</v>
      </c>
      <c r="S1470" t="str">
        <f t="shared" si="114"/>
        <v>Valid</v>
      </c>
    </row>
    <row r="1471" spans="1:19" x14ac:dyDescent="0.25">
      <c r="A1471" s="1">
        <v>45437</v>
      </c>
      <c r="B1471" s="1" t="str">
        <f t="shared" si="110"/>
        <v>2024-05</v>
      </c>
      <c r="C1471" t="s">
        <v>14</v>
      </c>
      <c r="D1471" t="s">
        <v>29</v>
      </c>
      <c r="E1471" t="s">
        <v>16</v>
      </c>
      <c r="F1471" t="s">
        <v>26</v>
      </c>
      <c r="G1471" s="4">
        <v>116972</v>
      </c>
      <c r="H1471" s="4">
        <v>6269</v>
      </c>
      <c r="I1471" s="5">
        <v>5.3600000000000002E-2</v>
      </c>
      <c r="J1471" s="2">
        <v>2.83</v>
      </c>
      <c r="K1471" s="6">
        <v>17741.27</v>
      </c>
      <c r="L1471" s="4">
        <v>83</v>
      </c>
      <c r="M1471" s="2">
        <v>213.75</v>
      </c>
      <c r="N1471" s="6">
        <v>8852.61</v>
      </c>
      <c r="O1471" s="6">
        <f t="shared" si="111"/>
        <v>-8888.66</v>
      </c>
      <c r="P1471" s="6">
        <f t="shared" si="112"/>
        <v>-0.50101599265441532</v>
      </c>
      <c r="Q1471" s="3">
        <v>0.5</v>
      </c>
      <c r="R1471" t="str">
        <f t="shared" si="113"/>
        <v>Low</v>
      </c>
      <c r="S1471" t="str">
        <f t="shared" si="114"/>
        <v>Valid</v>
      </c>
    </row>
    <row r="1472" spans="1:19" x14ac:dyDescent="0.25">
      <c r="A1472" s="1">
        <v>45613</v>
      </c>
      <c r="B1472" s="1" t="str">
        <f t="shared" si="110"/>
        <v>2024-11</v>
      </c>
      <c r="C1472" t="s">
        <v>28</v>
      </c>
      <c r="D1472" t="s">
        <v>15</v>
      </c>
      <c r="E1472" t="s">
        <v>25</v>
      </c>
      <c r="F1472" t="s">
        <v>27</v>
      </c>
      <c r="G1472" s="4">
        <v>45664</v>
      </c>
      <c r="H1472" s="4">
        <v>516</v>
      </c>
      <c r="I1472" s="5">
        <v>1.1299999999999999E-2</v>
      </c>
      <c r="J1472" s="2">
        <v>1.67</v>
      </c>
      <c r="K1472" s="6">
        <v>861.72</v>
      </c>
      <c r="L1472" s="4">
        <v>34</v>
      </c>
      <c r="M1472" s="2">
        <v>25.34</v>
      </c>
      <c r="N1472" s="6">
        <v>7132.56</v>
      </c>
      <c r="O1472" s="6">
        <f t="shared" si="111"/>
        <v>6270.84</v>
      </c>
      <c r="P1472" s="6">
        <f t="shared" si="112"/>
        <v>7.2771201782481549</v>
      </c>
      <c r="Q1472" s="3">
        <v>8.2799999999999994</v>
      </c>
      <c r="R1472" t="str">
        <f t="shared" si="113"/>
        <v>High</v>
      </c>
      <c r="S1472" t="str">
        <f t="shared" si="114"/>
        <v>Valid</v>
      </c>
    </row>
    <row r="1473" spans="1:19" x14ac:dyDescent="0.25">
      <c r="A1473" s="1">
        <v>45641</v>
      </c>
      <c r="B1473" s="1" t="str">
        <f t="shared" si="110"/>
        <v>2024-12</v>
      </c>
      <c r="C1473" t="s">
        <v>28</v>
      </c>
      <c r="D1473" t="s">
        <v>24</v>
      </c>
      <c r="E1473" t="s">
        <v>25</v>
      </c>
      <c r="F1473" t="s">
        <v>20</v>
      </c>
      <c r="G1473" s="4">
        <v>125759</v>
      </c>
      <c r="H1473" s="4">
        <v>2804</v>
      </c>
      <c r="I1473" s="5">
        <v>2.23E-2</v>
      </c>
      <c r="J1473" s="2">
        <v>1.75</v>
      </c>
      <c r="K1473" s="6">
        <v>4907</v>
      </c>
      <c r="L1473" s="4">
        <v>164</v>
      </c>
      <c r="M1473" s="2">
        <v>29.92</v>
      </c>
      <c r="N1473" s="6">
        <v>46752.65</v>
      </c>
      <c r="O1473" s="6">
        <f t="shared" si="111"/>
        <v>41845.65</v>
      </c>
      <c r="P1473" s="6">
        <f t="shared" si="112"/>
        <v>8.5277460770328108</v>
      </c>
      <c r="Q1473" s="3">
        <v>9.5299999999999994</v>
      </c>
      <c r="R1473" t="str">
        <f t="shared" si="113"/>
        <v>High</v>
      </c>
      <c r="S1473" t="str">
        <f t="shared" si="114"/>
        <v>Valid</v>
      </c>
    </row>
    <row r="1474" spans="1:19" x14ac:dyDescent="0.25">
      <c r="A1474" s="1">
        <v>45375</v>
      </c>
      <c r="B1474" s="1" t="str">
        <f t="shared" si="110"/>
        <v>2024-03</v>
      </c>
      <c r="C1474" t="s">
        <v>14</v>
      </c>
      <c r="D1474" t="s">
        <v>24</v>
      </c>
      <c r="E1474" t="s">
        <v>19</v>
      </c>
      <c r="F1474" t="s">
        <v>17</v>
      </c>
      <c r="G1474" s="4">
        <v>26529</v>
      </c>
      <c r="H1474" s="4">
        <v>1106</v>
      </c>
      <c r="I1474" s="5">
        <v>4.1700000000000001E-2</v>
      </c>
      <c r="J1474" s="2">
        <v>1.78</v>
      </c>
      <c r="K1474" s="6">
        <v>1968.68</v>
      </c>
      <c r="L1474" s="4">
        <v>78</v>
      </c>
      <c r="M1474" s="2">
        <v>25.24</v>
      </c>
      <c r="N1474" s="6">
        <v>2995.39</v>
      </c>
      <c r="O1474" s="6">
        <f t="shared" si="111"/>
        <v>1026.7099999999998</v>
      </c>
      <c r="P1474" s="6">
        <f t="shared" si="112"/>
        <v>0.52152203506918327</v>
      </c>
      <c r="Q1474" s="3">
        <v>1.52</v>
      </c>
      <c r="R1474" t="str">
        <f t="shared" si="113"/>
        <v>Medium</v>
      </c>
      <c r="S1474" t="str">
        <f t="shared" si="114"/>
        <v>Valid</v>
      </c>
    </row>
    <row r="1475" spans="1:19" x14ac:dyDescent="0.25">
      <c r="A1475" s="1">
        <v>45639</v>
      </c>
      <c r="B1475" s="1" t="str">
        <f t="shared" ref="B1475:B1538" si="115">TEXT(A1475, "yyyy-mm")</f>
        <v>2024-12</v>
      </c>
      <c r="C1475" t="s">
        <v>18</v>
      </c>
      <c r="D1475" t="s">
        <v>24</v>
      </c>
      <c r="E1475" t="s">
        <v>19</v>
      </c>
      <c r="F1475" t="s">
        <v>31</v>
      </c>
      <c r="G1475" s="4">
        <v>114863</v>
      </c>
      <c r="H1475" s="4">
        <v>5766</v>
      </c>
      <c r="I1475" s="5">
        <v>5.0200000000000002E-2</v>
      </c>
      <c r="J1475" s="2">
        <v>1.63</v>
      </c>
      <c r="K1475" s="6">
        <v>9398.58</v>
      </c>
      <c r="L1475" s="4">
        <v>89</v>
      </c>
      <c r="M1475" s="2">
        <v>105.6</v>
      </c>
      <c r="N1475" s="6">
        <v>22499.919999999998</v>
      </c>
      <c r="O1475" s="6">
        <f t="shared" ref="O1475:O1538" si="116">N1475-K1475</f>
        <v>13101.339999999998</v>
      </c>
      <c r="P1475" s="6">
        <f t="shared" ref="P1475:P1538" si="117">IFERROR(O1475/K1475, "")</f>
        <v>1.3939701529379969</v>
      </c>
      <c r="Q1475" s="3">
        <v>2.39</v>
      </c>
      <c r="R1475" t="str">
        <f t="shared" ref="R1475:R1538" si="118">IF(Q1475 &gt;= 3, "High", IF(Q1475&gt;=1, "Medium", "Low"))</f>
        <v>Medium</v>
      </c>
      <c r="S1475" t="str">
        <f t="shared" ref="S1475:S1538" si="119">IF(OR(G1475=0, H1475&gt;G1475, L1475&gt;H1475), "Invalid", "Valid")</f>
        <v>Valid</v>
      </c>
    </row>
    <row r="1476" spans="1:19" x14ac:dyDescent="0.25">
      <c r="A1476" s="1">
        <v>45589</v>
      </c>
      <c r="B1476" s="1" t="str">
        <f t="shared" si="115"/>
        <v>2024-10</v>
      </c>
      <c r="C1476" t="s">
        <v>28</v>
      </c>
      <c r="D1476" t="s">
        <v>29</v>
      </c>
      <c r="E1476" t="s">
        <v>22</v>
      </c>
      <c r="F1476" t="s">
        <v>23</v>
      </c>
      <c r="G1476" s="4">
        <v>171353</v>
      </c>
      <c r="H1476" s="4">
        <v>5534</v>
      </c>
      <c r="I1476" s="5">
        <v>3.2300000000000002E-2</v>
      </c>
      <c r="J1476" s="2">
        <v>1.86</v>
      </c>
      <c r="K1476" s="6">
        <v>10293.24</v>
      </c>
      <c r="L1476" s="4">
        <v>221</v>
      </c>
      <c r="M1476" s="2">
        <v>46.58</v>
      </c>
      <c r="N1476" s="6">
        <v>52725.19</v>
      </c>
      <c r="O1476" s="6">
        <f t="shared" si="116"/>
        <v>42431.950000000004</v>
      </c>
      <c r="P1476" s="6">
        <f t="shared" si="117"/>
        <v>4.1223123137126896</v>
      </c>
      <c r="Q1476" s="3">
        <v>5.12</v>
      </c>
      <c r="R1476" t="str">
        <f t="shared" si="118"/>
        <v>High</v>
      </c>
      <c r="S1476" t="str">
        <f t="shared" si="119"/>
        <v>Valid</v>
      </c>
    </row>
    <row r="1477" spans="1:19" x14ac:dyDescent="0.25">
      <c r="A1477" s="1">
        <v>45648</v>
      </c>
      <c r="B1477" s="1" t="str">
        <f t="shared" si="115"/>
        <v>2024-12</v>
      </c>
      <c r="C1477" t="s">
        <v>28</v>
      </c>
      <c r="D1477" t="s">
        <v>24</v>
      </c>
      <c r="E1477" t="s">
        <v>19</v>
      </c>
      <c r="F1477" t="s">
        <v>20</v>
      </c>
      <c r="G1477" s="4">
        <v>49522</v>
      </c>
      <c r="H1477" s="4">
        <v>1554</v>
      </c>
      <c r="I1477" s="5">
        <v>3.1399999999999997E-2</v>
      </c>
      <c r="J1477" s="2">
        <v>1.71</v>
      </c>
      <c r="K1477" s="6">
        <v>2657.34</v>
      </c>
      <c r="L1477" s="4">
        <v>23</v>
      </c>
      <c r="M1477" s="2">
        <v>115.54</v>
      </c>
      <c r="N1477" s="6">
        <v>1909.73</v>
      </c>
      <c r="O1477" s="6">
        <f t="shared" si="116"/>
        <v>-747.61000000000013</v>
      </c>
      <c r="P1477" s="6">
        <f t="shared" si="117"/>
        <v>-0.28133772870614981</v>
      </c>
      <c r="Q1477" s="3">
        <v>0.72</v>
      </c>
      <c r="R1477" t="str">
        <f t="shared" si="118"/>
        <v>Low</v>
      </c>
      <c r="S1477" t="str">
        <f t="shared" si="119"/>
        <v>Valid</v>
      </c>
    </row>
    <row r="1478" spans="1:19" x14ac:dyDescent="0.25">
      <c r="A1478" s="1">
        <v>45415</v>
      </c>
      <c r="B1478" s="1" t="str">
        <f t="shared" si="115"/>
        <v>2024-05</v>
      </c>
      <c r="C1478" t="s">
        <v>14</v>
      </c>
      <c r="D1478" t="s">
        <v>15</v>
      </c>
      <c r="E1478" t="s">
        <v>22</v>
      </c>
      <c r="F1478" t="s">
        <v>31</v>
      </c>
      <c r="G1478" s="4">
        <v>136135</v>
      </c>
      <c r="H1478" s="4">
        <v>7936</v>
      </c>
      <c r="I1478" s="5">
        <v>5.8299999999999998E-2</v>
      </c>
      <c r="J1478" s="2">
        <v>1.36</v>
      </c>
      <c r="K1478" s="6">
        <v>10792.96</v>
      </c>
      <c r="L1478" s="4">
        <v>406</v>
      </c>
      <c r="M1478" s="2">
        <v>26.58</v>
      </c>
      <c r="N1478" s="6">
        <v>40442.85</v>
      </c>
      <c r="O1478" s="6">
        <f t="shared" si="116"/>
        <v>29649.89</v>
      </c>
      <c r="P1478" s="6">
        <f t="shared" si="117"/>
        <v>2.7471509206000952</v>
      </c>
      <c r="Q1478" s="3">
        <v>3.75</v>
      </c>
      <c r="R1478" t="str">
        <f t="shared" si="118"/>
        <v>High</v>
      </c>
      <c r="S1478" t="str">
        <f t="shared" si="119"/>
        <v>Valid</v>
      </c>
    </row>
    <row r="1479" spans="1:19" x14ac:dyDescent="0.25">
      <c r="A1479" s="1">
        <v>45423</v>
      </c>
      <c r="B1479" s="1" t="str">
        <f t="shared" si="115"/>
        <v>2024-05</v>
      </c>
      <c r="C1479" t="s">
        <v>28</v>
      </c>
      <c r="D1479" t="s">
        <v>21</v>
      </c>
      <c r="E1479" t="s">
        <v>22</v>
      </c>
      <c r="F1479" t="s">
        <v>20</v>
      </c>
      <c r="G1479" s="4">
        <v>172108</v>
      </c>
      <c r="H1479" s="4">
        <v>6109</v>
      </c>
      <c r="I1479" s="5">
        <v>3.5499999999999997E-2</v>
      </c>
      <c r="J1479" s="2">
        <v>2.2799999999999998</v>
      </c>
      <c r="K1479" s="6">
        <v>13928.52</v>
      </c>
      <c r="L1479" s="4">
        <v>435</v>
      </c>
      <c r="M1479" s="2">
        <v>32.020000000000003</v>
      </c>
      <c r="N1479" s="6">
        <v>13163.33</v>
      </c>
      <c r="O1479" s="6">
        <f t="shared" si="116"/>
        <v>-765.19000000000051</v>
      </c>
      <c r="P1479" s="6">
        <f t="shared" si="117"/>
        <v>-5.493692079273322E-2</v>
      </c>
      <c r="Q1479" s="3">
        <v>0.95</v>
      </c>
      <c r="R1479" t="str">
        <f t="shared" si="118"/>
        <v>Low</v>
      </c>
      <c r="S1479" t="str">
        <f t="shared" si="119"/>
        <v>Valid</v>
      </c>
    </row>
    <row r="1480" spans="1:19" x14ac:dyDescent="0.25">
      <c r="A1480" s="1">
        <v>45589</v>
      </c>
      <c r="B1480" s="1" t="str">
        <f t="shared" si="115"/>
        <v>2024-10</v>
      </c>
      <c r="C1480" t="s">
        <v>18</v>
      </c>
      <c r="D1480" t="s">
        <v>21</v>
      </c>
      <c r="E1480" t="s">
        <v>19</v>
      </c>
      <c r="F1480" t="s">
        <v>31</v>
      </c>
      <c r="G1480" s="4">
        <v>193151</v>
      </c>
      <c r="H1480" s="4">
        <v>12168</v>
      </c>
      <c r="I1480" s="5">
        <v>6.3E-2</v>
      </c>
      <c r="J1480" s="2">
        <v>1.1299999999999999</v>
      </c>
      <c r="K1480" s="6">
        <v>13749.84</v>
      </c>
      <c r="L1480" s="4">
        <v>612</v>
      </c>
      <c r="M1480" s="2">
        <v>22.47</v>
      </c>
      <c r="N1480" s="6">
        <v>109401</v>
      </c>
      <c r="O1480" s="6">
        <f t="shared" si="116"/>
        <v>95651.16</v>
      </c>
      <c r="P1480" s="6">
        <f t="shared" si="117"/>
        <v>6.9565289487004938</v>
      </c>
      <c r="Q1480" s="3">
        <v>7.96</v>
      </c>
      <c r="R1480" t="str">
        <f t="shared" si="118"/>
        <v>High</v>
      </c>
      <c r="S1480" t="str">
        <f t="shared" si="119"/>
        <v>Valid</v>
      </c>
    </row>
    <row r="1481" spans="1:19" x14ac:dyDescent="0.25">
      <c r="A1481" s="1">
        <v>45464</v>
      </c>
      <c r="B1481" s="1" t="str">
        <f t="shared" si="115"/>
        <v>2024-06</v>
      </c>
      <c r="C1481" t="s">
        <v>18</v>
      </c>
      <c r="D1481" t="s">
        <v>29</v>
      </c>
      <c r="E1481" t="s">
        <v>19</v>
      </c>
      <c r="F1481" t="s">
        <v>27</v>
      </c>
      <c r="G1481" s="4">
        <v>102519</v>
      </c>
      <c r="H1481" s="4">
        <v>4285</v>
      </c>
      <c r="I1481" s="5">
        <v>4.1799999999999997E-2</v>
      </c>
      <c r="J1481" s="2">
        <v>1.2</v>
      </c>
      <c r="K1481" s="6">
        <v>5142</v>
      </c>
      <c r="L1481" s="4">
        <v>137</v>
      </c>
      <c r="M1481" s="2">
        <v>37.53</v>
      </c>
      <c r="N1481" s="6">
        <v>26733.75</v>
      </c>
      <c r="O1481" s="6">
        <f t="shared" si="116"/>
        <v>21591.75</v>
      </c>
      <c r="P1481" s="6">
        <f t="shared" si="117"/>
        <v>4.1990956826137689</v>
      </c>
      <c r="Q1481" s="3">
        <v>5.2</v>
      </c>
      <c r="R1481" t="str">
        <f t="shared" si="118"/>
        <v>High</v>
      </c>
      <c r="S1481" t="str">
        <f t="shared" si="119"/>
        <v>Valid</v>
      </c>
    </row>
    <row r="1482" spans="1:19" x14ac:dyDescent="0.25">
      <c r="A1482" s="1">
        <v>45541</v>
      </c>
      <c r="B1482" s="1" t="str">
        <f t="shared" si="115"/>
        <v>2024-09</v>
      </c>
      <c r="C1482" t="s">
        <v>14</v>
      </c>
      <c r="D1482" t="s">
        <v>24</v>
      </c>
      <c r="E1482" t="s">
        <v>22</v>
      </c>
      <c r="F1482" t="s">
        <v>26</v>
      </c>
      <c r="G1482" s="4">
        <v>36092</v>
      </c>
      <c r="H1482" s="4">
        <v>1050</v>
      </c>
      <c r="I1482" s="5">
        <v>2.9100000000000001E-2</v>
      </c>
      <c r="J1482" s="2">
        <v>3.68</v>
      </c>
      <c r="K1482" s="6">
        <v>3864</v>
      </c>
      <c r="L1482" s="4">
        <v>34</v>
      </c>
      <c r="M1482" s="2">
        <v>113.65</v>
      </c>
      <c r="N1482" s="6">
        <v>1685.69</v>
      </c>
      <c r="O1482" s="6">
        <f t="shared" si="116"/>
        <v>-2178.31</v>
      </c>
      <c r="P1482" s="6">
        <f t="shared" si="117"/>
        <v>-0.56374482401656312</v>
      </c>
      <c r="Q1482" s="3">
        <v>0.44</v>
      </c>
      <c r="R1482" t="str">
        <f t="shared" si="118"/>
        <v>Low</v>
      </c>
      <c r="S1482" t="str">
        <f t="shared" si="119"/>
        <v>Valid</v>
      </c>
    </row>
    <row r="1483" spans="1:19" x14ac:dyDescent="0.25">
      <c r="A1483" s="1">
        <v>45536</v>
      </c>
      <c r="B1483" s="1" t="str">
        <f t="shared" si="115"/>
        <v>2024-09</v>
      </c>
      <c r="C1483" t="s">
        <v>18</v>
      </c>
      <c r="D1483" t="s">
        <v>21</v>
      </c>
      <c r="E1483" t="s">
        <v>19</v>
      </c>
      <c r="F1483" t="s">
        <v>32</v>
      </c>
      <c r="G1483" s="4">
        <v>6628</v>
      </c>
      <c r="H1483" s="4">
        <v>261</v>
      </c>
      <c r="I1483" s="5">
        <v>3.95E-2</v>
      </c>
      <c r="J1483" s="2">
        <v>1.28</v>
      </c>
      <c r="K1483" s="6">
        <v>334.08</v>
      </c>
      <c r="L1483" s="4">
        <v>11</v>
      </c>
      <c r="M1483" s="2">
        <v>30.37</v>
      </c>
      <c r="N1483" s="6">
        <v>2224.48</v>
      </c>
      <c r="O1483" s="6">
        <f t="shared" si="116"/>
        <v>1890.4</v>
      </c>
      <c r="P1483" s="6">
        <f t="shared" si="117"/>
        <v>5.65852490421456</v>
      </c>
      <c r="Q1483" s="3">
        <v>6.66</v>
      </c>
      <c r="R1483" t="str">
        <f t="shared" si="118"/>
        <v>High</v>
      </c>
      <c r="S1483" t="str">
        <f t="shared" si="119"/>
        <v>Valid</v>
      </c>
    </row>
    <row r="1484" spans="1:19" x14ac:dyDescent="0.25">
      <c r="A1484" s="1">
        <v>45374</v>
      </c>
      <c r="B1484" s="1" t="str">
        <f t="shared" si="115"/>
        <v>2024-03</v>
      </c>
      <c r="C1484" t="s">
        <v>28</v>
      </c>
      <c r="D1484" t="s">
        <v>21</v>
      </c>
      <c r="E1484" t="s">
        <v>25</v>
      </c>
      <c r="F1484" t="s">
        <v>20</v>
      </c>
      <c r="G1484" s="4">
        <v>28593</v>
      </c>
      <c r="H1484" s="4">
        <v>694</v>
      </c>
      <c r="I1484" s="5">
        <v>2.4299999999999999E-2</v>
      </c>
      <c r="J1484" s="2">
        <v>1.58</v>
      </c>
      <c r="K1484" s="6">
        <v>1096.52</v>
      </c>
      <c r="L1484" s="4">
        <v>7</v>
      </c>
      <c r="M1484" s="2">
        <v>156.65</v>
      </c>
      <c r="N1484" s="6">
        <v>2098</v>
      </c>
      <c r="O1484" s="6">
        <f t="shared" si="116"/>
        <v>1001.48</v>
      </c>
      <c r="P1484" s="6">
        <f t="shared" si="117"/>
        <v>0.91332579433115679</v>
      </c>
      <c r="Q1484" s="3">
        <v>1.91</v>
      </c>
      <c r="R1484" t="str">
        <f t="shared" si="118"/>
        <v>Medium</v>
      </c>
      <c r="S1484" t="str">
        <f t="shared" si="119"/>
        <v>Valid</v>
      </c>
    </row>
    <row r="1485" spans="1:19" x14ac:dyDescent="0.25">
      <c r="A1485" s="1">
        <v>45446</v>
      </c>
      <c r="B1485" s="1" t="str">
        <f t="shared" si="115"/>
        <v>2024-06</v>
      </c>
      <c r="C1485" t="s">
        <v>28</v>
      </c>
      <c r="D1485" t="s">
        <v>15</v>
      </c>
      <c r="E1485" t="s">
        <v>19</v>
      </c>
      <c r="F1485" t="s">
        <v>26</v>
      </c>
      <c r="G1485" s="4">
        <v>186845</v>
      </c>
      <c r="H1485" s="4">
        <v>4204</v>
      </c>
      <c r="I1485" s="5">
        <v>2.2499999999999999E-2</v>
      </c>
      <c r="J1485" s="2">
        <v>1.81</v>
      </c>
      <c r="K1485" s="6">
        <v>7609.24</v>
      </c>
      <c r="L1485" s="4">
        <v>275</v>
      </c>
      <c r="M1485" s="2">
        <v>27.67</v>
      </c>
      <c r="N1485" s="6">
        <v>24004.25</v>
      </c>
      <c r="O1485" s="6">
        <f t="shared" si="116"/>
        <v>16395.010000000002</v>
      </c>
      <c r="P1485" s="6">
        <f t="shared" si="117"/>
        <v>2.1546185952867831</v>
      </c>
      <c r="Q1485" s="3">
        <v>3.15</v>
      </c>
      <c r="R1485" t="str">
        <f t="shared" si="118"/>
        <v>High</v>
      </c>
      <c r="S1485" t="str">
        <f t="shared" si="119"/>
        <v>Valid</v>
      </c>
    </row>
    <row r="1486" spans="1:19" x14ac:dyDescent="0.25">
      <c r="A1486" s="1">
        <v>45518</v>
      </c>
      <c r="B1486" s="1" t="str">
        <f t="shared" si="115"/>
        <v>2024-08</v>
      </c>
      <c r="C1486" t="s">
        <v>28</v>
      </c>
      <c r="D1486" t="s">
        <v>15</v>
      </c>
      <c r="E1486" t="s">
        <v>16</v>
      </c>
      <c r="F1486" t="s">
        <v>23</v>
      </c>
      <c r="G1486" s="4">
        <v>25930</v>
      </c>
      <c r="H1486" s="4">
        <v>609</v>
      </c>
      <c r="I1486" s="5">
        <v>2.35E-2</v>
      </c>
      <c r="J1486" s="2">
        <v>0.55000000000000004</v>
      </c>
      <c r="K1486" s="6">
        <v>334.95</v>
      </c>
      <c r="L1486" s="4">
        <v>7</v>
      </c>
      <c r="M1486" s="2">
        <v>47.85</v>
      </c>
      <c r="N1486" s="6">
        <v>509.29</v>
      </c>
      <c r="O1486" s="6">
        <f t="shared" si="116"/>
        <v>174.34000000000003</v>
      </c>
      <c r="P1486" s="6">
        <f t="shared" si="117"/>
        <v>0.5204955963576654</v>
      </c>
      <c r="Q1486" s="3">
        <v>1.52</v>
      </c>
      <c r="R1486" t="str">
        <f t="shared" si="118"/>
        <v>Medium</v>
      </c>
      <c r="S1486" t="str">
        <f t="shared" si="119"/>
        <v>Valid</v>
      </c>
    </row>
    <row r="1487" spans="1:19" x14ac:dyDescent="0.25">
      <c r="A1487" s="1">
        <v>45591</v>
      </c>
      <c r="B1487" s="1" t="str">
        <f t="shared" si="115"/>
        <v>2024-10</v>
      </c>
      <c r="C1487" t="s">
        <v>14</v>
      </c>
      <c r="D1487" t="s">
        <v>29</v>
      </c>
      <c r="E1487" t="s">
        <v>16</v>
      </c>
      <c r="F1487" t="s">
        <v>17</v>
      </c>
      <c r="G1487" s="4">
        <v>114914</v>
      </c>
      <c r="H1487" s="4">
        <v>3803</v>
      </c>
      <c r="I1487" s="5">
        <v>3.3099999999999997E-2</v>
      </c>
      <c r="J1487" s="2">
        <v>2.69</v>
      </c>
      <c r="K1487" s="6">
        <v>10230.07</v>
      </c>
      <c r="L1487" s="4">
        <v>224</v>
      </c>
      <c r="M1487" s="2">
        <v>45.67</v>
      </c>
      <c r="N1487" s="6">
        <v>67007.759999999995</v>
      </c>
      <c r="O1487" s="6">
        <f t="shared" si="116"/>
        <v>56777.689999999995</v>
      </c>
      <c r="P1487" s="6">
        <f t="shared" si="117"/>
        <v>5.550078347459988</v>
      </c>
      <c r="Q1487" s="3">
        <v>6.55</v>
      </c>
      <c r="R1487" t="str">
        <f t="shared" si="118"/>
        <v>High</v>
      </c>
      <c r="S1487" t="str">
        <f t="shared" si="119"/>
        <v>Valid</v>
      </c>
    </row>
    <row r="1488" spans="1:19" x14ac:dyDescent="0.25">
      <c r="A1488" s="1">
        <v>45562</v>
      </c>
      <c r="B1488" s="1" t="str">
        <f t="shared" si="115"/>
        <v>2024-09</v>
      </c>
      <c r="C1488" t="s">
        <v>14</v>
      </c>
      <c r="D1488" t="s">
        <v>29</v>
      </c>
      <c r="E1488" t="s">
        <v>19</v>
      </c>
      <c r="F1488" t="s">
        <v>32</v>
      </c>
      <c r="G1488" s="4">
        <v>34652</v>
      </c>
      <c r="H1488" s="4">
        <v>866</v>
      </c>
      <c r="I1488" s="5">
        <v>2.5000000000000001E-2</v>
      </c>
      <c r="J1488" s="2">
        <v>1.57</v>
      </c>
      <c r="K1488" s="6">
        <v>1359.62</v>
      </c>
      <c r="L1488" s="4">
        <v>43</v>
      </c>
      <c r="M1488" s="2">
        <v>31.62</v>
      </c>
      <c r="N1488" s="6">
        <v>2728.57</v>
      </c>
      <c r="O1488" s="6">
        <f t="shared" si="116"/>
        <v>1368.9500000000003</v>
      </c>
      <c r="P1488" s="6">
        <f t="shared" si="117"/>
        <v>1.0068622115002723</v>
      </c>
      <c r="Q1488" s="3">
        <v>2.0099999999999998</v>
      </c>
      <c r="R1488" t="str">
        <f t="shared" si="118"/>
        <v>Medium</v>
      </c>
      <c r="S1488" t="str">
        <f t="shared" si="119"/>
        <v>Valid</v>
      </c>
    </row>
    <row r="1489" spans="1:19" x14ac:dyDescent="0.25">
      <c r="A1489" s="1">
        <v>45343</v>
      </c>
      <c r="B1489" s="1" t="str">
        <f t="shared" si="115"/>
        <v>2024-02</v>
      </c>
      <c r="C1489" t="s">
        <v>14</v>
      </c>
      <c r="D1489" t="s">
        <v>29</v>
      </c>
      <c r="E1489" t="s">
        <v>19</v>
      </c>
      <c r="F1489" t="s">
        <v>31</v>
      </c>
      <c r="G1489" s="4">
        <v>136585</v>
      </c>
      <c r="H1489" s="4">
        <v>5668</v>
      </c>
      <c r="I1489" s="5">
        <v>4.1500000000000002E-2</v>
      </c>
      <c r="J1489" s="2">
        <v>2.89</v>
      </c>
      <c r="K1489" s="6">
        <v>16380.52</v>
      </c>
      <c r="L1489" s="4">
        <v>120</v>
      </c>
      <c r="M1489" s="2">
        <v>136.5</v>
      </c>
      <c r="N1489" s="6">
        <v>20065.189999999999</v>
      </c>
      <c r="O1489" s="6">
        <f t="shared" si="116"/>
        <v>3684.6699999999983</v>
      </c>
      <c r="P1489" s="6">
        <f t="shared" si="117"/>
        <v>0.22494218742750524</v>
      </c>
      <c r="Q1489" s="3">
        <v>1.22</v>
      </c>
      <c r="R1489" t="str">
        <f t="shared" si="118"/>
        <v>Medium</v>
      </c>
      <c r="S1489" t="str">
        <f t="shared" si="119"/>
        <v>Valid</v>
      </c>
    </row>
    <row r="1490" spans="1:19" x14ac:dyDescent="0.25">
      <c r="A1490" s="1">
        <v>45619</v>
      </c>
      <c r="B1490" s="1" t="str">
        <f t="shared" si="115"/>
        <v>2024-11</v>
      </c>
      <c r="C1490" t="s">
        <v>14</v>
      </c>
      <c r="D1490" t="s">
        <v>29</v>
      </c>
      <c r="E1490" t="s">
        <v>22</v>
      </c>
      <c r="F1490" t="s">
        <v>27</v>
      </c>
      <c r="G1490" s="4">
        <v>192822</v>
      </c>
      <c r="H1490" s="4">
        <v>6228</v>
      </c>
      <c r="I1490" s="5">
        <v>3.2300000000000002E-2</v>
      </c>
      <c r="J1490" s="2">
        <v>3.35</v>
      </c>
      <c r="K1490" s="6">
        <v>20863.8</v>
      </c>
      <c r="L1490" s="4">
        <v>87</v>
      </c>
      <c r="M1490" s="2">
        <v>239.81</v>
      </c>
      <c r="N1490" s="6">
        <v>18207.05</v>
      </c>
      <c r="O1490" s="6">
        <f t="shared" si="116"/>
        <v>-2656.75</v>
      </c>
      <c r="P1490" s="6">
        <f t="shared" si="117"/>
        <v>-0.1273377812287311</v>
      </c>
      <c r="Q1490" s="3">
        <v>0.87</v>
      </c>
      <c r="R1490" t="str">
        <f t="shared" si="118"/>
        <v>Low</v>
      </c>
      <c r="S1490" t="str">
        <f t="shared" si="119"/>
        <v>Valid</v>
      </c>
    </row>
    <row r="1491" spans="1:19" x14ac:dyDescent="0.25">
      <c r="A1491" s="1">
        <v>45656</v>
      </c>
      <c r="B1491" s="1" t="str">
        <f t="shared" si="115"/>
        <v>2024-12</v>
      </c>
      <c r="C1491" t="s">
        <v>14</v>
      </c>
      <c r="D1491" t="s">
        <v>15</v>
      </c>
      <c r="E1491" t="s">
        <v>22</v>
      </c>
      <c r="F1491" t="s">
        <v>20</v>
      </c>
      <c r="G1491" s="4">
        <v>63738</v>
      </c>
      <c r="H1491" s="4">
        <v>1306</v>
      </c>
      <c r="I1491" s="5">
        <v>2.0500000000000001E-2</v>
      </c>
      <c r="J1491" s="2">
        <v>0.93</v>
      </c>
      <c r="K1491" s="6">
        <v>1214.58</v>
      </c>
      <c r="L1491" s="4">
        <v>87</v>
      </c>
      <c r="M1491" s="2">
        <v>13.96</v>
      </c>
      <c r="N1491" s="6">
        <v>16951.52</v>
      </c>
      <c r="O1491" s="6">
        <f t="shared" si="116"/>
        <v>15736.94</v>
      </c>
      <c r="P1491" s="6">
        <f t="shared" si="117"/>
        <v>12.956692848556704</v>
      </c>
      <c r="Q1491" s="3">
        <v>13.96</v>
      </c>
      <c r="R1491" t="str">
        <f t="shared" si="118"/>
        <v>High</v>
      </c>
      <c r="S1491" t="str">
        <f t="shared" si="119"/>
        <v>Valid</v>
      </c>
    </row>
    <row r="1492" spans="1:19" x14ac:dyDescent="0.25">
      <c r="A1492" s="1">
        <v>45350</v>
      </c>
      <c r="B1492" s="1" t="str">
        <f t="shared" si="115"/>
        <v>2024-02</v>
      </c>
      <c r="C1492" t="s">
        <v>14</v>
      </c>
      <c r="D1492" t="s">
        <v>15</v>
      </c>
      <c r="E1492" t="s">
        <v>16</v>
      </c>
      <c r="F1492" t="s">
        <v>31</v>
      </c>
      <c r="G1492" s="4">
        <v>28267</v>
      </c>
      <c r="H1492" s="4">
        <v>1769</v>
      </c>
      <c r="I1492" s="5">
        <v>6.2600000000000003E-2</v>
      </c>
      <c r="J1492" s="2">
        <v>2.59</v>
      </c>
      <c r="K1492" s="6">
        <v>4581.71</v>
      </c>
      <c r="L1492" s="4">
        <v>33</v>
      </c>
      <c r="M1492" s="2">
        <v>138.84</v>
      </c>
      <c r="N1492" s="6">
        <v>1968.12</v>
      </c>
      <c r="O1492" s="6">
        <f t="shared" si="116"/>
        <v>-2613.59</v>
      </c>
      <c r="P1492" s="6">
        <f t="shared" si="117"/>
        <v>-0.57043985760774907</v>
      </c>
      <c r="Q1492" s="3">
        <v>0.43</v>
      </c>
      <c r="R1492" t="str">
        <f t="shared" si="118"/>
        <v>Low</v>
      </c>
      <c r="S1492" t="str">
        <f t="shared" si="119"/>
        <v>Valid</v>
      </c>
    </row>
    <row r="1493" spans="1:19" x14ac:dyDescent="0.25">
      <c r="A1493" s="1">
        <v>45386</v>
      </c>
      <c r="B1493" s="1" t="str">
        <f t="shared" si="115"/>
        <v>2024-04</v>
      </c>
      <c r="C1493" t="s">
        <v>28</v>
      </c>
      <c r="D1493" t="s">
        <v>29</v>
      </c>
      <c r="E1493" t="s">
        <v>16</v>
      </c>
      <c r="F1493" t="s">
        <v>32</v>
      </c>
      <c r="G1493" s="4">
        <v>42606</v>
      </c>
      <c r="H1493" s="4">
        <v>1495</v>
      </c>
      <c r="I1493" s="5">
        <v>3.5099999999999999E-2</v>
      </c>
      <c r="J1493" s="2">
        <v>0.77</v>
      </c>
      <c r="K1493" s="6">
        <v>1151.1500000000001</v>
      </c>
      <c r="L1493" s="4">
        <v>96</v>
      </c>
      <c r="M1493" s="2">
        <v>11.99</v>
      </c>
      <c r="N1493" s="6">
        <v>14890.27</v>
      </c>
      <c r="O1493" s="6">
        <f t="shared" si="116"/>
        <v>13739.12</v>
      </c>
      <c r="P1493" s="6">
        <f t="shared" si="117"/>
        <v>11.935125743821395</v>
      </c>
      <c r="Q1493" s="3">
        <v>12.94</v>
      </c>
      <c r="R1493" t="str">
        <f t="shared" si="118"/>
        <v>High</v>
      </c>
      <c r="S1493" t="str">
        <f t="shared" si="119"/>
        <v>Valid</v>
      </c>
    </row>
    <row r="1494" spans="1:19" x14ac:dyDescent="0.25">
      <c r="A1494" s="1">
        <v>45313</v>
      </c>
      <c r="B1494" s="1" t="str">
        <f t="shared" si="115"/>
        <v>2024-01</v>
      </c>
      <c r="C1494" t="s">
        <v>18</v>
      </c>
      <c r="D1494" t="s">
        <v>29</v>
      </c>
      <c r="E1494" t="s">
        <v>22</v>
      </c>
      <c r="F1494" t="s">
        <v>27</v>
      </c>
      <c r="G1494" s="4">
        <v>120409</v>
      </c>
      <c r="H1494" s="4">
        <v>8356</v>
      </c>
      <c r="I1494" s="5">
        <v>6.9400000000000003E-2</v>
      </c>
      <c r="J1494" s="2">
        <v>0.96</v>
      </c>
      <c r="K1494" s="6">
        <v>8021.76</v>
      </c>
      <c r="L1494" s="4">
        <v>663</v>
      </c>
      <c r="M1494" s="2">
        <v>12.1</v>
      </c>
      <c r="N1494" s="6">
        <v>50787.7</v>
      </c>
      <c r="O1494" s="6">
        <f t="shared" si="116"/>
        <v>42765.939999999995</v>
      </c>
      <c r="P1494" s="6">
        <f t="shared" si="117"/>
        <v>5.3312415230572832</v>
      </c>
      <c r="Q1494" s="3">
        <v>6.33</v>
      </c>
      <c r="R1494" t="str">
        <f t="shared" si="118"/>
        <v>High</v>
      </c>
      <c r="S1494" t="str">
        <f t="shared" si="119"/>
        <v>Valid</v>
      </c>
    </row>
    <row r="1495" spans="1:19" x14ac:dyDescent="0.25">
      <c r="A1495" s="1">
        <v>45416</v>
      </c>
      <c r="B1495" s="1" t="str">
        <f t="shared" si="115"/>
        <v>2024-05</v>
      </c>
      <c r="C1495" t="s">
        <v>18</v>
      </c>
      <c r="D1495" t="s">
        <v>29</v>
      </c>
      <c r="E1495" t="s">
        <v>19</v>
      </c>
      <c r="F1495" t="s">
        <v>26</v>
      </c>
      <c r="G1495" s="4">
        <v>120210</v>
      </c>
      <c r="H1495" s="4">
        <v>6455</v>
      </c>
      <c r="I1495" s="5">
        <v>5.3699999999999998E-2</v>
      </c>
      <c r="J1495" s="2">
        <v>1.78</v>
      </c>
      <c r="K1495" s="6">
        <v>11489.9</v>
      </c>
      <c r="L1495" s="4">
        <v>289</v>
      </c>
      <c r="M1495" s="2">
        <v>39.76</v>
      </c>
      <c r="N1495" s="6">
        <v>23286.47</v>
      </c>
      <c r="O1495" s="6">
        <f t="shared" si="116"/>
        <v>11796.570000000002</v>
      </c>
      <c r="P1495" s="6">
        <f t="shared" si="117"/>
        <v>1.0266903976535915</v>
      </c>
      <c r="Q1495" s="3">
        <v>2.0299999999999998</v>
      </c>
      <c r="R1495" t="str">
        <f t="shared" si="118"/>
        <v>Medium</v>
      </c>
      <c r="S1495" t="str">
        <f t="shared" si="119"/>
        <v>Valid</v>
      </c>
    </row>
    <row r="1496" spans="1:19" x14ac:dyDescent="0.25">
      <c r="A1496" s="1">
        <v>45511</v>
      </c>
      <c r="B1496" s="1" t="str">
        <f t="shared" si="115"/>
        <v>2024-08</v>
      </c>
      <c r="C1496" t="s">
        <v>28</v>
      </c>
      <c r="D1496" t="s">
        <v>15</v>
      </c>
      <c r="E1496" t="s">
        <v>22</v>
      </c>
      <c r="F1496" t="s">
        <v>17</v>
      </c>
      <c r="G1496" s="4">
        <v>96360</v>
      </c>
      <c r="H1496" s="4">
        <v>3247</v>
      </c>
      <c r="I1496" s="5">
        <v>3.3700000000000001E-2</v>
      </c>
      <c r="J1496" s="2">
        <v>0.43</v>
      </c>
      <c r="K1496" s="6">
        <v>1396.21</v>
      </c>
      <c r="L1496" s="4">
        <v>211</v>
      </c>
      <c r="M1496" s="2">
        <v>6.62</v>
      </c>
      <c r="N1496" s="6">
        <v>50567.51</v>
      </c>
      <c r="O1496" s="6">
        <f t="shared" si="116"/>
        <v>49171.3</v>
      </c>
      <c r="P1496" s="6">
        <f t="shared" si="117"/>
        <v>35.217696478323461</v>
      </c>
      <c r="Q1496" s="3">
        <v>36.22</v>
      </c>
      <c r="R1496" t="str">
        <f t="shared" si="118"/>
        <v>High</v>
      </c>
      <c r="S1496" t="str">
        <f t="shared" si="119"/>
        <v>Valid</v>
      </c>
    </row>
    <row r="1497" spans="1:19" x14ac:dyDescent="0.25">
      <c r="A1497" s="1">
        <v>45404</v>
      </c>
      <c r="B1497" s="1" t="str">
        <f t="shared" si="115"/>
        <v>2024-04</v>
      </c>
      <c r="C1497" t="s">
        <v>18</v>
      </c>
      <c r="D1497" t="s">
        <v>24</v>
      </c>
      <c r="E1497" t="s">
        <v>19</v>
      </c>
      <c r="F1497" t="s">
        <v>27</v>
      </c>
      <c r="G1497" s="4">
        <v>186006</v>
      </c>
      <c r="H1497" s="4">
        <v>9002</v>
      </c>
      <c r="I1497" s="5">
        <v>4.8399999999999999E-2</v>
      </c>
      <c r="J1497" s="2">
        <v>1.52</v>
      </c>
      <c r="K1497" s="6">
        <v>13683.04</v>
      </c>
      <c r="L1497" s="4">
        <v>266</v>
      </c>
      <c r="M1497" s="2">
        <v>51.44</v>
      </c>
      <c r="N1497" s="6">
        <v>31194.26</v>
      </c>
      <c r="O1497" s="6">
        <f t="shared" si="116"/>
        <v>17511.219999999998</v>
      </c>
      <c r="P1497" s="6">
        <f t="shared" si="117"/>
        <v>1.2797755469544776</v>
      </c>
      <c r="Q1497" s="3">
        <v>2.2799999999999998</v>
      </c>
      <c r="R1497" t="str">
        <f t="shared" si="118"/>
        <v>Medium</v>
      </c>
      <c r="S1497" t="str">
        <f t="shared" si="119"/>
        <v>Valid</v>
      </c>
    </row>
    <row r="1498" spans="1:19" x14ac:dyDescent="0.25">
      <c r="A1498" s="1">
        <v>45579</v>
      </c>
      <c r="B1498" s="1" t="str">
        <f t="shared" si="115"/>
        <v>2024-10</v>
      </c>
      <c r="C1498" t="s">
        <v>14</v>
      </c>
      <c r="D1498" t="s">
        <v>24</v>
      </c>
      <c r="E1498" t="s">
        <v>30</v>
      </c>
      <c r="F1498" t="s">
        <v>26</v>
      </c>
      <c r="G1498" s="4">
        <v>34036</v>
      </c>
      <c r="H1498" s="4">
        <v>2086</v>
      </c>
      <c r="I1498" s="5">
        <v>6.13E-2</v>
      </c>
      <c r="J1498" s="2">
        <v>3.45</v>
      </c>
      <c r="K1498" s="6">
        <v>7196.7</v>
      </c>
      <c r="L1498" s="4">
        <v>110</v>
      </c>
      <c r="M1498" s="2">
        <v>65.42</v>
      </c>
      <c r="N1498" s="6">
        <v>21503.08</v>
      </c>
      <c r="O1498" s="6">
        <f t="shared" si="116"/>
        <v>14306.380000000001</v>
      </c>
      <c r="P1498" s="6">
        <f t="shared" si="117"/>
        <v>1.9879083468812095</v>
      </c>
      <c r="Q1498" s="3">
        <v>2.99</v>
      </c>
      <c r="R1498" t="str">
        <f t="shared" si="118"/>
        <v>Medium</v>
      </c>
      <c r="S1498" t="str">
        <f t="shared" si="119"/>
        <v>Valid</v>
      </c>
    </row>
    <row r="1499" spans="1:19" x14ac:dyDescent="0.25">
      <c r="A1499" s="1">
        <v>45332</v>
      </c>
      <c r="B1499" s="1" t="str">
        <f t="shared" si="115"/>
        <v>2024-02</v>
      </c>
      <c r="C1499" t="s">
        <v>18</v>
      </c>
      <c r="D1499" t="s">
        <v>24</v>
      </c>
      <c r="E1499" t="s">
        <v>25</v>
      </c>
      <c r="F1499" t="s">
        <v>23</v>
      </c>
      <c r="G1499" s="4">
        <v>116709</v>
      </c>
      <c r="H1499" s="4">
        <v>6640</v>
      </c>
      <c r="I1499" s="5">
        <v>5.6899999999999999E-2</v>
      </c>
      <c r="J1499" s="2">
        <v>1.97</v>
      </c>
      <c r="K1499" s="6">
        <v>13080.8</v>
      </c>
      <c r="L1499" s="4">
        <v>304</v>
      </c>
      <c r="M1499" s="2">
        <v>43.03</v>
      </c>
      <c r="N1499" s="6">
        <v>83458.179999999993</v>
      </c>
      <c r="O1499" s="6">
        <f t="shared" si="116"/>
        <v>70377.37999999999</v>
      </c>
      <c r="P1499" s="6">
        <f t="shared" si="117"/>
        <v>5.3802045746437521</v>
      </c>
      <c r="Q1499" s="3">
        <v>6.38</v>
      </c>
      <c r="R1499" t="str">
        <f t="shared" si="118"/>
        <v>High</v>
      </c>
      <c r="S1499" t="str">
        <f t="shared" si="119"/>
        <v>Valid</v>
      </c>
    </row>
    <row r="1500" spans="1:19" x14ac:dyDescent="0.25">
      <c r="A1500" s="1">
        <v>45448</v>
      </c>
      <c r="B1500" s="1" t="str">
        <f t="shared" si="115"/>
        <v>2024-06</v>
      </c>
      <c r="C1500" t="s">
        <v>28</v>
      </c>
      <c r="D1500" t="s">
        <v>24</v>
      </c>
      <c r="E1500" t="s">
        <v>19</v>
      </c>
      <c r="F1500" t="s">
        <v>20</v>
      </c>
      <c r="G1500" s="4">
        <v>98276</v>
      </c>
      <c r="H1500" s="4">
        <v>2368</v>
      </c>
      <c r="I1500" s="5">
        <v>2.41E-2</v>
      </c>
      <c r="J1500" s="2">
        <v>1.41</v>
      </c>
      <c r="K1500" s="6">
        <v>3338.88</v>
      </c>
      <c r="L1500" s="4">
        <v>115</v>
      </c>
      <c r="M1500" s="2">
        <v>29.03</v>
      </c>
      <c r="N1500" s="6">
        <v>21637.86</v>
      </c>
      <c r="O1500" s="6">
        <f t="shared" si="116"/>
        <v>18298.98</v>
      </c>
      <c r="P1500" s="6">
        <f t="shared" si="117"/>
        <v>5.4805743243243237</v>
      </c>
      <c r="Q1500" s="3">
        <v>6.48</v>
      </c>
      <c r="R1500" t="str">
        <f t="shared" si="118"/>
        <v>High</v>
      </c>
      <c r="S1500" t="str">
        <f t="shared" si="119"/>
        <v>Valid</v>
      </c>
    </row>
    <row r="1501" spans="1:19" x14ac:dyDescent="0.25">
      <c r="A1501" s="1">
        <v>45554</v>
      </c>
      <c r="B1501" s="1" t="str">
        <f t="shared" si="115"/>
        <v>2024-09</v>
      </c>
      <c r="C1501" t="s">
        <v>14</v>
      </c>
      <c r="D1501" t="s">
        <v>24</v>
      </c>
      <c r="E1501" t="s">
        <v>19</v>
      </c>
      <c r="F1501" t="s">
        <v>20</v>
      </c>
      <c r="G1501" s="4">
        <v>162353</v>
      </c>
      <c r="H1501" s="4">
        <v>3977</v>
      </c>
      <c r="I1501" s="5">
        <v>2.4500000000000001E-2</v>
      </c>
      <c r="J1501" s="2">
        <v>1.45</v>
      </c>
      <c r="K1501" s="6">
        <v>5766.65</v>
      </c>
      <c r="L1501" s="4">
        <v>57</v>
      </c>
      <c r="M1501" s="2">
        <v>101.17</v>
      </c>
      <c r="N1501" s="6">
        <v>15175.48</v>
      </c>
      <c r="O1501" s="6">
        <f t="shared" si="116"/>
        <v>9408.83</v>
      </c>
      <c r="P1501" s="6">
        <f t="shared" si="117"/>
        <v>1.631593732929864</v>
      </c>
      <c r="Q1501" s="3">
        <v>2.63</v>
      </c>
      <c r="R1501" t="str">
        <f t="shared" si="118"/>
        <v>Medium</v>
      </c>
      <c r="S1501" t="str">
        <f t="shared" si="119"/>
        <v>Valid</v>
      </c>
    </row>
    <row r="1502" spans="1:19" x14ac:dyDescent="0.25">
      <c r="A1502" s="1">
        <v>45631</v>
      </c>
      <c r="B1502" s="1" t="str">
        <f t="shared" si="115"/>
        <v>2024-12</v>
      </c>
      <c r="C1502" t="s">
        <v>28</v>
      </c>
      <c r="D1502" t="s">
        <v>15</v>
      </c>
      <c r="E1502" t="s">
        <v>25</v>
      </c>
      <c r="F1502" t="s">
        <v>20</v>
      </c>
      <c r="G1502" s="4">
        <v>129790</v>
      </c>
      <c r="H1502" s="4">
        <v>5697</v>
      </c>
      <c r="I1502" s="5">
        <v>4.3900000000000002E-2</v>
      </c>
      <c r="J1502" s="2">
        <v>0.52</v>
      </c>
      <c r="K1502" s="6">
        <v>2962.44</v>
      </c>
      <c r="L1502" s="4">
        <v>223</v>
      </c>
      <c r="M1502" s="2">
        <v>13.28</v>
      </c>
      <c r="N1502" s="6">
        <v>58627.34</v>
      </c>
      <c r="O1502" s="6">
        <f t="shared" si="116"/>
        <v>55664.899999999994</v>
      </c>
      <c r="P1502" s="6">
        <f t="shared" si="117"/>
        <v>18.790220223869511</v>
      </c>
      <c r="Q1502" s="3">
        <v>19.79</v>
      </c>
      <c r="R1502" t="str">
        <f t="shared" si="118"/>
        <v>High</v>
      </c>
      <c r="S1502" t="str">
        <f t="shared" si="119"/>
        <v>Valid</v>
      </c>
    </row>
    <row r="1503" spans="1:19" x14ac:dyDescent="0.25">
      <c r="A1503" s="1">
        <v>45644</v>
      </c>
      <c r="B1503" s="1" t="str">
        <f t="shared" si="115"/>
        <v>2024-12</v>
      </c>
      <c r="C1503" t="s">
        <v>14</v>
      </c>
      <c r="D1503" t="s">
        <v>21</v>
      </c>
      <c r="E1503" t="s">
        <v>22</v>
      </c>
      <c r="F1503" t="s">
        <v>31</v>
      </c>
      <c r="G1503" s="4">
        <v>184982</v>
      </c>
      <c r="H1503" s="4">
        <v>4772</v>
      </c>
      <c r="I1503" s="5">
        <v>2.58E-2</v>
      </c>
      <c r="J1503" s="2">
        <v>3.08</v>
      </c>
      <c r="K1503" s="6">
        <v>14697.76</v>
      </c>
      <c r="L1503" s="4">
        <v>141</v>
      </c>
      <c r="M1503" s="2">
        <v>104.24</v>
      </c>
      <c r="N1503" s="6">
        <v>26098.46</v>
      </c>
      <c r="O1503" s="6">
        <f t="shared" si="116"/>
        <v>11400.699999999999</v>
      </c>
      <c r="P1503" s="6">
        <f t="shared" si="117"/>
        <v>0.77567602138012859</v>
      </c>
      <c r="Q1503" s="3">
        <v>1.78</v>
      </c>
      <c r="R1503" t="str">
        <f t="shared" si="118"/>
        <v>Medium</v>
      </c>
      <c r="S1503" t="str">
        <f t="shared" si="119"/>
        <v>Valid</v>
      </c>
    </row>
    <row r="1504" spans="1:19" x14ac:dyDescent="0.25">
      <c r="A1504" s="1">
        <v>45520</v>
      </c>
      <c r="B1504" s="1" t="str">
        <f t="shared" si="115"/>
        <v>2024-08</v>
      </c>
      <c r="C1504" t="s">
        <v>14</v>
      </c>
      <c r="D1504" t="s">
        <v>15</v>
      </c>
      <c r="E1504" t="s">
        <v>16</v>
      </c>
      <c r="F1504" t="s">
        <v>20</v>
      </c>
      <c r="G1504" s="4">
        <v>166673</v>
      </c>
      <c r="H1504" s="4">
        <v>4733</v>
      </c>
      <c r="I1504" s="5">
        <v>2.8400000000000002E-2</v>
      </c>
      <c r="J1504" s="2">
        <v>0.84</v>
      </c>
      <c r="K1504" s="6">
        <v>3975.72</v>
      </c>
      <c r="L1504" s="4">
        <v>336</v>
      </c>
      <c r="M1504" s="2">
        <v>11.83</v>
      </c>
      <c r="N1504" s="6">
        <v>98987.51</v>
      </c>
      <c r="O1504" s="6">
        <f t="shared" si="116"/>
        <v>95011.79</v>
      </c>
      <c r="P1504" s="6">
        <f t="shared" si="117"/>
        <v>23.898008411055105</v>
      </c>
      <c r="Q1504" s="3">
        <v>24.9</v>
      </c>
      <c r="R1504" t="str">
        <f t="shared" si="118"/>
        <v>High</v>
      </c>
      <c r="S1504" t="str">
        <f t="shared" si="119"/>
        <v>Valid</v>
      </c>
    </row>
    <row r="1505" spans="1:19" x14ac:dyDescent="0.25">
      <c r="A1505" s="1">
        <v>45448</v>
      </c>
      <c r="B1505" s="1" t="str">
        <f t="shared" si="115"/>
        <v>2024-06</v>
      </c>
      <c r="C1505" t="s">
        <v>14</v>
      </c>
      <c r="D1505" t="s">
        <v>21</v>
      </c>
      <c r="E1505" t="s">
        <v>19</v>
      </c>
      <c r="F1505" t="s">
        <v>17</v>
      </c>
      <c r="G1505" s="4">
        <v>109148</v>
      </c>
      <c r="H1505" s="4">
        <v>3951</v>
      </c>
      <c r="I1505" s="5">
        <v>3.6200000000000003E-2</v>
      </c>
      <c r="J1505" s="2">
        <v>1.79</v>
      </c>
      <c r="K1505" s="6">
        <v>7072.29</v>
      </c>
      <c r="L1505" s="4">
        <v>249</v>
      </c>
      <c r="M1505" s="2">
        <v>28.4</v>
      </c>
      <c r="N1505" s="6">
        <v>56329.34</v>
      </c>
      <c r="O1505" s="6">
        <f t="shared" si="116"/>
        <v>49257.049999999996</v>
      </c>
      <c r="P1505" s="6">
        <f t="shared" si="117"/>
        <v>6.9647949956803235</v>
      </c>
      <c r="Q1505" s="3">
        <v>7.96</v>
      </c>
      <c r="R1505" t="str">
        <f t="shared" si="118"/>
        <v>High</v>
      </c>
      <c r="S1505" t="str">
        <f t="shared" si="119"/>
        <v>Valid</v>
      </c>
    </row>
    <row r="1506" spans="1:19" x14ac:dyDescent="0.25">
      <c r="A1506" s="1">
        <v>45652</v>
      </c>
      <c r="B1506" s="1" t="str">
        <f t="shared" si="115"/>
        <v>2024-12</v>
      </c>
      <c r="C1506" t="s">
        <v>14</v>
      </c>
      <c r="D1506" t="s">
        <v>21</v>
      </c>
      <c r="E1506" t="s">
        <v>19</v>
      </c>
      <c r="F1506" t="s">
        <v>23</v>
      </c>
      <c r="G1506" s="4">
        <v>173700</v>
      </c>
      <c r="H1506" s="4">
        <v>7208</v>
      </c>
      <c r="I1506" s="5">
        <v>4.1500000000000002E-2</v>
      </c>
      <c r="J1506" s="2">
        <v>2.29</v>
      </c>
      <c r="K1506" s="6">
        <v>16506.32</v>
      </c>
      <c r="L1506" s="4">
        <v>178</v>
      </c>
      <c r="M1506" s="2">
        <v>92.73</v>
      </c>
      <c r="N1506" s="6">
        <v>32171.360000000001</v>
      </c>
      <c r="O1506" s="6">
        <f t="shared" si="116"/>
        <v>15665.04</v>
      </c>
      <c r="P1506" s="6">
        <f t="shared" si="117"/>
        <v>0.94903285529421466</v>
      </c>
      <c r="Q1506" s="3">
        <v>1.95</v>
      </c>
      <c r="R1506" t="str">
        <f t="shared" si="118"/>
        <v>Medium</v>
      </c>
      <c r="S1506" t="str">
        <f t="shared" si="119"/>
        <v>Valid</v>
      </c>
    </row>
    <row r="1507" spans="1:19" x14ac:dyDescent="0.25">
      <c r="A1507" s="1">
        <v>45409</v>
      </c>
      <c r="B1507" s="1" t="str">
        <f t="shared" si="115"/>
        <v>2024-04</v>
      </c>
      <c r="C1507" t="s">
        <v>28</v>
      </c>
      <c r="D1507" t="s">
        <v>21</v>
      </c>
      <c r="E1507" t="s">
        <v>19</v>
      </c>
      <c r="F1507" t="s">
        <v>17</v>
      </c>
      <c r="G1507" s="4">
        <v>173001</v>
      </c>
      <c r="H1507" s="4">
        <v>3477</v>
      </c>
      <c r="I1507" s="5">
        <v>2.01E-2</v>
      </c>
      <c r="J1507" s="2">
        <v>0.95</v>
      </c>
      <c r="K1507" s="6">
        <v>3303.15</v>
      </c>
      <c r="L1507" s="4">
        <v>51</v>
      </c>
      <c r="M1507" s="2">
        <v>64.77</v>
      </c>
      <c r="N1507" s="6">
        <v>11186.61</v>
      </c>
      <c r="O1507" s="6">
        <f t="shared" si="116"/>
        <v>7883.4600000000009</v>
      </c>
      <c r="P1507" s="6">
        <f t="shared" si="117"/>
        <v>2.3866491076699514</v>
      </c>
      <c r="Q1507" s="3">
        <v>3.39</v>
      </c>
      <c r="R1507" t="str">
        <f t="shared" si="118"/>
        <v>High</v>
      </c>
      <c r="S1507" t="str">
        <f t="shared" si="119"/>
        <v>Valid</v>
      </c>
    </row>
    <row r="1508" spans="1:19" x14ac:dyDescent="0.25">
      <c r="A1508" s="1">
        <v>45320</v>
      </c>
      <c r="B1508" s="1" t="str">
        <f t="shared" si="115"/>
        <v>2024-01</v>
      </c>
      <c r="C1508" t="s">
        <v>28</v>
      </c>
      <c r="D1508" t="s">
        <v>15</v>
      </c>
      <c r="E1508" t="s">
        <v>16</v>
      </c>
      <c r="F1508" t="s">
        <v>20</v>
      </c>
      <c r="G1508" s="4">
        <v>56534</v>
      </c>
      <c r="H1508" s="4">
        <v>1079</v>
      </c>
      <c r="I1508" s="5">
        <v>1.9099999999999999E-2</v>
      </c>
      <c r="J1508" s="2">
        <v>0.6</v>
      </c>
      <c r="K1508" s="6">
        <v>647.4</v>
      </c>
      <c r="L1508" s="4">
        <v>27</v>
      </c>
      <c r="M1508" s="2">
        <v>23.98</v>
      </c>
      <c r="N1508" s="6">
        <v>4508.3900000000003</v>
      </c>
      <c r="O1508" s="6">
        <f t="shared" si="116"/>
        <v>3860.9900000000002</v>
      </c>
      <c r="P1508" s="6">
        <f t="shared" si="117"/>
        <v>5.9638399752857589</v>
      </c>
      <c r="Q1508" s="3">
        <v>6.96</v>
      </c>
      <c r="R1508" t="str">
        <f t="shared" si="118"/>
        <v>High</v>
      </c>
      <c r="S1508" t="str">
        <f t="shared" si="119"/>
        <v>Valid</v>
      </c>
    </row>
    <row r="1509" spans="1:19" x14ac:dyDescent="0.25">
      <c r="A1509" s="1">
        <v>45641</v>
      </c>
      <c r="B1509" s="1" t="str">
        <f t="shared" si="115"/>
        <v>2024-12</v>
      </c>
      <c r="C1509" t="s">
        <v>14</v>
      </c>
      <c r="D1509" t="s">
        <v>15</v>
      </c>
      <c r="E1509" t="s">
        <v>22</v>
      </c>
      <c r="F1509" t="s">
        <v>32</v>
      </c>
      <c r="G1509" s="4">
        <v>58520</v>
      </c>
      <c r="H1509" s="4">
        <v>3604</v>
      </c>
      <c r="I1509" s="5">
        <v>6.1600000000000002E-2</v>
      </c>
      <c r="J1509" s="2">
        <v>1.48</v>
      </c>
      <c r="K1509" s="6">
        <v>5333.92</v>
      </c>
      <c r="L1509" s="4">
        <v>265</v>
      </c>
      <c r="M1509" s="2">
        <v>20.13</v>
      </c>
      <c r="N1509" s="6">
        <v>78186.23</v>
      </c>
      <c r="O1509" s="6">
        <f t="shared" si="116"/>
        <v>72852.31</v>
      </c>
      <c r="P1509" s="6">
        <f t="shared" si="117"/>
        <v>13.658305711371748</v>
      </c>
      <c r="Q1509" s="3">
        <v>14.66</v>
      </c>
      <c r="R1509" t="str">
        <f t="shared" si="118"/>
        <v>High</v>
      </c>
      <c r="S1509" t="str">
        <f t="shared" si="119"/>
        <v>Valid</v>
      </c>
    </row>
    <row r="1510" spans="1:19" x14ac:dyDescent="0.25">
      <c r="A1510" s="1">
        <v>45545</v>
      </c>
      <c r="B1510" s="1" t="str">
        <f t="shared" si="115"/>
        <v>2024-09</v>
      </c>
      <c r="C1510" t="s">
        <v>14</v>
      </c>
      <c r="D1510" t="s">
        <v>21</v>
      </c>
      <c r="E1510" t="s">
        <v>22</v>
      </c>
      <c r="F1510" t="s">
        <v>27</v>
      </c>
      <c r="G1510" s="4">
        <v>111071</v>
      </c>
      <c r="H1510" s="4">
        <v>2865</v>
      </c>
      <c r="I1510" s="5">
        <v>2.58E-2</v>
      </c>
      <c r="J1510" s="2">
        <v>2.83</v>
      </c>
      <c r="K1510" s="6">
        <v>8107.95</v>
      </c>
      <c r="L1510" s="4">
        <v>39</v>
      </c>
      <c r="M1510" s="2">
        <v>207.9</v>
      </c>
      <c r="N1510" s="6">
        <v>8971.2800000000007</v>
      </c>
      <c r="O1510" s="6">
        <f t="shared" si="116"/>
        <v>863.33000000000084</v>
      </c>
      <c r="P1510" s="6">
        <f t="shared" si="117"/>
        <v>0.10647944301580559</v>
      </c>
      <c r="Q1510" s="3">
        <v>1.1100000000000001</v>
      </c>
      <c r="R1510" t="str">
        <f t="shared" si="118"/>
        <v>Medium</v>
      </c>
      <c r="S1510" t="str">
        <f t="shared" si="119"/>
        <v>Valid</v>
      </c>
    </row>
    <row r="1511" spans="1:19" x14ac:dyDescent="0.25">
      <c r="A1511" s="1">
        <v>45390</v>
      </c>
      <c r="B1511" s="1" t="str">
        <f t="shared" si="115"/>
        <v>2024-04</v>
      </c>
      <c r="C1511" t="s">
        <v>14</v>
      </c>
      <c r="D1511" t="s">
        <v>24</v>
      </c>
      <c r="E1511" t="s">
        <v>25</v>
      </c>
      <c r="F1511" t="s">
        <v>31</v>
      </c>
      <c r="G1511" s="4">
        <v>153750</v>
      </c>
      <c r="H1511" s="4">
        <v>4920</v>
      </c>
      <c r="I1511" s="5">
        <v>3.2000000000000001E-2</v>
      </c>
      <c r="J1511" s="2">
        <v>2.98</v>
      </c>
      <c r="K1511" s="6">
        <v>14661.6</v>
      </c>
      <c r="L1511" s="4">
        <v>117</v>
      </c>
      <c r="M1511" s="2">
        <v>125.31</v>
      </c>
      <c r="N1511" s="6">
        <v>30000.6</v>
      </c>
      <c r="O1511" s="6">
        <f t="shared" si="116"/>
        <v>15338.999999999998</v>
      </c>
      <c r="P1511" s="6">
        <f t="shared" si="117"/>
        <v>1.0462023244393517</v>
      </c>
      <c r="Q1511" s="3">
        <v>2.0499999999999998</v>
      </c>
      <c r="R1511" t="str">
        <f t="shared" si="118"/>
        <v>Medium</v>
      </c>
      <c r="S1511" t="str">
        <f t="shared" si="119"/>
        <v>Valid</v>
      </c>
    </row>
    <row r="1512" spans="1:19" x14ac:dyDescent="0.25">
      <c r="A1512" s="1">
        <v>45414</v>
      </c>
      <c r="B1512" s="1" t="str">
        <f t="shared" si="115"/>
        <v>2024-05</v>
      </c>
      <c r="C1512" t="s">
        <v>28</v>
      </c>
      <c r="D1512" t="s">
        <v>29</v>
      </c>
      <c r="E1512" t="s">
        <v>25</v>
      </c>
      <c r="F1512" t="s">
        <v>23</v>
      </c>
      <c r="G1512" s="4">
        <v>108717</v>
      </c>
      <c r="H1512" s="4">
        <v>1435</v>
      </c>
      <c r="I1512" s="5">
        <v>1.32E-2</v>
      </c>
      <c r="J1512" s="2">
        <v>1.75</v>
      </c>
      <c r="K1512" s="6">
        <v>2511.25</v>
      </c>
      <c r="L1512" s="4">
        <v>108</v>
      </c>
      <c r="M1512" s="2">
        <v>23.25</v>
      </c>
      <c r="N1512" s="6">
        <v>22074.54</v>
      </c>
      <c r="O1512" s="6">
        <f t="shared" si="116"/>
        <v>19563.29</v>
      </c>
      <c r="P1512" s="6">
        <f t="shared" si="117"/>
        <v>7.7902598307615731</v>
      </c>
      <c r="Q1512" s="3">
        <v>8.7899999999999991</v>
      </c>
      <c r="R1512" t="str">
        <f t="shared" si="118"/>
        <v>High</v>
      </c>
      <c r="S1512" t="str">
        <f t="shared" si="119"/>
        <v>Valid</v>
      </c>
    </row>
    <row r="1513" spans="1:19" x14ac:dyDescent="0.25">
      <c r="A1513" s="1">
        <v>45456</v>
      </c>
      <c r="B1513" s="1" t="str">
        <f t="shared" si="115"/>
        <v>2024-06</v>
      </c>
      <c r="C1513" t="s">
        <v>14</v>
      </c>
      <c r="D1513" t="s">
        <v>24</v>
      </c>
      <c r="E1513" t="s">
        <v>30</v>
      </c>
      <c r="F1513" t="s">
        <v>31</v>
      </c>
      <c r="G1513" s="4">
        <v>141455</v>
      </c>
      <c r="H1513" s="4">
        <v>2673</v>
      </c>
      <c r="I1513" s="5">
        <v>1.89E-2</v>
      </c>
      <c r="J1513" s="2">
        <v>2.82</v>
      </c>
      <c r="K1513" s="6">
        <v>7537.86</v>
      </c>
      <c r="L1513" s="4">
        <v>122</v>
      </c>
      <c r="M1513" s="2">
        <v>61.79</v>
      </c>
      <c r="N1513" s="6">
        <v>19810.32</v>
      </c>
      <c r="O1513" s="6">
        <f t="shared" si="116"/>
        <v>12272.46</v>
      </c>
      <c r="P1513" s="6">
        <f t="shared" si="117"/>
        <v>1.6281093042322357</v>
      </c>
      <c r="Q1513" s="3">
        <v>2.63</v>
      </c>
      <c r="R1513" t="str">
        <f t="shared" si="118"/>
        <v>Medium</v>
      </c>
      <c r="S1513" t="str">
        <f t="shared" si="119"/>
        <v>Valid</v>
      </c>
    </row>
    <row r="1514" spans="1:19" x14ac:dyDescent="0.25">
      <c r="A1514" s="1">
        <v>45630</v>
      </c>
      <c r="B1514" s="1" t="str">
        <f t="shared" si="115"/>
        <v>2024-12</v>
      </c>
      <c r="C1514" t="s">
        <v>28</v>
      </c>
      <c r="D1514" t="s">
        <v>15</v>
      </c>
      <c r="E1514" t="s">
        <v>22</v>
      </c>
      <c r="F1514" t="s">
        <v>23</v>
      </c>
      <c r="G1514" s="4">
        <v>158742</v>
      </c>
      <c r="H1514" s="4">
        <v>5778</v>
      </c>
      <c r="I1514" s="5">
        <v>3.6400000000000002E-2</v>
      </c>
      <c r="J1514" s="2">
        <v>2.17</v>
      </c>
      <c r="K1514" s="6">
        <v>12538.26</v>
      </c>
      <c r="L1514" s="4">
        <v>388</v>
      </c>
      <c r="M1514" s="2">
        <v>32.32</v>
      </c>
      <c r="N1514" s="6">
        <v>68610.11</v>
      </c>
      <c r="O1514" s="6">
        <f t="shared" si="116"/>
        <v>56071.85</v>
      </c>
      <c r="P1514" s="6">
        <f t="shared" si="117"/>
        <v>4.4720599189999248</v>
      </c>
      <c r="Q1514" s="3">
        <v>5.47</v>
      </c>
      <c r="R1514" t="str">
        <f t="shared" si="118"/>
        <v>High</v>
      </c>
      <c r="S1514" t="str">
        <f t="shared" si="119"/>
        <v>Valid</v>
      </c>
    </row>
    <row r="1515" spans="1:19" x14ac:dyDescent="0.25">
      <c r="A1515" s="1">
        <v>45408</v>
      </c>
      <c r="B1515" s="1" t="str">
        <f t="shared" si="115"/>
        <v>2024-04</v>
      </c>
      <c r="C1515" t="s">
        <v>28</v>
      </c>
      <c r="D1515" t="s">
        <v>15</v>
      </c>
      <c r="E1515" t="s">
        <v>30</v>
      </c>
      <c r="F1515" t="s">
        <v>26</v>
      </c>
      <c r="G1515" s="4">
        <v>26845</v>
      </c>
      <c r="H1515" s="4">
        <v>528</v>
      </c>
      <c r="I1515" s="5">
        <v>1.9699999999999999E-2</v>
      </c>
      <c r="J1515" s="2">
        <v>2.08</v>
      </c>
      <c r="K1515" s="6">
        <v>1098.24</v>
      </c>
      <c r="L1515" s="4">
        <v>11</v>
      </c>
      <c r="M1515" s="2">
        <v>99.84</v>
      </c>
      <c r="N1515" s="6">
        <v>1590.52</v>
      </c>
      <c r="O1515" s="6">
        <f t="shared" si="116"/>
        <v>492.28</v>
      </c>
      <c r="P1515" s="6">
        <f t="shared" si="117"/>
        <v>0.44824446386946382</v>
      </c>
      <c r="Q1515" s="3">
        <v>1.45</v>
      </c>
      <c r="R1515" t="str">
        <f t="shared" si="118"/>
        <v>Medium</v>
      </c>
      <c r="S1515" t="str">
        <f t="shared" si="119"/>
        <v>Valid</v>
      </c>
    </row>
    <row r="1516" spans="1:19" x14ac:dyDescent="0.25">
      <c r="A1516" s="1">
        <v>45570</v>
      </c>
      <c r="B1516" s="1" t="str">
        <f t="shared" si="115"/>
        <v>2024-10</v>
      </c>
      <c r="C1516" t="s">
        <v>14</v>
      </c>
      <c r="D1516" t="s">
        <v>21</v>
      </c>
      <c r="E1516" t="s">
        <v>16</v>
      </c>
      <c r="F1516" t="s">
        <v>23</v>
      </c>
      <c r="G1516" s="4">
        <v>92332</v>
      </c>
      <c r="H1516" s="4">
        <v>5336</v>
      </c>
      <c r="I1516" s="5">
        <v>5.7799999999999997E-2</v>
      </c>
      <c r="J1516" s="2">
        <v>0.94</v>
      </c>
      <c r="K1516" s="6">
        <v>5015.84</v>
      </c>
      <c r="L1516" s="4">
        <v>213</v>
      </c>
      <c r="M1516" s="2">
        <v>23.55</v>
      </c>
      <c r="N1516" s="6">
        <v>39347.29</v>
      </c>
      <c r="O1516" s="6">
        <f t="shared" si="116"/>
        <v>34331.449999999997</v>
      </c>
      <c r="P1516" s="6">
        <f t="shared" si="117"/>
        <v>6.8446062872818905</v>
      </c>
      <c r="Q1516" s="3">
        <v>7.84</v>
      </c>
      <c r="R1516" t="str">
        <f t="shared" si="118"/>
        <v>High</v>
      </c>
      <c r="S1516" t="str">
        <f t="shared" si="119"/>
        <v>Valid</v>
      </c>
    </row>
    <row r="1517" spans="1:19" x14ac:dyDescent="0.25">
      <c r="A1517" s="1">
        <v>45540</v>
      </c>
      <c r="B1517" s="1" t="str">
        <f t="shared" si="115"/>
        <v>2024-09</v>
      </c>
      <c r="C1517" t="s">
        <v>14</v>
      </c>
      <c r="D1517" t="s">
        <v>15</v>
      </c>
      <c r="E1517" t="s">
        <v>30</v>
      </c>
      <c r="F1517" t="s">
        <v>31</v>
      </c>
      <c r="G1517" s="4">
        <v>90953</v>
      </c>
      <c r="H1517" s="4">
        <v>4365</v>
      </c>
      <c r="I1517" s="5">
        <v>4.8000000000000001E-2</v>
      </c>
      <c r="J1517" s="2">
        <v>3.04</v>
      </c>
      <c r="K1517" s="6">
        <v>13269.6</v>
      </c>
      <c r="L1517" s="4">
        <v>73</v>
      </c>
      <c r="M1517" s="2">
        <v>181.78</v>
      </c>
      <c r="N1517" s="6">
        <v>19836.75</v>
      </c>
      <c r="O1517" s="6">
        <f t="shared" si="116"/>
        <v>6567.15</v>
      </c>
      <c r="P1517" s="6">
        <f t="shared" si="117"/>
        <v>0.49490188099113758</v>
      </c>
      <c r="Q1517" s="3">
        <v>1.49</v>
      </c>
      <c r="R1517" t="str">
        <f t="shared" si="118"/>
        <v>Medium</v>
      </c>
      <c r="S1517" t="str">
        <f t="shared" si="119"/>
        <v>Valid</v>
      </c>
    </row>
    <row r="1518" spans="1:19" x14ac:dyDescent="0.25">
      <c r="A1518" s="1">
        <v>45561</v>
      </c>
      <c r="B1518" s="1" t="str">
        <f t="shared" si="115"/>
        <v>2024-09</v>
      </c>
      <c r="C1518" t="s">
        <v>28</v>
      </c>
      <c r="D1518" t="s">
        <v>24</v>
      </c>
      <c r="E1518" t="s">
        <v>25</v>
      </c>
      <c r="F1518" t="s">
        <v>27</v>
      </c>
      <c r="G1518" s="4">
        <v>15047</v>
      </c>
      <c r="H1518" s="4">
        <v>368</v>
      </c>
      <c r="I1518" s="5">
        <v>2.4500000000000001E-2</v>
      </c>
      <c r="J1518" s="2">
        <v>1.06</v>
      </c>
      <c r="K1518" s="6">
        <v>390.08</v>
      </c>
      <c r="L1518" s="4">
        <v>27</v>
      </c>
      <c r="M1518" s="2">
        <v>14.45</v>
      </c>
      <c r="N1518" s="6">
        <v>6244.19</v>
      </c>
      <c r="O1518" s="6">
        <f t="shared" si="116"/>
        <v>5854.11</v>
      </c>
      <c r="P1518" s="6">
        <f t="shared" si="117"/>
        <v>15.007460008203445</v>
      </c>
      <c r="Q1518" s="3">
        <v>16.010000000000002</v>
      </c>
      <c r="R1518" t="str">
        <f t="shared" si="118"/>
        <v>High</v>
      </c>
      <c r="S1518" t="str">
        <f t="shared" si="119"/>
        <v>Valid</v>
      </c>
    </row>
    <row r="1519" spans="1:19" x14ac:dyDescent="0.25">
      <c r="A1519" s="1">
        <v>45394</v>
      </c>
      <c r="B1519" s="1" t="str">
        <f t="shared" si="115"/>
        <v>2024-04</v>
      </c>
      <c r="C1519" t="s">
        <v>14</v>
      </c>
      <c r="D1519" t="s">
        <v>15</v>
      </c>
      <c r="E1519" t="s">
        <v>22</v>
      </c>
      <c r="F1519" t="s">
        <v>17</v>
      </c>
      <c r="G1519" s="4">
        <v>57632</v>
      </c>
      <c r="H1519" s="4">
        <v>1256</v>
      </c>
      <c r="I1519" s="5">
        <v>2.18E-2</v>
      </c>
      <c r="J1519" s="2">
        <v>1.75</v>
      </c>
      <c r="K1519" s="6">
        <v>2198</v>
      </c>
      <c r="L1519" s="4">
        <v>20</v>
      </c>
      <c r="M1519" s="2">
        <v>109.9</v>
      </c>
      <c r="N1519" s="6">
        <v>1647.61</v>
      </c>
      <c r="O1519" s="6">
        <f t="shared" si="116"/>
        <v>-550.3900000000001</v>
      </c>
      <c r="P1519" s="6">
        <f t="shared" si="117"/>
        <v>-0.25040491355777983</v>
      </c>
      <c r="Q1519" s="3">
        <v>0.75</v>
      </c>
      <c r="R1519" t="str">
        <f t="shared" si="118"/>
        <v>Low</v>
      </c>
      <c r="S1519" t="str">
        <f t="shared" si="119"/>
        <v>Valid</v>
      </c>
    </row>
    <row r="1520" spans="1:19" x14ac:dyDescent="0.25">
      <c r="A1520" s="1">
        <v>45593</v>
      </c>
      <c r="B1520" s="1" t="str">
        <f t="shared" si="115"/>
        <v>2024-10</v>
      </c>
      <c r="C1520" t="s">
        <v>18</v>
      </c>
      <c r="D1520" t="s">
        <v>24</v>
      </c>
      <c r="E1520" t="s">
        <v>19</v>
      </c>
      <c r="F1520" t="s">
        <v>17</v>
      </c>
      <c r="G1520" s="4">
        <v>193568</v>
      </c>
      <c r="H1520" s="4">
        <v>12659</v>
      </c>
      <c r="I1520" s="5">
        <v>6.54E-2</v>
      </c>
      <c r="J1520" s="2">
        <v>1.24</v>
      </c>
      <c r="K1520" s="6">
        <v>15697.16</v>
      </c>
      <c r="L1520" s="4">
        <v>366</v>
      </c>
      <c r="M1520" s="2">
        <v>42.89</v>
      </c>
      <c r="N1520" s="6">
        <v>17585.84</v>
      </c>
      <c r="O1520" s="6">
        <f t="shared" si="116"/>
        <v>1888.6800000000003</v>
      </c>
      <c r="P1520" s="6">
        <f t="shared" si="117"/>
        <v>0.12031985403729084</v>
      </c>
      <c r="Q1520" s="3">
        <v>1.1200000000000001</v>
      </c>
      <c r="R1520" t="str">
        <f t="shared" si="118"/>
        <v>Medium</v>
      </c>
      <c r="S1520" t="str">
        <f t="shared" si="119"/>
        <v>Valid</v>
      </c>
    </row>
    <row r="1521" spans="1:19" x14ac:dyDescent="0.25">
      <c r="A1521" s="1">
        <v>45433</v>
      </c>
      <c r="B1521" s="1" t="str">
        <f t="shared" si="115"/>
        <v>2024-05</v>
      </c>
      <c r="C1521" t="s">
        <v>14</v>
      </c>
      <c r="D1521" t="s">
        <v>21</v>
      </c>
      <c r="E1521" t="s">
        <v>25</v>
      </c>
      <c r="F1521" t="s">
        <v>26</v>
      </c>
      <c r="G1521" s="4">
        <v>30343</v>
      </c>
      <c r="H1521" s="4">
        <v>743</v>
      </c>
      <c r="I1521" s="5">
        <v>2.4500000000000001E-2</v>
      </c>
      <c r="J1521" s="2">
        <v>3.05</v>
      </c>
      <c r="K1521" s="6">
        <v>2266.15</v>
      </c>
      <c r="L1521" s="4">
        <v>39</v>
      </c>
      <c r="M1521" s="2">
        <v>58.11</v>
      </c>
      <c r="N1521" s="6">
        <v>7450.31</v>
      </c>
      <c r="O1521" s="6">
        <f t="shared" si="116"/>
        <v>5184.16</v>
      </c>
      <c r="P1521" s="6">
        <f t="shared" si="117"/>
        <v>2.2876508615934514</v>
      </c>
      <c r="Q1521" s="3">
        <v>3.29</v>
      </c>
      <c r="R1521" t="str">
        <f t="shared" si="118"/>
        <v>High</v>
      </c>
      <c r="S1521" t="str">
        <f t="shared" si="119"/>
        <v>Valid</v>
      </c>
    </row>
    <row r="1522" spans="1:19" x14ac:dyDescent="0.25">
      <c r="A1522" s="1">
        <v>45527</v>
      </c>
      <c r="B1522" s="1" t="str">
        <f t="shared" si="115"/>
        <v>2024-08</v>
      </c>
      <c r="C1522" t="s">
        <v>28</v>
      </c>
      <c r="D1522" t="s">
        <v>29</v>
      </c>
      <c r="E1522" t="s">
        <v>25</v>
      </c>
      <c r="F1522" t="s">
        <v>26</v>
      </c>
      <c r="G1522" s="4">
        <v>6903</v>
      </c>
      <c r="H1522" s="4">
        <v>225</v>
      </c>
      <c r="I1522" s="5">
        <v>3.2599999999999997E-2</v>
      </c>
      <c r="J1522" s="2">
        <v>1.92</v>
      </c>
      <c r="K1522" s="6">
        <v>432</v>
      </c>
      <c r="L1522" s="4">
        <v>7</v>
      </c>
      <c r="M1522" s="2">
        <v>61.71</v>
      </c>
      <c r="N1522" s="6">
        <v>513.46</v>
      </c>
      <c r="O1522" s="6">
        <f t="shared" si="116"/>
        <v>81.460000000000036</v>
      </c>
      <c r="P1522" s="6">
        <f t="shared" si="117"/>
        <v>0.18856481481481491</v>
      </c>
      <c r="Q1522" s="3">
        <v>1.19</v>
      </c>
      <c r="R1522" t="str">
        <f t="shared" si="118"/>
        <v>Medium</v>
      </c>
      <c r="S1522" t="str">
        <f t="shared" si="119"/>
        <v>Valid</v>
      </c>
    </row>
    <row r="1523" spans="1:19" x14ac:dyDescent="0.25">
      <c r="A1523" s="1">
        <v>45340</v>
      </c>
      <c r="B1523" s="1" t="str">
        <f t="shared" si="115"/>
        <v>2024-02</v>
      </c>
      <c r="C1523" t="s">
        <v>18</v>
      </c>
      <c r="D1523" t="s">
        <v>29</v>
      </c>
      <c r="E1523" t="s">
        <v>25</v>
      </c>
      <c r="F1523" t="s">
        <v>23</v>
      </c>
      <c r="G1523" s="4">
        <v>194291</v>
      </c>
      <c r="H1523" s="4">
        <v>9248</v>
      </c>
      <c r="I1523" s="5">
        <v>4.7600000000000003E-2</v>
      </c>
      <c r="J1523" s="2">
        <v>1.08</v>
      </c>
      <c r="K1523" s="6">
        <v>9987.84</v>
      </c>
      <c r="L1523" s="4">
        <v>669</v>
      </c>
      <c r="M1523" s="2">
        <v>14.93</v>
      </c>
      <c r="N1523" s="6">
        <v>34771.85</v>
      </c>
      <c r="O1523" s="6">
        <f t="shared" si="116"/>
        <v>24784.01</v>
      </c>
      <c r="P1523" s="6">
        <f t="shared" si="117"/>
        <v>2.4814184047802126</v>
      </c>
      <c r="Q1523" s="3">
        <v>3.48</v>
      </c>
      <c r="R1523" t="str">
        <f t="shared" si="118"/>
        <v>High</v>
      </c>
      <c r="S1523" t="str">
        <f t="shared" si="119"/>
        <v>Valid</v>
      </c>
    </row>
    <row r="1524" spans="1:19" x14ac:dyDescent="0.25">
      <c r="A1524" s="1">
        <v>45513</v>
      </c>
      <c r="B1524" s="1" t="str">
        <f t="shared" si="115"/>
        <v>2024-08</v>
      </c>
      <c r="C1524" t="s">
        <v>28</v>
      </c>
      <c r="D1524" t="s">
        <v>24</v>
      </c>
      <c r="E1524" t="s">
        <v>22</v>
      </c>
      <c r="F1524" t="s">
        <v>31</v>
      </c>
      <c r="G1524" s="4">
        <v>25704</v>
      </c>
      <c r="H1524" s="4">
        <v>616</v>
      </c>
      <c r="I1524" s="5">
        <v>2.4E-2</v>
      </c>
      <c r="J1524" s="2">
        <v>1</v>
      </c>
      <c r="K1524" s="6">
        <v>616</v>
      </c>
      <c r="L1524" s="4">
        <v>18</v>
      </c>
      <c r="M1524" s="2">
        <v>34.22</v>
      </c>
      <c r="N1524" s="6">
        <v>2381.36</v>
      </c>
      <c r="O1524" s="6">
        <f t="shared" si="116"/>
        <v>1765.3600000000001</v>
      </c>
      <c r="P1524" s="6">
        <f t="shared" si="117"/>
        <v>2.8658441558441559</v>
      </c>
      <c r="Q1524" s="3">
        <v>3.87</v>
      </c>
      <c r="R1524" t="str">
        <f t="shared" si="118"/>
        <v>High</v>
      </c>
      <c r="S1524" t="str">
        <f t="shared" si="119"/>
        <v>Valid</v>
      </c>
    </row>
    <row r="1525" spans="1:19" x14ac:dyDescent="0.25">
      <c r="A1525" s="1">
        <v>45443</v>
      </c>
      <c r="B1525" s="1" t="str">
        <f t="shared" si="115"/>
        <v>2024-05</v>
      </c>
      <c r="C1525" t="s">
        <v>14</v>
      </c>
      <c r="D1525" t="s">
        <v>29</v>
      </c>
      <c r="E1525" t="s">
        <v>22</v>
      </c>
      <c r="F1525" t="s">
        <v>26</v>
      </c>
      <c r="G1525" s="4">
        <v>18696</v>
      </c>
      <c r="H1525" s="4">
        <v>327</v>
      </c>
      <c r="I1525" s="5">
        <v>1.7500000000000002E-2</v>
      </c>
      <c r="J1525" s="2">
        <v>2.61</v>
      </c>
      <c r="K1525" s="6">
        <v>853.47</v>
      </c>
      <c r="L1525" s="4">
        <v>8</v>
      </c>
      <c r="M1525" s="2">
        <v>106.68</v>
      </c>
      <c r="N1525" s="6">
        <v>1284.99</v>
      </c>
      <c r="O1525" s="6">
        <f t="shared" si="116"/>
        <v>431.52</v>
      </c>
      <c r="P1525" s="6">
        <f t="shared" si="117"/>
        <v>0.50560652395514782</v>
      </c>
      <c r="Q1525" s="3">
        <v>1.51</v>
      </c>
      <c r="R1525" t="str">
        <f t="shared" si="118"/>
        <v>Medium</v>
      </c>
      <c r="S1525" t="str">
        <f t="shared" si="119"/>
        <v>Valid</v>
      </c>
    </row>
    <row r="1526" spans="1:19" x14ac:dyDescent="0.25">
      <c r="A1526" s="1">
        <v>45338</v>
      </c>
      <c r="B1526" s="1" t="str">
        <f t="shared" si="115"/>
        <v>2024-02</v>
      </c>
      <c r="C1526" t="s">
        <v>28</v>
      </c>
      <c r="D1526" t="s">
        <v>21</v>
      </c>
      <c r="E1526" t="s">
        <v>19</v>
      </c>
      <c r="F1526" t="s">
        <v>20</v>
      </c>
      <c r="G1526" s="4">
        <v>165408</v>
      </c>
      <c r="H1526" s="4">
        <v>1670</v>
      </c>
      <c r="I1526" s="5">
        <v>1.01E-2</v>
      </c>
      <c r="J1526" s="2">
        <v>1.3</v>
      </c>
      <c r="K1526" s="6">
        <v>2171</v>
      </c>
      <c r="L1526" s="4">
        <v>80</v>
      </c>
      <c r="M1526" s="2">
        <v>27.14</v>
      </c>
      <c r="N1526" s="6">
        <v>9561</v>
      </c>
      <c r="O1526" s="6">
        <f t="shared" si="116"/>
        <v>7390</v>
      </c>
      <c r="P1526" s="6">
        <f t="shared" si="117"/>
        <v>3.4039613081529247</v>
      </c>
      <c r="Q1526" s="3">
        <v>4.4000000000000004</v>
      </c>
      <c r="R1526" t="str">
        <f t="shared" si="118"/>
        <v>High</v>
      </c>
      <c r="S1526" t="str">
        <f t="shared" si="119"/>
        <v>Valid</v>
      </c>
    </row>
    <row r="1527" spans="1:19" x14ac:dyDescent="0.25">
      <c r="A1527" s="1">
        <v>45396</v>
      </c>
      <c r="B1527" s="1" t="str">
        <f t="shared" si="115"/>
        <v>2024-04</v>
      </c>
      <c r="C1527" t="s">
        <v>14</v>
      </c>
      <c r="D1527" t="s">
        <v>15</v>
      </c>
      <c r="E1527" t="s">
        <v>30</v>
      </c>
      <c r="F1527" t="s">
        <v>32</v>
      </c>
      <c r="G1527" s="4">
        <v>191372</v>
      </c>
      <c r="H1527" s="4">
        <v>11711</v>
      </c>
      <c r="I1527" s="5">
        <v>6.1199999999999997E-2</v>
      </c>
      <c r="J1527" s="2">
        <v>2.48</v>
      </c>
      <c r="K1527" s="6">
        <v>29043.279999999999</v>
      </c>
      <c r="L1527" s="4">
        <v>335</v>
      </c>
      <c r="M1527" s="2">
        <v>86.7</v>
      </c>
      <c r="N1527" s="6">
        <v>75028.42</v>
      </c>
      <c r="O1527" s="6">
        <f t="shared" si="116"/>
        <v>45985.14</v>
      </c>
      <c r="P1527" s="6">
        <f t="shared" si="117"/>
        <v>1.5833314969934527</v>
      </c>
      <c r="Q1527" s="3">
        <v>2.58</v>
      </c>
      <c r="R1527" t="str">
        <f t="shared" si="118"/>
        <v>Medium</v>
      </c>
      <c r="S1527" t="str">
        <f t="shared" si="119"/>
        <v>Valid</v>
      </c>
    </row>
    <row r="1528" spans="1:19" x14ac:dyDescent="0.25">
      <c r="A1528" s="1">
        <v>45541</v>
      </c>
      <c r="B1528" s="1" t="str">
        <f t="shared" si="115"/>
        <v>2024-09</v>
      </c>
      <c r="C1528" t="s">
        <v>28</v>
      </c>
      <c r="D1528" t="s">
        <v>29</v>
      </c>
      <c r="E1528" t="s">
        <v>19</v>
      </c>
      <c r="F1528" t="s">
        <v>23</v>
      </c>
      <c r="G1528" s="4">
        <v>71247</v>
      </c>
      <c r="H1528" s="4">
        <v>1888</v>
      </c>
      <c r="I1528" s="5">
        <v>2.6499999999999999E-2</v>
      </c>
      <c r="J1528" s="2">
        <v>0.47</v>
      </c>
      <c r="K1528" s="6">
        <v>887.36</v>
      </c>
      <c r="L1528" s="4">
        <v>57</v>
      </c>
      <c r="M1528" s="2">
        <v>15.57</v>
      </c>
      <c r="N1528" s="6">
        <v>9045.86</v>
      </c>
      <c r="O1528" s="6">
        <f t="shared" si="116"/>
        <v>8158.5000000000009</v>
      </c>
      <c r="P1528" s="6">
        <f t="shared" si="117"/>
        <v>9.1941263974035348</v>
      </c>
      <c r="Q1528" s="3">
        <v>10.19</v>
      </c>
      <c r="R1528" t="str">
        <f t="shared" si="118"/>
        <v>High</v>
      </c>
      <c r="S1528" t="str">
        <f t="shared" si="119"/>
        <v>Valid</v>
      </c>
    </row>
    <row r="1529" spans="1:19" x14ac:dyDescent="0.25">
      <c r="A1529" s="1">
        <v>45393</v>
      </c>
      <c r="B1529" s="1" t="str">
        <f t="shared" si="115"/>
        <v>2024-04</v>
      </c>
      <c r="C1529" t="s">
        <v>18</v>
      </c>
      <c r="D1529" t="s">
        <v>15</v>
      </c>
      <c r="E1529" t="s">
        <v>16</v>
      </c>
      <c r="F1529" t="s">
        <v>17</v>
      </c>
      <c r="G1529" s="4">
        <v>132294</v>
      </c>
      <c r="H1529" s="4">
        <v>7527</v>
      </c>
      <c r="I1529" s="5">
        <v>5.6899999999999999E-2</v>
      </c>
      <c r="J1529" s="2">
        <v>0.9</v>
      </c>
      <c r="K1529" s="6">
        <v>6774.3</v>
      </c>
      <c r="L1529" s="4">
        <v>262</v>
      </c>
      <c r="M1529" s="2">
        <v>25.86</v>
      </c>
      <c r="N1529" s="6">
        <v>50030.33</v>
      </c>
      <c r="O1529" s="6">
        <f t="shared" si="116"/>
        <v>43256.03</v>
      </c>
      <c r="P1529" s="6">
        <f t="shared" si="117"/>
        <v>6.3853136117384821</v>
      </c>
      <c r="Q1529" s="3">
        <v>7.39</v>
      </c>
      <c r="R1529" t="str">
        <f t="shared" si="118"/>
        <v>High</v>
      </c>
      <c r="S1529" t="str">
        <f t="shared" si="119"/>
        <v>Valid</v>
      </c>
    </row>
    <row r="1530" spans="1:19" x14ac:dyDescent="0.25">
      <c r="A1530" s="1">
        <v>45655</v>
      </c>
      <c r="B1530" s="1" t="str">
        <f t="shared" si="115"/>
        <v>2024-12</v>
      </c>
      <c r="C1530" t="s">
        <v>18</v>
      </c>
      <c r="D1530" t="s">
        <v>29</v>
      </c>
      <c r="E1530" t="s">
        <v>30</v>
      </c>
      <c r="F1530" t="s">
        <v>26</v>
      </c>
      <c r="G1530" s="4">
        <v>66086</v>
      </c>
      <c r="H1530" s="4">
        <v>3317</v>
      </c>
      <c r="I1530" s="5">
        <v>5.0200000000000002E-2</v>
      </c>
      <c r="J1530" s="2">
        <v>0.33</v>
      </c>
      <c r="K1530" s="6">
        <v>1094.6099999999999</v>
      </c>
      <c r="L1530" s="4">
        <v>206</v>
      </c>
      <c r="M1530" s="2">
        <v>5.31</v>
      </c>
      <c r="N1530" s="6">
        <v>51119.73</v>
      </c>
      <c r="O1530" s="6">
        <f t="shared" si="116"/>
        <v>50025.120000000003</v>
      </c>
      <c r="P1530" s="6">
        <f t="shared" si="117"/>
        <v>45.701318277742764</v>
      </c>
      <c r="Q1530" s="3">
        <v>46.7</v>
      </c>
      <c r="R1530" t="str">
        <f t="shared" si="118"/>
        <v>High</v>
      </c>
      <c r="S1530" t="str">
        <f t="shared" si="119"/>
        <v>Valid</v>
      </c>
    </row>
    <row r="1531" spans="1:19" x14ac:dyDescent="0.25">
      <c r="A1531" s="1">
        <v>45649</v>
      </c>
      <c r="B1531" s="1" t="str">
        <f t="shared" si="115"/>
        <v>2024-12</v>
      </c>
      <c r="C1531" t="s">
        <v>14</v>
      </c>
      <c r="D1531" t="s">
        <v>15</v>
      </c>
      <c r="E1531" t="s">
        <v>22</v>
      </c>
      <c r="F1531" t="s">
        <v>20</v>
      </c>
      <c r="G1531" s="4">
        <v>186232</v>
      </c>
      <c r="H1531" s="4">
        <v>9292</v>
      </c>
      <c r="I1531" s="5">
        <v>4.99E-2</v>
      </c>
      <c r="J1531" s="2">
        <v>2.4</v>
      </c>
      <c r="K1531" s="6">
        <v>22300.799999999999</v>
      </c>
      <c r="L1531" s="4">
        <v>265</v>
      </c>
      <c r="M1531" s="2">
        <v>84.15</v>
      </c>
      <c r="N1531" s="6">
        <v>67766.02</v>
      </c>
      <c r="O1531" s="6">
        <f t="shared" si="116"/>
        <v>45465.22</v>
      </c>
      <c r="P1531" s="6">
        <f t="shared" si="117"/>
        <v>2.0387259649878033</v>
      </c>
      <c r="Q1531" s="3">
        <v>3.04</v>
      </c>
      <c r="R1531" t="str">
        <f t="shared" si="118"/>
        <v>High</v>
      </c>
      <c r="S1531" t="str">
        <f t="shared" si="119"/>
        <v>Valid</v>
      </c>
    </row>
    <row r="1532" spans="1:19" x14ac:dyDescent="0.25">
      <c r="A1532" s="1">
        <v>45597</v>
      </c>
      <c r="B1532" s="1" t="str">
        <f t="shared" si="115"/>
        <v>2024-11</v>
      </c>
      <c r="C1532" t="s">
        <v>18</v>
      </c>
      <c r="D1532" t="s">
        <v>24</v>
      </c>
      <c r="E1532" t="s">
        <v>22</v>
      </c>
      <c r="F1532" t="s">
        <v>31</v>
      </c>
      <c r="G1532" s="4">
        <v>145225</v>
      </c>
      <c r="H1532" s="4">
        <v>5562</v>
      </c>
      <c r="I1532" s="5">
        <v>3.8300000000000001E-2</v>
      </c>
      <c r="J1532" s="2">
        <v>0.84</v>
      </c>
      <c r="K1532" s="6">
        <v>4672.08</v>
      </c>
      <c r="L1532" s="4">
        <v>378</v>
      </c>
      <c r="M1532" s="2">
        <v>12.36</v>
      </c>
      <c r="N1532" s="6">
        <v>102053.93</v>
      </c>
      <c r="O1532" s="6">
        <f t="shared" si="116"/>
        <v>97381.849999999991</v>
      </c>
      <c r="P1532" s="6">
        <f t="shared" si="117"/>
        <v>20.843360986969401</v>
      </c>
      <c r="Q1532" s="3">
        <v>21.84</v>
      </c>
      <c r="R1532" t="str">
        <f t="shared" si="118"/>
        <v>High</v>
      </c>
      <c r="S1532" t="str">
        <f t="shared" si="119"/>
        <v>Valid</v>
      </c>
    </row>
    <row r="1533" spans="1:19" x14ac:dyDescent="0.25">
      <c r="A1533" s="1">
        <v>45439</v>
      </c>
      <c r="B1533" s="1" t="str">
        <f t="shared" si="115"/>
        <v>2024-05</v>
      </c>
      <c r="C1533" t="s">
        <v>14</v>
      </c>
      <c r="D1533" t="s">
        <v>15</v>
      </c>
      <c r="E1533" t="s">
        <v>25</v>
      </c>
      <c r="F1533" t="s">
        <v>26</v>
      </c>
      <c r="G1533" s="4">
        <v>15470</v>
      </c>
      <c r="H1533" s="4">
        <v>529</v>
      </c>
      <c r="I1533" s="5">
        <v>3.4200000000000001E-2</v>
      </c>
      <c r="J1533" s="2">
        <v>1.2</v>
      </c>
      <c r="K1533" s="6">
        <v>634.79999999999995</v>
      </c>
      <c r="L1533" s="4">
        <v>5</v>
      </c>
      <c r="M1533" s="2">
        <v>126.96</v>
      </c>
      <c r="N1533" s="6">
        <v>1223.76</v>
      </c>
      <c r="O1533" s="6">
        <f t="shared" si="116"/>
        <v>588.96</v>
      </c>
      <c r="P1533" s="6">
        <f t="shared" si="117"/>
        <v>0.92778827977315703</v>
      </c>
      <c r="Q1533" s="3">
        <v>1.93</v>
      </c>
      <c r="R1533" t="str">
        <f t="shared" si="118"/>
        <v>Medium</v>
      </c>
      <c r="S1533" t="str">
        <f t="shared" si="119"/>
        <v>Valid</v>
      </c>
    </row>
    <row r="1534" spans="1:19" x14ac:dyDescent="0.25">
      <c r="A1534" s="1">
        <v>45387</v>
      </c>
      <c r="B1534" s="1" t="str">
        <f t="shared" si="115"/>
        <v>2024-04</v>
      </c>
      <c r="C1534" t="s">
        <v>14</v>
      </c>
      <c r="D1534" t="s">
        <v>29</v>
      </c>
      <c r="E1534" t="s">
        <v>22</v>
      </c>
      <c r="F1534" t="s">
        <v>32</v>
      </c>
      <c r="G1534" s="4">
        <v>91814</v>
      </c>
      <c r="H1534" s="4">
        <v>2607</v>
      </c>
      <c r="I1534" s="5">
        <v>2.8400000000000002E-2</v>
      </c>
      <c r="J1534" s="2">
        <v>2.48</v>
      </c>
      <c r="K1534" s="6">
        <v>6465.36</v>
      </c>
      <c r="L1534" s="4">
        <v>129</v>
      </c>
      <c r="M1534" s="2">
        <v>50.12</v>
      </c>
      <c r="N1534" s="6">
        <v>25405.84</v>
      </c>
      <c r="O1534" s="6">
        <f t="shared" si="116"/>
        <v>18940.48</v>
      </c>
      <c r="P1534" s="6">
        <f t="shared" si="117"/>
        <v>2.9295321528886249</v>
      </c>
      <c r="Q1534" s="3">
        <v>3.93</v>
      </c>
      <c r="R1534" t="str">
        <f t="shared" si="118"/>
        <v>High</v>
      </c>
      <c r="S1534" t="str">
        <f t="shared" si="119"/>
        <v>Valid</v>
      </c>
    </row>
    <row r="1535" spans="1:19" x14ac:dyDescent="0.25">
      <c r="A1535" s="1">
        <v>45375</v>
      </c>
      <c r="B1535" s="1" t="str">
        <f t="shared" si="115"/>
        <v>2024-03</v>
      </c>
      <c r="C1535" t="s">
        <v>14</v>
      </c>
      <c r="D1535" t="s">
        <v>29</v>
      </c>
      <c r="E1535" t="s">
        <v>19</v>
      </c>
      <c r="F1535" t="s">
        <v>32</v>
      </c>
      <c r="G1535" s="4">
        <v>96087</v>
      </c>
      <c r="H1535" s="4">
        <v>3238</v>
      </c>
      <c r="I1535" s="5">
        <v>3.3700000000000001E-2</v>
      </c>
      <c r="J1535" s="2">
        <v>3.04</v>
      </c>
      <c r="K1535" s="6">
        <v>9843.52</v>
      </c>
      <c r="L1535" s="4">
        <v>45</v>
      </c>
      <c r="M1535" s="2">
        <v>218.74</v>
      </c>
      <c r="N1535" s="6">
        <v>7783</v>
      </c>
      <c r="O1535" s="6">
        <f t="shared" si="116"/>
        <v>-2060.5200000000004</v>
      </c>
      <c r="P1535" s="6">
        <f t="shared" si="117"/>
        <v>-0.20932755762166383</v>
      </c>
      <c r="Q1535" s="3">
        <v>0.79</v>
      </c>
      <c r="R1535" t="str">
        <f t="shared" si="118"/>
        <v>Low</v>
      </c>
      <c r="S1535" t="str">
        <f t="shared" si="119"/>
        <v>Valid</v>
      </c>
    </row>
    <row r="1536" spans="1:19" x14ac:dyDescent="0.25">
      <c r="A1536" s="1">
        <v>45363</v>
      </c>
      <c r="B1536" s="1" t="str">
        <f t="shared" si="115"/>
        <v>2024-03</v>
      </c>
      <c r="C1536" t="s">
        <v>14</v>
      </c>
      <c r="D1536" t="s">
        <v>24</v>
      </c>
      <c r="E1536" t="s">
        <v>16</v>
      </c>
      <c r="F1536" t="s">
        <v>26</v>
      </c>
      <c r="G1536" s="4">
        <v>92943</v>
      </c>
      <c r="H1536" s="4">
        <v>5037</v>
      </c>
      <c r="I1536" s="5">
        <v>5.4199999999999998E-2</v>
      </c>
      <c r="J1536" s="2">
        <v>2.2599999999999998</v>
      </c>
      <c r="K1536" s="6">
        <v>11383.62</v>
      </c>
      <c r="L1536" s="4">
        <v>232</v>
      </c>
      <c r="M1536" s="2">
        <v>49.07</v>
      </c>
      <c r="N1536" s="6">
        <v>64994.16</v>
      </c>
      <c r="O1536" s="6">
        <f t="shared" si="116"/>
        <v>53610.54</v>
      </c>
      <c r="P1536" s="6">
        <f t="shared" si="117"/>
        <v>4.7094456772098852</v>
      </c>
      <c r="Q1536" s="3">
        <v>5.71</v>
      </c>
      <c r="R1536" t="str">
        <f t="shared" si="118"/>
        <v>High</v>
      </c>
      <c r="S1536" t="str">
        <f t="shared" si="119"/>
        <v>Valid</v>
      </c>
    </row>
    <row r="1537" spans="1:19" x14ac:dyDescent="0.25">
      <c r="A1537" s="1">
        <v>45392</v>
      </c>
      <c r="B1537" s="1" t="str">
        <f t="shared" si="115"/>
        <v>2024-04</v>
      </c>
      <c r="C1537" t="s">
        <v>28</v>
      </c>
      <c r="D1537" t="s">
        <v>29</v>
      </c>
      <c r="E1537" t="s">
        <v>25</v>
      </c>
      <c r="F1537" t="s">
        <v>31</v>
      </c>
      <c r="G1537" s="4">
        <v>36411</v>
      </c>
      <c r="H1537" s="4">
        <v>873</v>
      </c>
      <c r="I1537" s="5">
        <v>2.4E-2</v>
      </c>
      <c r="J1537" s="2">
        <v>2.0299999999999998</v>
      </c>
      <c r="K1537" s="6">
        <v>1772.19</v>
      </c>
      <c r="L1537" s="4">
        <v>47</v>
      </c>
      <c r="M1537" s="2">
        <v>37.71</v>
      </c>
      <c r="N1537" s="6">
        <v>13565.96</v>
      </c>
      <c r="O1537" s="6">
        <f t="shared" si="116"/>
        <v>11793.769999999999</v>
      </c>
      <c r="P1537" s="6">
        <f t="shared" si="117"/>
        <v>6.6549128479451971</v>
      </c>
      <c r="Q1537" s="3">
        <v>7.65</v>
      </c>
      <c r="R1537" t="str">
        <f t="shared" si="118"/>
        <v>High</v>
      </c>
      <c r="S1537" t="str">
        <f t="shared" si="119"/>
        <v>Valid</v>
      </c>
    </row>
    <row r="1538" spans="1:19" x14ac:dyDescent="0.25">
      <c r="A1538" s="1">
        <v>45521</v>
      </c>
      <c r="B1538" s="1" t="str">
        <f t="shared" si="115"/>
        <v>2024-08</v>
      </c>
      <c r="C1538" t="s">
        <v>28</v>
      </c>
      <c r="D1538" t="s">
        <v>21</v>
      </c>
      <c r="E1538" t="s">
        <v>19</v>
      </c>
      <c r="F1538" t="s">
        <v>23</v>
      </c>
      <c r="G1538" s="4">
        <v>145170</v>
      </c>
      <c r="H1538" s="4">
        <v>4688</v>
      </c>
      <c r="I1538" s="5">
        <v>3.2300000000000002E-2</v>
      </c>
      <c r="J1538" s="2">
        <v>1.75</v>
      </c>
      <c r="K1538" s="6">
        <v>8204</v>
      </c>
      <c r="L1538" s="4">
        <v>106</v>
      </c>
      <c r="M1538" s="2">
        <v>77.400000000000006</v>
      </c>
      <c r="N1538" s="6">
        <v>30413.14</v>
      </c>
      <c r="O1538" s="6">
        <f t="shared" si="116"/>
        <v>22209.14</v>
      </c>
      <c r="P1538" s="6">
        <f t="shared" si="117"/>
        <v>2.7071111652852267</v>
      </c>
      <c r="Q1538" s="3">
        <v>3.71</v>
      </c>
      <c r="R1538" t="str">
        <f t="shared" si="118"/>
        <v>High</v>
      </c>
      <c r="S1538" t="str">
        <f t="shared" si="119"/>
        <v>Valid</v>
      </c>
    </row>
    <row r="1539" spans="1:19" x14ac:dyDescent="0.25">
      <c r="A1539" s="1">
        <v>45376</v>
      </c>
      <c r="B1539" s="1" t="str">
        <f t="shared" ref="B1539:B1602" si="120">TEXT(A1539, "yyyy-mm")</f>
        <v>2024-03</v>
      </c>
      <c r="C1539" t="s">
        <v>14</v>
      </c>
      <c r="D1539" t="s">
        <v>21</v>
      </c>
      <c r="E1539" t="s">
        <v>30</v>
      </c>
      <c r="F1539" t="s">
        <v>26</v>
      </c>
      <c r="G1539" s="4">
        <v>146428</v>
      </c>
      <c r="H1539" s="4">
        <v>2796</v>
      </c>
      <c r="I1539" s="5">
        <v>1.9099999999999999E-2</v>
      </c>
      <c r="J1539" s="2">
        <v>2.2400000000000002</v>
      </c>
      <c r="K1539" s="6">
        <v>6263.04</v>
      </c>
      <c r="L1539" s="4">
        <v>164</v>
      </c>
      <c r="M1539" s="2">
        <v>38.19</v>
      </c>
      <c r="N1539" s="6">
        <v>33829.22</v>
      </c>
      <c r="O1539" s="6">
        <f t="shared" ref="O1539:O1602" si="121">N1539-K1539</f>
        <v>27566.18</v>
      </c>
      <c r="P1539" s="6">
        <f t="shared" ref="P1539:P1602" si="122">IFERROR(O1539/K1539, "")</f>
        <v>4.4014057071326382</v>
      </c>
      <c r="Q1539" s="3">
        <v>5.4</v>
      </c>
      <c r="R1539" t="str">
        <f t="shared" ref="R1539:R1602" si="123">IF(Q1539 &gt;= 3, "High", IF(Q1539&gt;=1, "Medium", "Low"))</f>
        <v>High</v>
      </c>
      <c r="S1539" t="str">
        <f t="shared" ref="S1539:S1602" si="124">IF(OR(G1539=0, H1539&gt;G1539, L1539&gt;H1539), "Invalid", "Valid")</f>
        <v>Valid</v>
      </c>
    </row>
    <row r="1540" spans="1:19" x14ac:dyDescent="0.25">
      <c r="A1540" s="1">
        <v>45532</v>
      </c>
      <c r="B1540" s="1" t="str">
        <f t="shared" si="120"/>
        <v>2024-08</v>
      </c>
      <c r="C1540" t="s">
        <v>14</v>
      </c>
      <c r="D1540" t="s">
        <v>15</v>
      </c>
      <c r="E1540" t="s">
        <v>16</v>
      </c>
      <c r="F1540" t="s">
        <v>26</v>
      </c>
      <c r="G1540" s="4">
        <v>151772</v>
      </c>
      <c r="H1540" s="4">
        <v>6237</v>
      </c>
      <c r="I1540" s="5">
        <v>4.1099999999999998E-2</v>
      </c>
      <c r="J1540" s="2">
        <v>1.02</v>
      </c>
      <c r="K1540" s="6">
        <v>6361.74</v>
      </c>
      <c r="L1540" s="4">
        <v>302</v>
      </c>
      <c r="M1540" s="2">
        <v>21.07</v>
      </c>
      <c r="N1540" s="6">
        <v>77929.210000000006</v>
      </c>
      <c r="O1540" s="6">
        <f t="shared" si="121"/>
        <v>71567.47</v>
      </c>
      <c r="P1540" s="6">
        <f t="shared" si="122"/>
        <v>11.249669115682188</v>
      </c>
      <c r="Q1540" s="3">
        <v>12.25</v>
      </c>
      <c r="R1540" t="str">
        <f t="shared" si="123"/>
        <v>High</v>
      </c>
      <c r="S1540" t="str">
        <f t="shared" si="124"/>
        <v>Valid</v>
      </c>
    </row>
    <row r="1541" spans="1:19" x14ac:dyDescent="0.25">
      <c r="A1541" s="1">
        <v>45310</v>
      </c>
      <c r="B1541" s="1" t="str">
        <f t="shared" si="120"/>
        <v>2024-01</v>
      </c>
      <c r="C1541" t="s">
        <v>18</v>
      </c>
      <c r="D1541" t="s">
        <v>15</v>
      </c>
      <c r="E1541" t="s">
        <v>30</v>
      </c>
      <c r="F1541" t="s">
        <v>23</v>
      </c>
      <c r="G1541" s="4">
        <v>179561</v>
      </c>
      <c r="H1541" s="4">
        <v>8600</v>
      </c>
      <c r="I1541" s="5">
        <v>4.7899999999999998E-2</v>
      </c>
      <c r="J1541" s="2">
        <v>1.44</v>
      </c>
      <c r="K1541" s="6">
        <v>12384</v>
      </c>
      <c r="L1541" s="4">
        <v>212</v>
      </c>
      <c r="M1541" s="2">
        <v>58.42</v>
      </c>
      <c r="N1541" s="6">
        <v>34386.07</v>
      </c>
      <c r="O1541" s="6">
        <f t="shared" si="121"/>
        <v>22002.07</v>
      </c>
      <c r="P1541" s="6">
        <f t="shared" si="122"/>
        <v>1.7766529392764858</v>
      </c>
      <c r="Q1541" s="3">
        <v>2.78</v>
      </c>
      <c r="R1541" t="str">
        <f t="shared" si="123"/>
        <v>Medium</v>
      </c>
      <c r="S1541" t="str">
        <f t="shared" si="124"/>
        <v>Valid</v>
      </c>
    </row>
    <row r="1542" spans="1:19" x14ac:dyDescent="0.25">
      <c r="A1542" s="1">
        <v>45546</v>
      </c>
      <c r="B1542" s="1" t="str">
        <f t="shared" si="120"/>
        <v>2024-09</v>
      </c>
      <c r="C1542" t="s">
        <v>14</v>
      </c>
      <c r="D1542" t="s">
        <v>15</v>
      </c>
      <c r="E1542" t="s">
        <v>19</v>
      </c>
      <c r="F1542" t="s">
        <v>17</v>
      </c>
      <c r="G1542" s="4">
        <v>100381</v>
      </c>
      <c r="H1542" s="4">
        <v>5691</v>
      </c>
      <c r="I1542" s="5">
        <v>5.67E-2</v>
      </c>
      <c r="J1542" s="2">
        <v>0.83</v>
      </c>
      <c r="K1542" s="6">
        <v>4723.53</v>
      </c>
      <c r="L1542" s="4">
        <v>321</v>
      </c>
      <c r="M1542" s="2">
        <v>14.72</v>
      </c>
      <c r="N1542" s="6">
        <v>58283.85</v>
      </c>
      <c r="O1542" s="6">
        <f t="shared" si="121"/>
        <v>53560.32</v>
      </c>
      <c r="P1542" s="6">
        <f t="shared" si="122"/>
        <v>11.339045163257142</v>
      </c>
      <c r="Q1542" s="3">
        <v>12.34</v>
      </c>
      <c r="R1542" t="str">
        <f t="shared" si="123"/>
        <v>High</v>
      </c>
      <c r="S1542" t="str">
        <f t="shared" si="124"/>
        <v>Valid</v>
      </c>
    </row>
    <row r="1543" spans="1:19" x14ac:dyDescent="0.25">
      <c r="A1543" s="1">
        <v>45649</v>
      </c>
      <c r="B1543" s="1" t="str">
        <f t="shared" si="120"/>
        <v>2024-12</v>
      </c>
      <c r="C1543" t="s">
        <v>18</v>
      </c>
      <c r="D1543" t="s">
        <v>29</v>
      </c>
      <c r="E1543" t="s">
        <v>30</v>
      </c>
      <c r="F1543" t="s">
        <v>31</v>
      </c>
      <c r="G1543" s="4">
        <v>180552</v>
      </c>
      <c r="H1543" s="4">
        <v>6030</v>
      </c>
      <c r="I1543" s="5">
        <v>3.3399999999999999E-2</v>
      </c>
      <c r="J1543" s="2">
        <v>1.7</v>
      </c>
      <c r="K1543" s="6">
        <v>10251</v>
      </c>
      <c r="L1543" s="4">
        <v>383</v>
      </c>
      <c r="M1543" s="2">
        <v>26.77</v>
      </c>
      <c r="N1543" s="6">
        <v>23539.41</v>
      </c>
      <c r="O1543" s="6">
        <f t="shared" si="121"/>
        <v>13288.41</v>
      </c>
      <c r="P1543" s="6">
        <f t="shared" si="122"/>
        <v>1.2963037752414399</v>
      </c>
      <c r="Q1543" s="3">
        <v>2.2999999999999998</v>
      </c>
      <c r="R1543" t="str">
        <f t="shared" si="123"/>
        <v>Medium</v>
      </c>
      <c r="S1543" t="str">
        <f t="shared" si="124"/>
        <v>Valid</v>
      </c>
    </row>
    <row r="1544" spans="1:19" x14ac:dyDescent="0.25">
      <c r="A1544" s="1">
        <v>45476</v>
      </c>
      <c r="B1544" s="1" t="str">
        <f t="shared" si="120"/>
        <v>2024-07</v>
      </c>
      <c r="C1544" t="s">
        <v>18</v>
      </c>
      <c r="D1544" t="s">
        <v>29</v>
      </c>
      <c r="E1544" t="s">
        <v>19</v>
      </c>
      <c r="F1544" t="s">
        <v>23</v>
      </c>
      <c r="G1544" s="4">
        <v>163328</v>
      </c>
      <c r="H1544" s="4">
        <v>4981</v>
      </c>
      <c r="I1544" s="5">
        <v>3.0499999999999999E-2</v>
      </c>
      <c r="J1544" s="2">
        <v>1.21</v>
      </c>
      <c r="K1544" s="6">
        <v>6027.01</v>
      </c>
      <c r="L1544" s="4">
        <v>142</v>
      </c>
      <c r="M1544" s="2">
        <v>42.44</v>
      </c>
      <c r="N1544" s="6">
        <v>21158.33</v>
      </c>
      <c r="O1544" s="6">
        <f t="shared" si="121"/>
        <v>15131.320000000002</v>
      </c>
      <c r="P1544" s="6">
        <f t="shared" si="122"/>
        <v>2.5105848505311923</v>
      </c>
      <c r="Q1544" s="3">
        <v>3.51</v>
      </c>
      <c r="R1544" t="str">
        <f t="shared" si="123"/>
        <v>High</v>
      </c>
      <c r="S1544" t="str">
        <f t="shared" si="124"/>
        <v>Valid</v>
      </c>
    </row>
    <row r="1545" spans="1:19" x14ac:dyDescent="0.25">
      <c r="A1545" s="1">
        <v>45446</v>
      </c>
      <c r="B1545" s="1" t="str">
        <f t="shared" si="120"/>
        <v>2024-06</v>
      </c>
      <c r="C1545" t="s">
        <v>18</v>
      </c>
      <c r="D1545" t="s">
        <v>29</v>
      </c>
      <c r="E1545" t="s">
        <v>19</v>
      </c>
      <c r="F1545" t="s">
        <v>23</v>
      </c>
      <c r="G1545" s="4">
        <v>93635</v>
      </c>
      <c r="H1545" s="4">
        <v>4363</v>
      </c>
      <c r="I1545" s="5">
        <v>4.6600000000000003E-2</v>
      </c>
      <c r="J1545" s="2">
        <v>1.36</v>
      </c>
      <c r="K1545" s="6">
        <v>5933.68</v>
      </c>
      <c r="L1545" s="4">
        <v>117</v>
      </c>
      <c r="M1545" s="2">
        <v>50.72</v>
      </c>
      <c r="N1545" s="6">
        <v>29999.39</v>
      </c>
      <c r="O1545" s="6">
        <f t="shared" si="121"/>
        <v>24065.71</v>
      </c>
      <c r="P1545" s="6">
        <f t="shared" si="122"/>
        <v>4.0557815723126289</v>
      </c>
      <c r="Q1545" s="3">
        <v>5.0599999999999996</v>
      </c>
      <c r="R1545" t="str">
        <f t="shared" si="123"/>
        <v>High</v>
      </c>
      <c r="S1545" t="str">
        <f t="shared" si="124"/>
        <v>Valid</v>
      </c>
    </row>
    <row r="1546" spans="1:19" x14ac:dyDescent="0.25">
      <c r="A1546" s="1">
        <v>45655</v>
      </c>
      <c r="B1546" s="1" t="str">
        <f t="shared" si="120"/>
        <v>2024-12</v>
      </c>
      <c r="C1546" t="s">
        <v>14</v>
      </c>
      <c r="D1546" t="s">
        <v>29</v>
      </c>
      <c r="E1546" t="s">
        <v>25</v>
      </c>
      <c r="F1546" t="s">
        <v>17</v>
      </c>
      <c r="G1546" s="4">
        <v>133526</v>
      </c>
      <c r="H1546" s="4">
        <v>4633</v>
      </c>
      <c r="I1546" s="5">
        <v>3.4700000000000002E-2</v>
      </c>
      <c r="J1546" s="2">
        <v>3.07</v>
      </c>
      <c r="K1546" s="6">
        <v>14223.31</v>
      </c>
      <c r="L1546" s="4">
        <v>340</v>
      </c>
      <c r="M1546" s="2">
        <v>41.83</v>
      </c>
      <c r="N1546" s="6">
        <v>62193.85</v>
      </c>
      <c r="O1546" s="6">
        <f t="shared" si="121"/>
        <v>47970.54</v>
      </c>
      <c r="P1546" s="6">
        <f t="shared" si="122"/>
        <v>3.3726706371442372</v>
      </c>
      <c r="Q1546" s="3">
        <v>4.37</v>
      </c>
      <c r="R1546" t="str">
        <f t="shared" si="123"/>
        <v>High</v>
      </c>
      <c r="S1546" t="str">
        <f t="shared" si="124"/>
        <v>Valid</v>
      </c>
    </row>
    <row r="1547" spans="1:19" x14ac:dyDescent="0.25">
      <c r="A1547" s="1">
        <v>45328</v>
      </c>
      <c r="B1547" s="1" t="str">
        <f t="shared" si="120"/>
        <v>2024-02</v>
      </c>
      <c r="C1547" t="s">
        <v>18</v>
      </c>
      <c r="D1547" t="s">
        <v>21</v>
      </c>
      <c r="E1547" t="s">
        <v>30</v>
      </c>
      <c r="F1547" t="s">
        <v>27</v>
      </c>
      <c r="G1547" s="4">
        <v>48475</v>
      </c>
      <c r="H1547" s="4">
        <v>3160</v>
      </c>
      <c r="I1547" s="5">
        <v>6.5199999999999994E-2</v>
      </c>
      <c r="J1547" s="2">
        <v>0.76</v>
      </c>
      <c r="K1547" s="6">
        <v>2401.6</v>
      </c>
      <c r="L1547" s="4">
        <v>124</v>
      </c>
      <c r="M1547" s="2">
        <v>19.37</v>
      </c>
      <c r="N1547" s="6">
        <v>19990.89</v>
      </c>
      <c r="O1547" s="6">
        <f t="shared" si="121"/>
        <v>17589.29</v>
      </c>
      <c r="P1547" s="6">
        <f t="shared" si="122"/>
        <v>7.3239881745503004</v>
      </c>
      <c r="Q1547" s="3">
        <v>8.32</v>
      </c>
      <c r="R1547" t="str">
        <f t="shared" si="123"/>
        <v>High</v>
      </c>
      <c r="S1547" t="str">
        <f t="shared" si="124"/>
        <v>Valid</v>
      </c>
    </row>
    <row r="1548" spans="1:19" x14ac:dyDescent="0.25">
      <c r="A1548" s="1">
        <v>45609</v>
      </c>
      <c r="B1548" s="1" t="str">
        <f t="shared" si="120"/>
        <v>2024-11</v>
      </c>
      <c r="C1548" t="s">
        <v>18</v>
      </c>
      <c r="D1548" t="s">
        <v>21</v>
      </c>
      <c r="E1548" t="s">
        <v>16</v>
      </c>
      <c r="F1548" t="s">
        <v>31</v>
      </c>
      <c r="G1548" s="4">
        <v>195722</v>
      </c>
      <c r="H1548" s="4">
        <v>12624</v>
      </c>
      <c r="I1548" s="5">
        <v>6.4500000000000002E-2</v>
      </c>
      <c r="J1548" s="2">
        <v>2.0099999999999998</v>
      </c>
      <c r="K1548" s="6">
        <v>25374.240000000002</v>
      </c>
      <c r="L1548" s="4">
        <v>755</v>
      </c>
      <c r="M1548" s="2">
        <v>33.61</v>
      </c>
      <c r="N1548" s="6">
        <v>129016.77</v>
      </c>
      <c r="O1548" s="6">
        <f t="shared" si="121"/>
        <v>103642.53</v>
      </c>
      <c r="P1548" s="6">
        <f t="shared" si="122"/>
        <v>4.0845570153037096</v>
      </c>
      <c r="Q1548" s="3">
        <v>5.08</v>
      </c>
      <c r="R1548" t="str">
        <f t="shared" si="123"/>
        <v>High</v>
      </c>
      <c r="S1548" t="str">
        <f t="shared" si="124"/>
        <v>Valid</v>
      </c>
    </row>
    <row r="1549" spans="1:19" x14ac:dyDescent="0.25">
      <c r="A1549" s="1">
        <v>45416</v>
      </c>
      <c r="B1549" s="1" t="str">
        <f t="shared" si="120"/>
        <v>2024-05</v>
      </c>
      <c r="C1549" t="s">
        <v>14</v>
      </c>
      <c r="D1549" t="s">
        <v>15</v>
      </c>
      <c r="E1549" t="s">
        <v>22</v>
      </c>
      <c r="F1549" t="s">
        <v>20</v>
      </c>
      <c r="G1549" s="4">
        <v>106277</v>
      </c>
      <c r="H1549" s="4">
        <v>6961</v>
      </c>
      <c r="I1549" s="5">
        <v>6.5500000000000003E-2</v>
      </c>
      <c r="J1549" s="2">
        <v>2.96</v>
      </c>
      <c r="K1549" s="6">
        <v>20604.560000000001</v>
      </c>
      <c r="L1549" s="4">
        <v>180</v>
      </c>
      <c r="M1549" s="2">
        <v>114.47</v>
      </c>
      <c r="N1549" s="6">
        <v>42397.440000000002</v>
      </c>
      <c r="O1549" s="6">
        <f t="shared" si="121"/>
        <v>21792.880000000001</v>
      </c>
      <c r="P1549" s="6">
        <f t="shared" si="122"/>
        <v>1.0576726705156527</v>
      </c>
      <c r="Q1549" s="3">
        <v>2.06</v>
      </c>
      <c r="R1549" t="str">
        <f t="shared" si="123"/>
        <v>Medium</v>
      </c>
      <c r="S1549" t="str">
        <f t="shared" si="124"/>
        <v>Valid</v>
      </c>
    </row>
    <row r="1550" spans="1:19" x14ac:dyDescent="0.25">
      <c r="A1550" s="1">
        <v>45313</v>
      </c>
      <c r="B1550" s="1" t="str">
        <f t="shared" si="120"/>
        <v>2024-01</v>
      </c>
      <c r="C1550" t="s">
        <v>14</v>
      </c>
      <c r="D1550" t="s">
        <v>24</v>
      </c>
      <c r="E1550" t="s">
        <v>16</v>
      </c>
      <c r="F1550" t="s">
        <v>32</v>
      </c>
      <c r="G1550" s="4">
        <v>153953</v>
      </c>
      <c r="H1550" s="4">
        <v>5095</v>
      </c>
      <c r="I1550" s="5">
        <v>3.3099999999999997E-2</v>
      </c>
      <c r="J1550" s="2">
        <v>2.86</v>
      </c>
      <c r="K1550" s="6">
        <v>14571.7</v>
      </c>
      <c r="L1550" s="4">
        <v>110</v>
      </c>
      <c r="M1550" s="2">
        <v>132.47</v>
      </c>
      <c r="N1550" s="6">
        <v>30634.7</v>
      </c>
      <c r="O1550" s="6">
        <f t="shared" si="121"/>
        <v>16063</v>
      </c>
      <c r="P1550" s="6">
        <f t="shared" si="122"/>
        <v>1.102342211272535</v>
      </c>
      <c r="Q1550" s="3">
        <v>2.1</v>
      </c>
      <c r="R1550" t="str">
        <f t="shared" si="123"/>
        <v>Medium</v>
      </c>
      <c r="S1550" t="str">
        <f t="shared" si="124"/>
        <v>Valid</v>
      </c>
    </row>
    <row r="1551" spans="1:19" x14ac:dyDescent="0.25">
      <c r="A1551" s="1">
        <v>45542</v>
      </c>
      <c r="B1551" s="1" t="str">
        <f t="shared" si="120"/>
        <v>2024-09</v>
      </c>
      <c r="C1551" t="s">
        <v>28</v>
      </c>
      <c r="D1551" t="s">
        <v>21</v>
      </c>
      <c r="E1551" t="s">
        <v>22</v>
      </c>
      <c r="F1551" t="s">
        <v>26</v>
      </c>
      <c r="G1551" s="4">
        <v>142135</v>
      </c>
      <c r="H1551" s="4">
        <v>2387</v>
      </c>
      <c r="I1551" s="5">
        <v>1.6799999999999999E-2</v>
      </c>
      <c r="J1551" s="2">
        <v>1.92</v>
      </c>
      <c r="K1551" s="6">
        <v>4583.04</v>
      </c>
      <c r="L1551" s="4">
        <v>98</v>
      </c>
      <c r="M1551" s="2">
        <v>46.77</v>
      </c>
      <c r="N1551" s="6">
        <v>25385.35</v>
      </c>
      <c r="O1551" s="6">
        <f t="shared" si="121"/>
        <v>20802.309999999998</v>
      </c>
      <c r="P1551" s="6">
        <f t="shared" si="122"/>
        <v>4.5389763126658282</v>
      </c>
      <c r="Q1551" s="3">
        <v>5.54</v>
      </c>
      <c r="R1551" t="str">
        <f t="shared" si="123"/>
        <v>High</v>
      </c>
      <c r="S1551" t="str">
        <f t="shared" si="124"/>
        <v>Valid</v>
      </c>
    </row>
    <row r="1552" spans="1:19" x14ac:dyDescent="0.25">
      <c r="A1552" s="1">
        <v>45621</v>
      </c>
      <c r="B1552" s="1" t="str">
        <f t="shared" si="120"/>
        <v>2024-11</v>
      </c>
      <c r="C1552" t="s">
        <v>14</v>
      </c>
      <c r="D1552" t="s">
        <v>24</v>
      </c>
      <c r="E1552" t="s">
        <v>19</v>
      </c>
      <c r="F1552" t="s">
        <v>27</v>
      </c>
      <c r="G1552" s="4">
        <v>107891</v>
      </c>
      <c r="H1552" s="4">
        <v>3733</v>
      </c>
      <c r="I1552" s="5">
        <v>3.4599999999999999E-2</v>
      </c>
      <c r="J1552" s="2">
        <v>2.31</v>
      </c>
      <c r="K1552" s="6">
        <v>8623.23</v>
      </c>
      <c r="L1552" s="4">
        <v>148</v>
      </c>
      <c r="M1552" s="2">
        <v>58.27</v>
      </c>
      <c r="N1552" s="6">
        <v>15202.91</v>
      </c>
      <c r="O1552" s="6">
        <f t="shared" si="121"/>
        <v>6579.68</v>
      </c>
      <c r="P1552" s="6">
        <f t="shared" si="122"/>
        <v>0.76301803384578637</v>
      </c>
      <c r="Q1552" s="3">
        <v>1.76</v>
      </c>
      <c r="R1552" t="str">
        <f t="shared" si="123"/>
        <v>Medium</v>
      </c>
      <c r="S1552" t="str">
        <f t="shared" si="124"/>
        <v>Valid</v>
      </c>
    </row>
    <row r="1553" spans="1:19" x14ac:dyDescent="0.25">
      <c r="A1553" s="1">
        <v>45371</v>
      </c>
      <c r="B1553" s="1" t="str">
        <f t="shared" si="120"/>
        <v>2024-03</v>
      </c>
      <c r="C1553" t="s">
        <v>18</v>
      </c>
      <c r="D1553" t="s">
        <v>21</v>
      </c>
      <c r="E1553" t="s">
        <v>25</v>
      </c>
      <c r="F1553" t="s">
        <v>23</v>
      </c>
      <c r="G1553" s="4">
        <v>191380</v>
      </c>
      <c r="H1553" s="4">
        <v>8171</v>
      </c>
      <c r="I1553" s="5">
        <v>4.2700000000000002E-2</v>
      </c>
      <c r="J1553" s="2">
        <v>0.5</v>
      </c>
      <c r="K1553" s="6">
        <v>4085.5</v>
      </c>
      <c r="L1553" s="4">
        <v>572</v>
      </c>
      <c r="M1553" s="2">
        <v>7.14</v>
      </c>
      <c r="N1553" s="6">
        <v>155778.92000000001</v>
      </c>
      <c r="O1553" s="6">
        <f t="shared" si="121"/>
        <v>151693.42000000001</v>
      </c>
      <c r="P1553" s="6">
        <f t="shared" si="122"/>
        <v>37.129707502141727</v>
      </c>
      <c r="Q1553" s="3">
        <v>38.130000000000003</v>
      </c>
      <c r="R1553" t="str">
        <f t="shared" si="123"/>
        <v>High</v>
      </c>
      <c r="S1553" t="str">
        <f t="shared" si="124"/>
        <v>Valid</v>
      </c>
    </row>
    <row r="1554" spans="1:19" x14ac:dyDescent="0.25">
      <c r="A1554" s="1">
        <v>45515</v>
      </c>
      <c r="B1554" s="1" t="str">
        <f t="shared" si="120"/>
        <v>2024-08</v>
      </c>
      <c r="C1554" t="s">
        <v>28</v>
      </c>
      <c r="D1554" t="s">
        <v>15</v>
      </c>
      <c r="E1554" t="s">
        <v>22</v>
      </c>
      <c r="F1554" t="s">
        <v>20</v>
      </c>
      <c r="G1554" s="4">
        <v>123372</v>
      </c>
      <c r="H1554" s="4">
        <v>3355</v>
      </c>
      <c r="I1554" s="5">
        <v>2.7199999999999998E-2</v>
      </c>
      <c r="J1554" s="2">
        <v>2.2999999999999998</v>
      </c>
      <c r="K1554" s="6">
        <v>7716.5</v>
      </c>
      <c r="L1554" s="4">
        <v>224</v>
      </c>
      <c r="M1554" s="2">
        <v>34.450000000000003</v>
      </c>
      <c r="N1554" s="6">
        <v>57352.38</v>
      </c>
      <c r="O1554" s="6">
        <f t="shared" si="121"/>
        <v>49635.88</v>
      </c>
      <c r="P1554" s="6">
        <f t="shared" si="122"/>
        <v>6.4324343938314001</v>
      </c>
      <c r="Q1554" s="3">
        <v>7.43</v>
      </c>
      <c r="R1554" t="str">
        <f t="shared" si="123"/>
        <v>High</v>
      </c>
      <c r="S1554" t="str">
        <f t="shared" si="124"/>
        <v>Valid</v>
      </c>
    </row>
    <row r="1555" spans="1:19" x14ac:dyDescent="0.25">
      <c r="A1555" s="1">
        <v>45650</v>
      </c>
      <c r="B1555" s="1" t="str">
        <f t="shared" si="120"/>
        <v>2024-12</v>
      </c>
      <c r="C1555" t="s">
        <v>14</v>
      </c>
      <c r="D1555" t="s">
        <v>15</v>
      </c>
      <c r="E1555" t="s">
        <v>30</v>
      </c>
      <c r="F1555" t="s">
        <v>17</v>
      </c>
      <c r="G1555" s="4">
        <v>104464</v>
      </c>
      <c r="H1555" s="4">
        <v>4314</v>
      </c>
      <c r="I1555" s="5">
        <v>4.1300000000000003E-2</v>
      </c>
      <c r="J1555" s="2">
        <v>2.2599999999999998</v>
      </c>
      <c r="K1555" s="6">
        <v>9749.64</v>
      </c>
      <c r="L1555" s="4">
        <v>82</v>
      </c>
      <c r="M1555" s="2">
        <v>118.9</v>
      </c>
      <c r="N1555" s="6">
        <v>10226.11</v>
      </c>
      <c r="O1555" s="6">
        <f t="shared" si="121"/>
        <v>476.47000000000116</v>
      </c>
      <c r="P1555" s="6">
        <f t="shared" si="122"/>
        <v>4.8870522398775873E-2</v>
      </c>
      <c r="Q1555" s="3">
        <v>1.05</v>
      </c>
      <c r="R1555" t="str">
        <f t="shared" si="123"/>
        <v>Medium</v>
      </c>
      <c r="S1555" t="str">
        <f t="shared" si="124"/>
        <v>Valid</v>
      </c>
    </row>
    <row r="1556" spans="1:19" x14ac:dyDescent="0.25">
      <c r="A1556" s="1">
        <v>45446</v>
      </c>
      <c r="B1556" s="1" t="str">
        <f t="shared" si="120"/>
        <v>2024-06</v>
      </c>
      <c r="C1556" t="s">
        <v>14</v>
      </c>
      <c r="D1556" t="s">
        <v>21</v>
      </c>
      <c r="E1556" t="s">
        <v>25</v>
      </c>
      <c r="F1556" t="s">
        <v>20</v>
      </c>
      <c r="G1556" s="4">
        <v>113502</v>
      </c>
      <c r="H1556" s="4">
        <v>2235</v>
      </c>
      <c r="I1556" s="5">
        <v>1.9699999999999999E-2</v>
      </c>
      <c r="J1556" s="2">
        <v>1.21</v>
      </c>
      <c r="K1556" s="6">
        <v>2704.35</v>
      </c>
      <c r="L1556" s="4">
        <v>34</v>
      </c>
      <c r="M1556" s="2">
        <v>79.540000000000006</v>
      </c>
      <c r="N1556" s="6">
        <v>6126.9</v>
      </c>
      <c r="O1556" s="6">
        <f t="shared" si="121"/>
        <v>3422.5499999999997</v>
      </c>
      <c r="P1556" s="6">
        <f t="shared" si="122"/>
        <v>1.2655721337844583</v>
      </c>
      <c r="Q1556" s="3">
        <v>2.27</v>
      </c>
      <c r="R1556" t="str">
        <f t="shared" si="123"/>
        <v>Medium</v>
      </c>
      <c r="S1556" t="str">
        <f t="shared" si="124"/>
        <v>Valid</v>
      </c>
    </row>
    <row r="1557" spans="1:19" x14ac:dyDescent="0.25">
      <c r="A1557" s="1">
        <v>45544</v>
      </c>
      <c r="B1557" s="1" t="str">
        <f t="shared" si="120"/>
        <v>2024-09</v>
      </c>
      <c r="C1557" t="s">
        <v>14</v>
      </c>
      <c r="D1557" t="s">
        <v>24</v>
      </c>
      <c r="E1557" t="s">
        <v>22</v>
      </c>
      <c r="F1557" t="s">
        <v>32</v>
      </c>
      <c r="G1557" s="4">
        <v>95196</v>
      </c>
      <c r="H1557" s="4">
        <v>3170</v>
      </c>
      <c r="I1557" s="5">
        <v>3.3300000000000003E-2</v>
      </c>
      <c r="J1557" s="2">
        <v>1.05</v>
      </c>
      <c r="K1557" s="6">
        <v>3328.5</v>
      </c>
      <c r="L1557" s="4">
        <v>170</v>
      </c>
      <c r="M1557" s="2">
        <v>19.579999999999998</v>
      </c>
      <c r="N1557" s="6">
        <v>13047.52</v>
      </c>
      <c r="O1557" s="6">
        <f t="shared" si="121"/>
        <v>9719.02</v>
      </c>
      <c r="P1557" s="6">
        <f t="shared" si="122"/>
        <v>2.9199399128736672</v>
      </c>
      <c r="Q1557" s="3">
        <v>3.92</v>
      </c>
      <c r="R1557" t="str">
        <f t="shared" si="123"/>
        <v>High</v>
      </c>
      <c r="S1557" t="str">
        <f t="shared" si="124"/>
        <v>Valid</v>
      </c>
    </row>
    <row r="1558" spans="1:19" x14ac:dyDescent="0.25">
      <c r="A1558" s="1">
        <v>45318</v>
      </c>
      <c r="B1558" s="1" t="str">
        <f t="shared" si="120"/>
        <v>2024-01</v>
      </c>
      <c r="C1558" t="s">
        <v>14</v>
      </c>
      <c r="D1558" t="s">
        <v>29</v>
      </c>
      <c r="E1558" t="s">
        <v>22</v>
      </c>
      <c r="F1558" t="s">
        <v>20</v>
      </c>
      <c r="G1558" s="4">
        <v>86362</v>
      </c>
      <c r="H1558" s="4">
        <v>2547</v>
      </c>
      <c r="I1558" s="5">
        <v>2.9499999999999998E-2</v>
      </c>
      <c r="J1558" s="2">
        <v>1.41</v>
      </c>
      <c r="K1558" s="6">
        <v>3591.27</v>
      </c>
      <c r="L1558" s="4">
        <v>164</v>
      </c>
      <c r="M1558" s="2">
        <v>21.9</v>
      </c>
      <c r="N1558" s="6">
        <v>33307.300000000003</v>
      </c>
      <c r="O1558" s="6">
        <f t="shared" si="121"/>
        <v>29716.030000000002</v>
      </c>
      <c r="P1558" s="6">
        <f t="shared" si="122"/>
        <v>8.2745184851041564</v>
      </c>
      <c r="Q1558" s="3">
        <v>9.27</v>
      </c>
      <c r="R1558" t="str">
        <f t="shared" si="123"/>
        <v>High</v>
      </c>
      <c r="S1558" t="str">
        <f t="shared" si="124"/>
        <v>Valid</v>
      </c>
    </row>
    <row r="1559" spans="1:19" x14ac:dyDescent="0.25">
      <c r="A1559" s="1">
        <v>45471</v>
      </c>
      <c r="B1559" s="1" t="str">
        <f t="shared" si="120"/>
        <v>2024-06</v>
      </c>
      <c r="C1559" t="s">
        <v>14</v>
      </c>
      <c r="D1559" t="s">
        <v>15</v>
      </c>
      <c r="E1559" t="s">
        <v>30</v>
      </c>
      <c r="F1559" t="s">
        <v>23</v>
      </c>
      <c r="G1559" s="4">
        <v>78532</v>
      </c>
      <c r="H1559" s="4">
        <v>4735</v>
      </c>
      <c r="I1559" s="5">
        <v>6.0299999999999999E-2</v>
      </c>
      <c r="J1559" s="2">
        <v>2.82</v>
      </c>
      <c r="K1559" s="6">
        <v>13352.7</v>
      </c>
      <c r="L1559" s="4">
        <v>310</v>
      </c>
      <c r="M1559" s="2">
        <v>43.07</v>
      </c>
      <c r="N1559" s="6">
        <v>45765.16</v>
      </c>
      <c r="O1559" s="6">
        <f t="shared" si="121"/>
        <v>32412.460000000003</v>
      </c>
      <c r="P1559" s="6">
        <f t="shared" si="122"/>
        <v>2.4274086888794026</v>
      </c>
      <c r="Q1559" s="3">
        <v>3.43</v>
      </c>
      <c r="R1559" t="str">
        <f t="shared" si="123"/>
        <v>High</v>
      </c>
      <c r="S1559" t="str">
        <f t="shared" si="124"/>
        <v>Valid</v>
      </c>
    </row>
    <row r="1560" spans="1:19" x14ac:dyDescent="0.25">
      <c r="A1560" s="1">
        <v>45370</v>
      </c>
      <c r="B1560" s="1" t="str">
        <f t="shared" si="120"/>
        <v>2024-03</v>
      </c>
      <c r="C1560" t="s">
        <v>14</v>
      </c>
      <c r="D1560" t="s">
        <v>24</v>
      </c>
      <c r="E1560" t="s">
        <v>22</v>
      </c>
      <c r="F1560" t="s">
        <v>27</v>
      </c>
      <c r="G1560" s="4">
        <v>184081</v>
      </c>
      <c r="H1560" s="4">
        <v>5135</v>
      </c>
      <c r="I1560" s="5">
        <v>2.7900000000000001E-2</v>
      </c>
      <c r="J1560" s="2">
        <v>2.1800000000000002</v>
      </c>
      <c r="K1560" s="6">
        <v>11194.3</v>
      </c>
      <c r="L1560" s="4">
        <v>96</v>
      </c>
      <c r="M1560" s="2">
        <v>116.61</v>
      </c>
      <c r="N1560" s="6">
        <v>24545.05</v>
      </c>
      <c r="O1560" s="6">
        <f t="shared" si="121"/>
        <v>13350.75</v>
      </c>
      <c r="P1560" s="6">
        <f t="shared" si="122"/>
        <v>1.1926382176643471</v>
      </c>
      <c r="Q1560" s="3">
        <v>2.19</v>
      </c>
      <c r="R1560" t="str">
        <f t="shared" si="123"/>
        <v>Medium</v>
      </c>
      <c r="S1560" t="str">
        <f t="shared" si="124"/>
        <v>Valid</v>
      </c>
    </row>
    <row r="1561" spans="1:19" x14ac:dyDescent="0.25">
      <c r="A1561" s="1">
        <v>45319</v>
      </c>
      <c r="B1561" s="1" t="str">
        <f t="shared" si="120"/>
        <v>2024-01</v>
      </c>
      <c r="C1561" t="s">
        <v>28</v>
      </c>
      <c r="D1561" t="s">
        <v>29</v>
      </c>
      <c r="E1561" t="s">
        <v>22</v>
      </c>
      <c r="F1561" t="s">
        <v>27</v>
      </c>
      <c r="G1561" s="4">
        <v>93966</v>
      </c>
      <c r="H1561" s="4">
        <v>2104</v>
      </c>
      <c r="I1561" s="5">
        <v>2.24E-2</v>
      </c>
      <c r="J1561" s="2">
        <v>0.97</v>
      </c>
      <c r="K1561" s="6">
        <v>2040.88</v>
      </c>
      <c r="L1561" s="4">
        <v>157</v>
      </c>
      <c r="M1561" s="2">
        <v>13</v>
      </c>
      <c r="N1561" s="6">
        <v>6975.9</v>
      </c>
      <c r="O1561" s="6">
        <f t="shared" si="121"/>
        <v>4935.0199999999995</v>
      </c>
      <c r="P1561" s="6">
        <f t="shared" si="122"/>
        <v>2.4180843557680998</v>
      </c>
      <c r="Q1561" s="3">
        <v>3.42</v>
      </c>
      <c r="R1561" t="str">
        <f t="shared" si="123"/>
        <v>High</v>
      </c>
      <c r="S1561" t="str">
        <f t="shared" si="124"/>
        <v>Valid</v>
      </c>
    </row>
    <row r="1562" spans="1:19" x14ac:dyDescent="0.25">
      <c r="A1562" s="1">
        <v>45496</v>
      </c>
      <c r="B1562" s="1" t="str">
        <f t="shared" si="120"/>
        <v>2024-07</v>
      </c>
      <c r="C1562" t="s">
        <v>14</v>
      </c>
      <c r="D1562" t="s">
        <v>21</v>
      </c>
      <c r="E1562" t="s">
        <v>25</v>
      </c>
      <c r="F1562" t="s">
        <v>17</v>
      </c>
      <c r="G1562" s="4">
        <v>28667</v>
      </c>
      <c r="H1562" s="4">
        <v>1338</v>
      </c>
      <c r="I1562" s="5">
        <v>4.6699999999999998E-2</v>
      </c>
      <c r="J1562" s="2">
        <v>2.9</v>
      </c>
      <c r="K1562" s="6">
        <v>3880.2</v>
      </c>
      <c r="L1562" s="4">
        <v>24</v>
      </c>
      <c r="M1562" s="2">
        <v>161.66999999999999</v>
      </c>
      <c r="N1562" s="6">
        <v>3421.56</v>
      </c>
      <c r="O1562" s="6">
        <f t="shared" si="121"/>
        <v>-458.63999999999987</v>
      </c>
      <c r="P1562" s="6">
        <f t="shared" si="122"/>
        <v>-0.11820009277872272</v>
      </c>
      <c r="Q1562" s="3">
        <v>0.88</v>
      </c>
      <c r="R1562" t="str">
        <f t="shared" si="123"/>
        <v>Low</v>
      </c>
      <c r="S1562" t="str">
        <f t="shared" si="124"/>
        <v>Valid</v>
      </c>
    </row>
    <row r="1563" spans="1:19" x14ac:dyDescent="0.25">
      <c r="A1563" s="1">
        <v>45312</v>
      </c>
      <c r="B1563" s="1" t="str">
        <f t="shared" si="120"/>
        <v>2024-01</v>
      </c>
      <c r="C1563" t="s">
        <v>14</v>
      </c>
      <c r="D1563" t="s">
        <v>29</v>
      </c>
      <c r="E1563" t="s">
        <v>22</v>
      </c>
      <c r="F1563" t="s">
        <v>32</v>
      </c>
      <c r="G1563" s="4">
        <v>154239</v>
      </c>
      <c r="H1563" s="4">
        <v>7465</v>
      </c>
      <c r="I1563" s="5">
        <v>4.8399999999999999E-2</v>
      </c>
      <c r="J1563" s="2">
        <v>3.2</v>
      </c>
      <c r="K1563" s="6">
        <v>23888</v>
      </c>
      <c r="L1563" s="4">
        <v>484</v>
      </c>
      <c r="M1563" s="2">
        <v>49.36</v>
      </c>
      <c r="N1563" s="6">
        <v>25632.04</v>
      </c>
      <c r="O1563" s="6">
        <f t="shared" si="121"/>
        <v>1744.0400000000009</v>
      </c>
      <c r="P1563" s="6">
        <f t="shared" si="122"/>
        <v>7.3009042196918991E-2</v>
      </c>
      <c r="Q1563" s="3">
        <v>1.07</v>
      </c>
      <c r="R1563" t="str">
        <f t="shared" si="123"/>
        <v>Medium</v>
      </c>
      <c r="S1563" t="str">
        <f t="shared" si="124"/>
        <v>Valid</v>
      </c>
    </row>
    <row r="1564" spans="1:19" x14ac:dyDescent="0.25">
      <c r="A1564" s="1">
        <v>45387</v>
      </c>
      <c r="B1564" s="1" t="str">
        <f t="shared" si="120"/>
        <v>2024-04</v>
      </c>
      <c r="C1564" t="s">
        <v>28</v>
      </c>
      <c r="D1564" t="s">
        <v>21</v>
      </c>
      <c r="E1564" t="s">
        <v>16</v>
      </c>
      <c r="F1564" t="s">
        <v>17</v>
      </c>
      <c r="G1564" s="4">
        <v>103576</v>
      </c>
      <c r="H1564" s="4">
        <v>1263</v>
      </c>
      <c r="I1564" s="5">
        <v>1.2200000000000001E-2</v>
      </c>
      <c r="J1564" s="2">
        <v>0.47</v>
      </c>
      <c r="K1564" s="6">
        <v>593.61</v>
      </c>
      <c r="L1564" s="4">
        <v>22</v>
      </c>
      <c r="M1564" s="2">
        <v>26.98</v>
      </c>
      <c r="N1564" s="6">
        <v>5190.25</v>
      </c>
      <c r="O1564" s="6">
        <f t="shared" si="121"/>
        <v>4596.6400000000003</v>
      </c>
      <c r="P1564" s="6">
        <f t="shared" si="122"/>
        <v>7.7435353178012507</v>
      </c>
      <c r="Q1564" s="3">
        <v>8.74</v>
      </c>
      <c r="R1564" t="str">
        <f t="shared" si="123"/>
        <v>High</v>
      </c>
      <c r="S1564" t="str">
        <f t="shared" si="124"/>
        <v>Valid</v>
      </c>
    </row>
    <row r="1565" spans="1:19" x14ac:dyDescent="0.25">
      <c r="A1565" s="1">
        <v>45560</v>
      </c>
      <c r="B1565" s="1" t="str">
        <f t="shared" si="120"/>
        <v>2024-09</v>
      </c>
      <c r="C1565" t="s">
        <v>18</v>
      </c>
      <c r="D1565" t="s">
        <v>21</v>
      </c>
      <c r="E1565" t="s">
        <v>19</v>
      </c>
      <c r="F1565" t="s">
        <v>31</v>
      </c>
      <c r="G1565" s="4">
        <v>111154</v>
      </c>
      <c r="H1565" s="4">
        <v>5124</v>
      </c>
      <c r="I1565" s="5">
        <v>4.6100000000000002E-2</v>
      </c>
      <c r="J1565" s="2">
        <v>0.89</v>
      </c>
      <c r="K1565" s="6">
        <v>4560.3599999999997</v>
      </c>
      <c r="L1565" s="4">
        <v>368</v>
      </c>
      <c r="M1565" s="2">
        <v>12.39</v>
      </c>
      <c r="N1565" s="6">
        <v>82164.399999999994</v>
      </c>
      <c r="O1565" s="6">
        <f t="shared" si="121"/>
        <v>77604.039999999994</v>
      </c>
      <c r="P1565" s="6">
        <f t="shared" si="122"/>
        <v>17.017086370374269</v>
      </c>
      <c r="Q1565" s="3">
        <v>18.02</v>
      </c>
      <c r="R1565" t="str">
        <f t="shared" si="123"/>
        <v>High</v>
      </c>
      <c r="S1565" t="str">
        <f t="shared" si="124"/>
        <v>Valid</v>
      </c>
    </row>
    <row r="1566" spans="1:19" x14ac:dyDescent="0.25">
      <c r="A1566" s="1">
        <v>45593</v>
      </c>
      <c r="B1566" s="1" t="str">
        <f t="shared" si="120"/>
        <v>2024-10</v>
      </c>
      <c r="C1566" t="s">
        <v>14</v>
      </c>
      <c r="D1566" t="s">
        <v>15</v>
      </c>
      <c r="E1566" t="s">
        <v>30</v>
      </c>
      <c r="F1566" t="s">
        <v>23</v>
      </c>
      <c r="G1566" s="4">
        <v>104456</v>
      </c>
      <c r="H1566" s="4">
        <v>6403</v>
      </c>
      <c r="I1566" s="5">
        <v>6.13E-2</v>
      </c>
      <c r="J1566" s="2">
        <v>2.11</v>
      </c>
      <c r="K1566" s="6">
        <v>13510.33</v>
      </c>
      <c r="L1566" s="4">
        <v>440</v>
      </c>
      <c r="M1566" s="2">
        <v>30.71</v>
      </c>
      <c r="N1566" s="6">
        <v>111130.68</v>
      </c>
      <c r="O1566" s="6">
        <f t="shared" si="121"/>
        <v>97620.349999999991</v>
      </c>
      <c r="P1566" s="6">
        <f t="shared" si="122"/>
        <v>7.2256081087582604</v>
      </c>
      <c r="Q1566" s="3">
        <v>8.23</v>
      </c>
      <c r="R1566" t="str">
        <f t="shared" si="123"/>
        <v>High</v>
      </c>
      <c r="S1566" t="str">
        <f t="shared" si="124"/>
        <v>Valid</v>
      </c>
    </row>
    <row r="1567" spans="1:19" x14ac:dyDescent="0.25">
      <c r="A1567" s="1">
        <v>45577</v>
      </c>
      <c r="B1567" s="1" t="str">
        <f t="shared" si="120"/>
        <v>2024-10</v>
      </c>
      <c r="C1567" t="s">
        <v>28</v>
      </c>
      <c r="D1567" t="s">
        <v>29</v>
      </c>
      <c r="E1567" t="s">
        <v>25</v>
      </c>
      <c r="F1567" t="s">
        <v>17</v>
      </c>
      <c r="G1567" s="4">
        <v>173307</v>
      </c>
      <c r="H1567" s="4">
        <v>3292</v>
      </c>
      <c r="I1567" s="5">
        <v>1.9E-2</v>
      </c>
      <c r="J1567" s="2">
        <v>1.03</v>
      </c>
      <c r="K1567" s="6">
        <v>3390.76</v>
      </c>
      <c r="L1567" s="4">
        <v>74</v>
      </c>
      <c r="M1567" s="2">
        <v>45.82</v>
      </c>
      <c r="N1567" s="6">
        <v>21574.44</v>
      </c>
      <c r="O1567" s="6">
        <f t="shared" si="121"/>
        <v>18183.68</v>
      </c>
      <c r="P1567" s="6">
        <f t="shared" si="122"/>
        <v>5.3627151435076499</v>
      </c>
      <c r="Q1567" s="3">
        <v>6.36</v>
      </c>
      <c r="R1567" t="str">
        <f t="shared" si="123"/>
        <v>High</v>
      </c>
      <c r="S1567" t="str">
        <f t="shared" si="124"/>
        <v>Valid</v>
      </c>
    </row>
    <row r="1568" spans="1:19" x14ac:dyDescent="0.25">
      <c r="A1568" s="1">
        <v>45361</v>
      </c>
      <c r="B1568" s="1" t="str">
        <f t="shared" si="120"/>
        <v>2024-03</v>
      </c>
      <c r="C1568" t="s">
        <v>14</v>
      </c>
      <c r="D1568" t="s">
        <v>29</v>
      </c>
      <c r="E1568" t="s">
        <v>16</v>
      </c>
      <c r="F1568" t="s">
        <v>32</v>
      </c>
      <c r="G1568" s="4">
        <v>197459</v>
      </c>
      <c r="H1568" s="4">
        <v>5667</v>
      </c>
      <c r="I1568" s="5">
        <v>2.87E-2</v>
      </c>
      <c r="J1568" s="2">
        <v>3.56</v>
      </c>
      <c r="K1568" s="6">
        <v>20174.52</v>
      </c>
      <c r="L1568" s="4">
        <v>105</v>
      </c>
      <c r="M1568" s="2">
        <v>192.14</v>
      </c>
      <c r="N1568" s="6">
        <v>17723.39</v>
      </c>
      <c r="O1568" s="6">
        <f t="shared" si="121"/>
        <v>-2451.130000000001</v>
      </c>
      <c r="P1568" s="6">
        <f t="shared" si="122"/>
        <v>-0.12149632308476241</v>
      </c>
      <c r="Q1568" s="3">
        <v>0.88</v>
      </c>
      <c r="R1568" t="str">
        <f t="shared" si="123"/>
        <v>Low</v>
      </c>
      <c r="S1568" t="str">
        <f t="shared" si="124"/>
        <v>Valid</v>
      </c>
    </row>
    <row r="1569" spans="1:19" x14ac:dyDescent="0.25">
      <c r="A1569" s="1">
        <v>45536</v>
      </c>
      <c r="B1569" s="1" t="str">
        <f t="shared" si="120"/>
        <v>2024-09</v>
      </c>
      <c r="C1569" t="s">
        <v>18</v>
      </c>
      <c r="D1569" t="s">
        <v>21</v>
      </c>
      <c r="E1569" t="s">
        <v>19</v>
      </c>
      <c r="F1569" t="s">
        <v>20</v>
      </c>
      <c r="G1569" s="4">
        <v>154676</v>
      </c>
      <c r="H1569" s="4">
        <v>5970</v>
      </c>
      <c r="I1569" s="5">
        <v>3.8600000000000002E-2</v>
      </c>
      <c r="J1569" s="2">
        <v>1.0900000000000001</v>
      </c>
      <c r="K1569" s="6">
        <v>6507.3</v>
      </c>
      <c r="L1569" s="4">
        <v>107</v>
      </c>
      <c r="M1569" s="2">
        <v>60.82</v>
      </c>
      <c r="N1569" s="6">
        <v>14099.39</v>
      </c>
      <c r="O1569" s="6">
        <f t="shared" si="121"/>
        <v>7592.0899999999992</v>
      </c>
      <c r="P1569" s="6">
        <f t="shared" si="122"/>
        <v>1.1667035483226529</v>
      </c>
      <c r="Q1569" s="3">
        <v>2.17</v>
      </c>
      <c r="R1569" t="str">
        <f t="shared" si="123"/>
        <v>Medium</v>
      </c>
      <c r="S1569" t="str">
        <f t="shared" si="124"/>
        <v>Valid</v>
      </c>
    </row>
    <row r="1570" spans="1:19" x14ac:dyDescent="0.25">
      <c r="A1570" s="1">
        <v>45406</v>
      </c>
      <c r="B1570" s="1" t="str">
        <f t="shared" si="120"/>
        <v>2024-04</v>
      </c>
      <c r="C1570" t="s">
        <v>28</v>
      </c>
      <c r="D1570" t="s">
        <v>21</v>
      </c>
      <c r="E1570" t="s">
        <v>16</v>
      </c>
      <c r="F1570" t="s">
        <v>31</v>
      </c>
      <c r="G1570" s="4">
        <v>138528</v>
      </c>
      <c r="H1570" s="4">
        <v>3698</v>
      </c>
      <c r="I1570" s="5">
        <v>2.6700000000000002E-2</v>
      </c>
      <c r="J1570" s="2">
        <v>2.27</v>
      </c>
      <c r="K1570" s="6">
        <v>8394.4599999999991</v>
      </c>
      <c r="L1570" s="4">
        <v>264</v>
      </c>
      <c r="M1570" s="2">
        <v>31.8</v>
      </c>
      <c r="N1570" s="6">
        <v>34788.99</v>
      </c>
      <c r="O1570" s="6">
        <f t="shared" si="121"/>
        <v>26394.53</v>
      </c>
      <c r="P1570" s="6">
        <f t="shared" si="122"/>
        <v>3.1442796796935122</v>
      </c>
      <c r="Q1570" s="3">
        <v>4.1399999999999997</v>
      </c>
      <c r="R1570" t="str">
        <f t="shared" si="123"/>
        <v>High</v>
      </c>
      <c r="S1570" t="str">
        <f t="shared" si="124"/>
        <v>Valid</v>
      </c>
    </row>
    <row r="1571" spans="1:19" x14ac:dyDescent="0.25">
      <c r="A1571" s="1">
        <v>45505</v>
      </c>
      <c r="B1571" s="1" t="str">
        <f t="shared" si="120"/>
        <v>2024-08</v>
      </c>
      <c r="C1571" t="s">
        <v>14</v>
      </c>
      <c r="D1571" t="s">
        <v>29</v>
      </c>
      <c r="E1571" t="s">
        <v>25</v>
      </c>
      <c r="F1571" t="s">
        <v>27</v>
      </c>
      <c r="G1571" s="4">
        <v>188490</v>
      </c>
      <c r="H1571" s="4">
        <v>6879</v>
      </c>
      <c r="I1571" s="5">
        <v>3.6499999999999998E-2</v>
      </c>
      <c r="J1571" s="2">
        <v>2.84</v>
      </c>
      <c r="K1571" s="6">
        <v>19536.36</v>
      </c>
      <c r="L1571" s="4">
        <v>279</v>
      </c>
      <c r="M1571" s="2">
        <v>70.02</v>
      </c>
      <c r="N1571" s="6">
        <v>18268.77</v>
      </c>
      <c r="O1571" s="6">
        <f t="shared" si="121"/>
        <v>-1267.5900000000001</v>
      </c>
      <c r="P1571" s="6">
        <f t="shared" si="122"/>
        <v>-6.4883632365496963E-2</v>
      </c>
      <c r="Q1571" s="3">
        <v>0.94</v>
      </c>
      <c r="R1571" t="str">
        <f t="shared" si="123"/>
        <v>Low</v>
      </c>
      <c r="S1571" t="str">
        <f t="shared" si="124"/>
        <v>Valid</v>
      </c>
    </row>
    <row r="1572" spans="1:19" x14ac:dyDescent="0.25">
      <c r="A1572" s="1">
        <v>45556</v>
      </c>
      <c r="B1572" s="1" t="str">
        <f t="shared" si="120"/>
        <v>2024-09</v>
      </c>
      <c r="C1572" t="s">
        <v>18</v>
      </c>
      <c r="D1572" t="s">
        <v>29</v>
      </c>
      <c r="E1572" t="s">
        <v>25</v>
      </c>
      <c r="F1572" t="s">
        <v>23</v>
      </c>
      <c r="G1572" s="4">
        <v>155929</v>
      </c>
      <c r="H1572" s="4">
        <v>6408</v>
      </c>
      <c r="I1572" s="5">
        <v>4.1099999999999998E-2</v>
      </c>
      <c r="J1572" s="2">
        <v>0.97</v>
      </c>
      <c r="K1572" s="6">
        <v>6215.76</v>
      </c>
      <c r="L1572" s="4">
        <v>481</v>
      </c>
      <c r="M1572" s="2">
        <v>12.92</v>
      </c>
      <c r="N1572" s="6">
        <v>51123.92</v>
      </c>
      <c r="O1572" s="6">
        <f t="shared" si="121"/>
        <v>44908.159999999996</v>
      </c>
      <c r="P1572" s="6">
        <f t="shared" si="122"/>
        <v>7.2248864177510059</v>
      </c>
      <c r="Q1572" s="3">
        <v>8.2200000000000006</v>
      </c>
      <c r="R1572" t="str">
        <f t="shared" si="123"/>
        <v>High</v>
      </c>
      <c r="S1572" t="str">
        <f t="shared" si="124"/>
        <v>Valid</v>
      </c>
    </row>
    <row r="1573" spans="1:19" x14ac:dyDescent="0.25">
      <c r="A1573" s="1">
        <v>45443</v>
      </c>
      <c r="B1573" s="1" t="str">
        <f t="shared" si="120"/>
        <v>2024-05</v>
      </c>
      <c r="C1573" t="s">
        <v>14</v>
      </c>
      <c r="D1573" t="s">
        <v>29</v>
      </c>
      <c r="E1573" t="s">
        <v>19</v>
      </c>
      <c r="F1573" t="s">
        <v>27</v>
      </c>
      <c r="G1573" s="4">
        <v>177220</v>
      </c>
      <c r="H1573" s="4">
        <v>4607</v>
      </c>
      <c r="I1573" s="5">
        <v>2.5999999999999999E-2</v>
      </c>
      <c r="J1573" s="2">
        <v>2.3199999999999998</v>
      </c>
      <c r="K1573" s="6">
        <v>10688.24</v>
      </c>
      <c r="L1573" s="4">
        <v>114</v>
      </c>
      <c r="M1573" s="2">
        <v>93.76</v>
      </c>
      <c r="N1573" s="6">
        <v>9297.0300000000007</v>
      </c>
      <c r="O1573" s="6">
        <f t="shared" si="121"/>
        <v>-1391.2099999999991</v>
      </c>
      <c r="P1573" s="6">
        <f t="shared" si="122"/>
        <v>-0.13016268347267643</v>
      </c>
      <c r="Q1573" s="3">
        <v>0.87</v>
      </c>
      <c r="R1573" t="str">
        <f t="shared" si="123"/>
        <v>Low</v>
      </c>
      <c r="S1573" t="str">
        <f t="shared" si="124"/>
        <v>Valid</v>
      </c>
    </row>
    <row r="1574" spans="1:19" x14ac:dyDescent="0.25">
      <c r="A1574" s="1">
        <v>45575</v>
      </c>
      <c r="B1574" s="1" t="str">
        <f t="shared" si="120"/>
        <v>2024-10</v>
      </c>
      <c r="C1574" t="s">
        <v>28</v>
      </c>
      <c r="D1574" t="s">
        <v>21</v>
      </c>
      <c r="E1574" t="s">
        <v>30</v>
      </c>
      <c r="F1574" t="s">
        <v>27</v>
      </c>
      <c r="G1574" s="4">
        <v>188552</v>
      </c>
      <c r="H1574" s="4">
        <v>6373</v>
      </c>
      <c r="I1574" s="5">
        <v>3.3799999999999997E-2</v>
      </c>
      <c r="J1574" s="2">
        <v>0.65</v>
      </c>
      <c r="K1574" s="6">
        <v>4142.45</v>
      </c>
      <c r="L1574" s="4">
        <v>129</v>
      </c>
      <c r="M1574" s="2">
        <v>32.11</v>
      </c>
      <c r="N1574" s="6">
        <v>8973.49</v>
      </c>
      <c r="O1574" s="6">
        <f t="shared" si="121"/>
        <v>4831.04</v>
      </c>
      <c r="P1574" s="6">
        <f t="shared" si="122"/>
        <v>1.1662277154823837</v>
      </c>
      <c r="Q1574" s="3">
        <v>2.17</v>
      </c>
      <c r="R1574" t="str">
        <f t="shared" si="123"/>
        <v>Medium</v>
      </c>
      <c r="S1574" t="str">
        <f t="shared" si="124"/>
        <v>Valid</v>
      </c>
    </row>
    <row r="1575" spans="1:19" x14ac:dyDescent="0.25">
      <c r="A1575" s="1">
        <v>45550</v>
      </c>
      <c r="B1575" s="1" t="str">
        <f t="shared" si="120"/>
        <v>2024-09</v>
      </c>
      <c r="C1575" t="s">
        <v>14</v>
      </c>
      <c r="D1575" t="s">
        <v>21</v>
      </c>
      <c r="E1575" t="s">
        <v>30</v>
      </c>
      <c r="F1575" t="s">
        <v>27</v>
      </c>
      <c r="G1575" s="4">
        <v>136460</v>
      </c>
      <c r="H1575" s="4">
        <v>4462</v>
      </c>
      <c r="I1575" s="5">
        <v>3.27E-2</v>
      </c>
      <c r="J1575" s="2">
        <v>0.88</v>
      </c>
      <c r="K1575" s="6">
        <v>3926.56</v>
      </c>
      <c r="L1575" s="4">
        <v>322</v>
      </c>
      <c r="M1575" s="2">
        <v>12.19</v>
      </c>
      <c r="N1575" s="6">
        <v>59937.98</v>
      </c>
      <c r="O1575" s="6">
        <f t="shared" si="121"/>
        <v>56011.420000000006</v>
      </c>
      <c r="P1575" s="6">
        <f t="shared" si="122"/>
        <v>14.264755918666722</v>
      </c>
      <c r="Q1575" s="3">
        <v>15.26</v>
      </c>
      <c r="R1575" t="str">
        <f t="shared" si="123"/>
        <v>High</v>
      </c>
      <c r="S1575" t="str">
        <f t="shared" si="124"/>
        <v>Valid</v>
      </c>
    </row>
    <row r="1576" spans="1:19" x14ac:dyDescent="0.25">
      <c r="A1576" s="1">
        <v>45572</v>
      </c>
      <c r="B1576" s="1" t="str">
        <f t="shared" si="120"/>
        <v>2024-10</v>
      </c>
      <c r="C1576" t="s">
        <v>18</v>
      </c>
      <c r="D1576" t="s">
        <v>29</v>
      </c>
      <c r="E1576" t="s">
        <v>22</v>
      </c>
      <c r="F1576" t="s">
        <v>27</v>
      </c>
      <c r="G1576" s="4">
        <v>124614</v>
      </c>
      <c r="H1576" s="4">
        <v>4573</v>
      </c>
      <c r="I1576" s="5">
        <v>3.6700000000000003E-2</v>
      </c>
      <c r="J1576" s="2">
        <v>0.28999999999999998</v>
      </c>
      <c r="K1576" s="6">
        <v>1326.17</v>
      </c>
      <c r="L1576" s="4">
        <v>240</v>
      </c>
      <c r="M1576" s="2">
        <v>5.53</v>
      </c>
      <c r="N1576" s="6">
        <v>46988.2</v>
      </c>
      <c r="O1576" s="6">
        <f t="shared" si="121"/>
        <v>45662.03</v>
      </c>
      <c r="P1576" s="6">
        <f t="shared" si="122"/>
        <v>34.43150576472096</v>
      </c>
      <c r="Q1576" s="3">
        <v>35.43</v>
      </c>
      <c r="R1576" t="str">
        <f t="shared" si="123"/>
        <v>High</v>
      </c>
      <c r="S1576" t="str">
        <f t="shared" si="124"/>
        <v>Valid</v>
      </c>
    </row>
    <row r="1577" spans="1:19" x14ac:dyDescent="0.25">
      <c r="A1577" s="1">
        <v>45397</v>
      </c>
      <c r="B1577" s="1" t="str">
        <f t="shared" si="120"/>
        <v>2024-04</v>
      </c>
      <c r="C1577" t="s">
        <v>28</v>
      </c>
      <c r="D1577" t="s">
        <v>21</v>
      </c>
      <c r="E1577" t="s">
        <v>25</v>
      </c>
      <c r="F1577" t="s">
        <v>31</v>
      </c>
      <c r="G1577" s="4">
        <v>28359</v>
      </c>
      <c r="H1577" s="4">
        <v>612</v>
      </c>
      <c r="I1577" s="5">
        <v>2.1600000000000001E-2</v>
      </c>
      <c r="J1577" s="2">
        <v>0.75</v>
      </c>
      <c r="K1577" s="6">
        <v>459</v>
      </c>
      <c r="L1577" s="4">
        <v>30</v>
      </c>
      <c r="M1577" s="2">
        <v>15.3</v>
      </c>
      <c r="N1577" s="6">
        <v>6591.07</v>
      </c>
      <c r="O1577" s="6">
        <f t="shared" si="121"/>
        <v>6132.07</v>
      </c>
      <c r="P1577" s="6">
        <f t="shared" si="122"/>
        <v>13.359629629629628</v>
      </c>
      <c r="Q1577" s="3">
        <v>14.36</v>
      </c>
      <c r="R1577" t="str">
        <f t="shared" si="123"/>
        <v>High</v>
      </c>
      <c r="S1577" t="str">
        <f t="shared" si="124"/>
        <v>Valid</v>
      </c>
    </row>
    <row r="1578" spans="1:19" x14ac:dyDescent="0.25">
      <c r="A1578" s="1">
        <v>45471</v>
      </c>
      <c r="B1578" s="1" t="str">
        <f t="shared" si="120"/>
        <v>2024-06</v>
      </c>
      <c r="C1578" t="s">
        <v>28</v>
      </c>
      <c r="D1578" t="s">
        <v>15</v>
      </c>
      <c r="E1578" t="s">
        <v>30</v>
      </c>
      <c r="F1578" t="s">
        <v>23</v>
      </c>
      <c r="G1578" s="4">
        <v>81759</v>
      </c>
      <c r="H1578" s="4">
        <v>1316</v>
      </c>
      <c r="I1578" s="5">
        <v>1.61E-2</v>
      </c>
      <c r="J1578" s="2">
        <v>0.9</v>
      </c>
      <c r="K1578" s="6">
        <v>1184.4000000000001</v>
      </c>
      <c r="L1578" s="4">
        <v>46</v>
      </c>
      <c r="M1578" s="2">
        <v>25.75</v>
      </c>
      <c r="N1578" s="6">
        <v>6171.89</v>
      </c>
      <c r="O1578" s="6">
        <f t="shared" si="121"/>
        <v>4987.49</v>
      </c>
      <c r="P1578" s="6">
        <f t="shared" si="122"/>
        <v>4.2109844647078685</v>
      </c>
      <c r="Q1578" s="3">
        <v>5.21</v>
      </c>
      <c r="R1578" t="str">
        <f t="shared" si="123"/>
        <v>High</v>
      </c>
      <c r="S1578" t="str">
        <f t="shared" si="124"/>
        <v>Valid</v>
      </c>
    </row>
    <row r="1579" spans="1:19" x14ac:dyDescent="0.25">
      <c r="A1579" s="1">
        <v>45387</v>
      </c>
      <c r="B1579" s="1" t="str">
        <f t="shared" si="120"/>
        <v>2024-04</v>
      </c>
      <c r="C1579" t="s">
        <v>28</v>
      </c>
      <c r="D1579" t="s">
        <v>21</v>
      </c>
      <c r="E1579" t="s">
        <v>30</v>
      </c>
      <c r="F1579" t="s">
        <v>26</v>
      </c>
      <c r="G1579" s="4">
        <v>131230</v>
      </c>
      <c r="H1579" s="4">
        <v>2139</v>
      </c>
      <c r="I1579" s="5">
        <v>1.6299999999999999E-2</v>
      </c>
      <c r="J1579" s="2">
        <v>2.23</v>
      </c>
      <c r="K1579" s="6">
        <v>4769.97</v>
      </c>
      <c r="L1579" s="4">
        <v>105</v>
      </c>
      <c r="M1579" s="2">
        <v>45.43</v>
      </c>
      <c r="N1579" s="6">
        <v>24738.73</v>
      </c>
      <c r="O1579" s="6">
        <f t="shared" si="121"/>
        <v>19968.759999999998</v>
      </c>
      <c r="P1579" s="6">
        <f t="shared" si="122"/>
        <v>4.1863491803931678</v>
      </c>
      <c r="Q1579" s="3">
        <v>5.19</v>
      </c>
      <c r="R1579" t="str">
        <f t="shared" si="123"/>
        <v>High</v>
      </c>
      <c r="S1579" t="str">
        <f t="shared" si="124"/>
        <v>Valid</v>
      </c>
    </row>
    <row r="1580" spans="1:19" x14ac:dyDescent="0.25">
      <c r="A1580" s="1">
        <v>45444</v>
      </c>
      <c r="B1580" s="1" t="str">
        <f t="shared" si="120"/>
        <v>2024-06</v>
      </c>
      <c r="C1580" t="s">
        <v>18</v>
      </c>
      <c r="D1580" t="s">
        <v>15</v>
      </c>
      <c r="E1580" t="s">
        <v>30</v>
      </c>
      <c r="F1580" t="s">
        <v>27</v>
      </c>
      <c r="G1580" s="4">
        <v>49659</v>
      </c>
      <c r="H1580" s="4">
        <v>2413</v>
      </c>
      <c r="I1580" s="5">
        <v>4.8599999999999997E-2</v>
      </c>
      <c r="J1580" s="2">
        <v>1.45</v>
      </c>
      <c r="K1580" s="6">
        <v>3498.85</v>
      </c>
      <c r="L1580" s="4">
        <v>191</v>
      </c>
      <c r="M1580" s="2">
        <v>18.32</v>
      </c>
      <c r="N1580" s="6">
        <v>38157.72</v>
      </c>
      <c r="O1580" s="6">
        <f t="shared" si="121"/>
        <v>34658.870000000003</v>
      </c>
      <c r="P1580" s="6">
        <f t="shared" si="122"/>
        <v>9.9057890449719199</v>
      </c>
      <c r="Q1580" s="3">
        <v>10.91</v>
      </c>
      <c r="R1580" t="str">
        <f t="shared" si="123"/>
        <v>High</v>
      </c>
      <c r="S1580" t="str">
        <f t="shared" si="124"/>
        <v>Valid</v>
      </c>
    </row>
    <row r="1581" spans="1:19" x14ac:dyDescent="0.25">
      <c r="A1581" s="1">
        <v>45329</v>
      </c>
      <c r="B1581" s="1" t="str">
        <f t="shared" si="120"/>
        <v>2024-02</v>
      </c>
      <c r="C1581" t="s">
        <v>18</v>
      </c>
      <c r="D1581" t="s">
        <v>29</v>
      </c>
      <c r="E1581" t="s">
        <v>16</v>
      </c>
      <c r="F1581" t="s">
        <v>26</v>
      </c>
      <c r="G1581" s="4">
        <v>103029</v>
      </c>
      <c r="H1581" s="4">
        <v>6830</v>
      </c>
      <c r="I1581" s="5">
        <v>6.6299999999999998E-2</v>
      </c>
      <c r="J1581" s="2">
        <v>0.52</v>
      </c>
      <c r="K1581" s="6">
        <v>3551.6</v>
      </c>
      <c r="L1581" s="4">
        <v>148</v>
      </c>
      <c r="M1581" s="2">
        <v>24</v>
      </c>
      <c r="N1581" s="6">
        <v>14545.74</v>
      </c>
      <c r="O1581" s="6">
        <f t="shared" si="121"/>
        <v>10994.14</v>
      </c>
      <c r="P1581" s="6">
        <f t="shared" si="122"/>
        <v>3.0955456695573824</v>
      </c>
      <c r="Q1581" s="3">
        <v>4.0999999999999996</v>
      </c>
      <c r="R1581" t="str">
        <f t="shared" si="123"/>
        <v>High</v>
      </c>
      <c r="S1581" t="str">
        <f t="shared" si="124"/>
        <v>Valid</v>
      </c>
    </row>
    <row r="1582" spans="1:19" x14ac:dyDescent="0.25">
      <c r="A1582" s="1">
        <v>45444</v>
      </c>
      <c r="B1582" s="1" t="str">
        <f t="shared" si="120"/>
        <v>2024-06</v>
      </c>
      <c r="C1582" t="s">
        <v>18</v>
      </c>
      <c r="D1582" t="s">
        <v>24</v>
      </c>
      <c r="E1582" t="s">
        <v>22</v>
      </c>
      <c r="F1582" t="s">
        <v>27</v>
      </c>
      <c r="G1582" s="4">
        <v>52368</v>
      </c>
      <c r="H1582" s="4">
        <v>3351</v>
      </c>
      <c r="I1582" s="5">
        <v>6.4000000000000001E-2</v>
      </c>
      <c r="J1582" s="2">
        <v>0.61</v>
      </c>
      <c r="K1582" s="6">
        <v>2044.11</v>
      </c>
      <c r="L1582" s="4">
        <v>117</v>
      </c>
      <c r="M1582" s="2">
        <v>17.47</v>
      </c>
      <c r="N1582" s="6">
        <v>12829.28</v>
      </c>
      <c r="O1582" s="6">
        <f t="shared" si="121"/>
        <v>10785.17</v>
      </c>
      <c r="P1582" s="6">
        <f t="shared" si="122"/>
        <v>5.2762180117508359</v>
      </c>
      <c r="Q1582" s="3">
        <v>6.28</v>
      </c>
      <c r="R1582" t="str">
        <f t="shared" si="123"/>
        <v>High</v>
      </c>
      <c r="S1582" t="str">
        <f t="shared" si="124"/>
        <v>Valid</v>
      </c>
    </row>
    <row r="1583" spans="1:19" x14ac:dyDescent="0.25">
      <c r="A1583" s="1">
        <v>45458</v>
      </c>
      <c r="B1583" s="1" t="str">
        <f t="shared" si="120"/>
        <v>2024-06</v>
      </c>
      <c r="C1583" t="s">
        <v>18</v>
      </c>
      <c r="D1583" t="s">
        <v>21</v>
      </c>
      <c r="E1583" t="s">
        <v>19</v>
      </c>
      <c r="F1583" t="s">
        <v>27</v>
      </c>
      <c r="G1583" s="4">
        <v>144585</v>
      </c>
      <c r="H1583" s="4">
        <v>8357</v>
      </c>
      <c r="I1583" s="5">
        <v>5.7799999999999997E-2</v>
      </c>
      <c r="J1583" s="2">
        <v>0.52</v>
      </c>
      <c r="K1583" s="6">
        <v>4345.6400000000003</v>
      </c>
      <c r="L1583" s="4">
        <v>412</v>
      </c>
      <c r="M1583" s="2">
        <v>10.55</v>
      </c>
      <c r="N1583" s="6">
        <v>78373.31</v>
      </c>
      <c r="O1583" s="6">
        <f t="shared" si="121"/>
        <v>74027.67</v>
      </c>
      <c r="P1583" s="6">
        <f t="shared" si="122"/>
        <v>17.034929262433149</v>
      </c>
      <c r="Q1583" s="3">
        <v>18.03</v>
      </c>
      <c r="R1583" t="str">
        <f t="shared" si="123"/>
        <v>High</v>
      </c>
      <c r="S1583" t="str">
        <f t="shared" si="124"/>
        <v>Valid</v>
      </c>
    </row>
    <row r="1584" spans="1:19" x14ac:dyDescent="0.25">
      <c r="A1584" s="1">
        <v>45373</v>
      </c>
      <c r="B1584" s="1" t="str">
        <f t="shared" si="120"/>
        <v>2024-03</v>
      </c>
      <c r="C1584" t="s">
        <v>18</v>
      </c>
      <c r="D1584" t="s">
        <v>24</v>
      </c>
      <c r="E1584" t="s">
        <v>16</v>
      </c>
      <c r="F1584" t="s">
        <v>20</v>
      </c>
      <c r="G1584" s="4">
        <v>40308</v>
      </c>
      <c r="H1584" s="4">
        <v>3853</v>
      </c>
      <c r="I1584" s="5">
        <v>9.5600000000000004E-2</v>
      </c>
      <c r="J1584" s="2">
        <v>1.0900000000000001</v>
      </c>
      <c r="K1584" s="6">
        <v>4199.7700000000004</v>
      </c>
      <c r="L1584" s="4">
        <v>291</v>
      </c>
      <c r="M1584" s="2">
        <v>14.43</v>
      </c>
      <c r="N1584" s="6">
        <v>33059.93</v>
      </c>
      <c r="O1584" s="6">
        <f t="shared" si="121"/>
        <v>28860.16</v>
      </c>
      <c r="P1584" s="6">
        <f t="shared" si="122"/>
        <v>6.8718429818775784</v>
      </c>
      <c r="Q1584" s="3">
        <v>7.87</v>
      </c>
      <c r="R1584" t="str">
        <f t="shared" si="123"/>
        <v>High</v>
      </c>
      <c r="S1584" t="str">
        <f t="shared" si="124"/>
        <v>Valid</v>
      </c>
    </row>
    <row r="1585" spans="1:19" x14ac:dyDescent="0.25">
      <c r="A1585" s="1">
        <v>45512</v>
      </c>
      <c r="B1585" s="1" t="str">
        <f t="shared" si="120"/>
        <v>2024-08</v>
      </c>
      <c r="C1585" t="s">
        <v>18</v>
      </c>
      <c r="D1585" t="s">
        <v>15</v>
      </c>
      <c r="E1585" t="s">
        <v>30</v>
      </c>
      <c r="F1585" t="s">
        <v>26</v>
      </c>
      <c r="G1585" s="4">
        <v>43635</v>
      </c>
      <c r="H1585" s="4">
        <v>2469</v>
      </c>
      <c r="I1585" s="5">
        <v>5.6599999999999998E-2</v>
      </c>
      <c r="J1585" s="2">
        <v>1.21</v>
      </c>
      <c r="K1585" s="6">
        <v>2987.49</v>
      </c>
      <c r="L1585" s="4">
        <v>133</v>
      </c>
      <c r="M1585" s="2">
        <v>22.46</v>
      </c>
      <c r="N1585" s="6">
        <v>19667.27</v>
      </c>
      <c r="O1585" s="6">
        <f t="shared" si="121"/>
        <v>16679.78</v>
      </c>
      <c r="P1585" s="6">
        <f t="shared" si="122"/>
        <v>5.583208646723504</v>
      </c>
      <c r="Q1585" s="3">
        <v>6.58</v>
      </c>
      <c r="R1585" t="str">
        <f t="shared" si="123"/>
        <v>High</v>
      </c>
      <c r="S1585" t="str">
        <f t="shared" si="124"/>
        <v>Valid</v>
      </c>
    </row>
    <row r="1586" spans="1:19" x14ac:dyDescent="0.25">
      <c r="A1586" s="1">
        <v>45512</v>
      </c>
      <c r="B1586" s="1" t="str">
        <f t="shared" si="120"/>
        <v>2024-08</v>
      </c>
      <c r="C1586" t="s">
        <v>28</v>
      </c>
      <c r="D1586" t="s">
        <v>15</v>
      </c>
      <c r="E1586" t="s">
        <v>19</v>
      </c>
      <c r="F1586" t="s">
        <v>31</v>
      </c>
      <c r="G1586" s="4">
        <v>164074</v>
      </c>
      <c r="H1586" s="4">
        <v>6152</v>
      </c>
      <c r="I1586" s="5">
        <v>3.7499999999999999E-2</v>
      </c>
      <c r="J1586" s="2">
        <v>0.95</v>
      </c>
      <c r="K1586" s="6">
        <v>5844.4</v>
      </c>
      <c r="L1586" s="4">
        <v>360</v>
      </c>
      <c r="M1586" s="2">
        <v>16.23</v>
      </c>
      <c r="N1586" s="6">
        <v>47241.24</v>
      </c>
      <c r="O1586" s="6">
        <f t="shared" si="121"/>
        <v>41396.839999999997</v>
      </c>
      <c r="P1586" s="6">
        <f t="shared" si="122"/>
        <v>7.0831633700636507</v>
      </c>
      <c r="Q1586" s="3">
        <v>8.08</v>
      </c>
      <c r="R1586" t="str">
        <f t="shared" si="123"/>
        <v>High</v>
      </c>
      <c r="S1586" t="str">
        <f t="shared" si="124"/>
        <v>Valid</v>
      </c>
    </row>
    <row r="1587" spans="1:19" x14ac:dyDescent="0.25">
      <c r="A1587" s="1">
        <v>45517</v>
      </c>
      <c r="B1587" s="1" t="str">
        <f t="shared" si="120"/>
        <v>2024-08</v>
      </c>
      <c r="C1587" t="s">
        <v>28</v>
      </c>
      <c r="D1587" t="s">
        <v>24</v>
      </c>
      <c r="E1587" t="s">
        <v>22</v>
      </c>
      <c r="F1587" t="s">
        <v>27</v>
      </c>
      <c r="G1587" s="4">
        <v>107300</v>
      </c>
      <c r="H1587" s="4">
        <v>2693</v>
      </c>
      <c r="I1587" s="5">
        <v>2.5100000000000001E-2</v>
      </c>
      <c r="J1587" s="2">
        <v>0.56999999999999995</v>
      </c>
      <c r="K1587" s="6">
        <v>1535.01</v>
      </c>
      <c r="L1587" s="4">
        <v>153</v>
      </c>
      <c r="M1587" s="2">
        <v>10.029999999999999</v>
      </c>
      <c r="N1587" s="6">
        <v>18121.16</v>
      </c>
      <c r="O1587" s="6">
        <f t="shared" si="121"/>
        <v>16586.150000000001</v>
      </c>
      <c r="P1587" s="6">
        <f t="shared" si="122"/>
        <v>10.805239053817241</v>
      </c>
      <c r="Q1587" s="3">
        <v>11.81</v>
      </c>
      <c r="R1587" t="str">
        <f t="shared" si="123"/>
        <v>High</v>
      </c>
      <c r="S1587" t="str">
        <f t="shared" si="124"/>
        <v>Valid</v>
      </c>
    </row>
    <row r="1588" spans="1:19" x14ac:dyDescent="0.25">
      <c r="A1588" s="1">
        <v>45600</v>
      </c>
      <c r="B1588" s="1" t="str">
        <f t="shared" si="120"/>
        <v>2024-11</v>
      </c>
      <c r="C1588" t="s">
        <v>28</v>
      </c>
      <c r="D1588" t="s">
        <v>29</v>
      </c>
      <c r="E1588" t="s">
        <v>19</v>
      </c>
      <c r="F1588" t="s">
        <v>31</v>
      </c>
      <c r="G1588" s="4">
        <v>177443</v>
      </c>
      <c r="H1588" s="4">
        <v>4400</v>
      </c>
      <c r="I1588" s="5">
        <v>2.4799999999999999E-2</v>
      </c>
      <c r="J1588" s="2">
        <v>2.17</v>
      </c>
      <c r="K1588" s="6">
        <v>9548</v>
      </c>
      <c r="L1588" s="4">
        <v>231</v>
      </c>
      <c r="M1588" s="2">
        <v>41.33</v>
      </c>
      <c r="N1588" s="6">
        <v>43094.26</v>
      </c>
      <c r="O1588" s="6">
        <f t="shared" si="121"/>
        <v>33546.26</v>
      </c>
      <c r="P1588" s="6">
        <f t="shared" si="122"/>
        <v>3.5134331797235023</v>
      </c>
      <c r="Q1588" s="3">
        <v>4.51</v>
      </c>
      <c r="R1588" t="str">
        <f t="shared" si="123"/>
        <v>High</v>
      </c>
      <c r="S1588" t="str">
        <f t="shared" si="124"/>
        <v>Valid</v>
      </c>
    </row>
    <row r="1589" spans="1:19" x14ac:dyDescent="0.25">
      <c r="A1589" s="1">
        <v>45402</v>
      </c>
      <c r="B1589" s="1" t="str">
        <f t="shared" si="120"/>
        <v>2024-04</v>
      </c>
      <c r="C1589" t="s">
        <v>18</v>
      </c>
      <c r="D1589" t="s">
        <v>24</v>
      </c>
      <c r="E1589" t="s">
        <v>19</v>
      </c>
      <c r="F1589" t="s">
        <v>17</v>
      </c>
      <c r="G1589" s="4">
        <v>141268</v>
      </c>
      <c r="H1589" s="4">
        <v>7402</v>
      </c>
      <c r="I1589" s="5">
        <v>5.2400000000000002E-2</v>
      </c>
      <c r="J1589" s="2">
        <v>1.24</v>
      </c>
      <c r="K1589" s="6">
        <v>9178.48</v>
      </c>
      <c r="L1589" s="4">
        <v>335</v>
      </c>
      <c r="M1589" s="2">
        <v>27.4</v>
      </c>
      <c r="N1589" s="6">
        <v>31326.97</v>
      </c>
      <c r="O1589" s="6">
        <f t="shared" si="121"/>
        <v>22148.49</v>
      </c>
      <c r="P1589" s="6">
        <f t="shared" si="122"/>
        <v>2.4130890953621953</v>
      </c>
      <c r="Q1589" s="3">
        <v>3.41</v>
      </c>
      <c r="R1589" t="str">
        <f t="shared" si="123"/>
        <v>High</v>
      </c>
      <c r="S1589" t="str">
        <f t="shared" si="124"/>
        <v>Valid</v>
      </c>
    </row>
    <row r="1590" spans="1:19" x14ac:dyDescent="0.25">
      <c r="A1590" s="1">
        <v>45438</v>
      </c>
      <c r="B1590" s="1" t="str">
        <f t="shared" si="120"/>
        <v>2024-05</v>
      </c>
      <c r="C1590" t="s">
        <v>18</v>
      </c>
      <c r="D1590" t="s">
        <v>29</v>
      </c>
      <c r="E1590" t="s">
        <v>19</v>
      </c>
      <c r="F1590" t="s">
        <v>26</v>
      </c>
      <c r="G1590" s="4">
        <v>145631</v>
      </c>
      <c r="H1590" s="4">
        <v>4194</v>
      </c>
      <c r="I1590" s="5">
        <v>2.8799999999999999E-2</v>
      </c>
      <c r="J1590" s="2">
        <v>0.84</v>
      </c>
      <c r="K1590" s="6">
        <v>3522.96</v>
      </c>
      <c r="L1590" s="4">
        <v>59</v>
      </c>
      <c r="M1590" s="2">
        <v>59.71</v>
      </c>
      <c r="N1590" s="6">
        <v>15427.34</v>
      </c>
      <c r="O1590" s="6">
        <f t="shared" si="121"/>
        <v>11904.380000000001</v>
      </c>
      <c r="P1590" s="6">
        <f t="shared" si="122"/>
        <v>3.379084633376479</v>
      </c>
      <c r="Q1590" s="3">
        <v>4.38</v>
      </c>
      <c r="R1590" t="str">
        <f t="shared" si="123"/>
        <v>High</v>
      </c>
      <c r="S1590" t="str">
        <f t="shared" si="124"/>
        <v>Valid</v>
      </c>
    </row>
    <row r="1591" spans="1:19" x14ac:dyDescent="0.25">
      <c r="A1591" s="1">
        <v>45618</v>
      </c>
      <c r="B1591" s="1" t="str">
        <f t="shared" si="120"/>
        <v>2024-11</v>
      </c>
      <c r="C1591" t="s">
        <v>18</v>
      </c>
      <c r="D1591" t="s">
        <v>15</v>
      </c>
      <c r="E1591" t="s">
        <v>19</v>
      </c>
      <c r="F1591" t="s">
        <v>27</v>
      </c>
      <c r="G1591" s="4">
        <v>191041</v>
      </c>
      <c r="H1591" s="4">
        <v>7393</v>
      </c>
      <c r="I1591" s="5">
        <v>3.8699999999999998E-2</v>
      </c>
      <c r="J1591" s="2">
        <v>0.53</v>
      </c>
      <c r="K1591" s="6">
        <v>3918.29</v>
      </c>
      <c r="L1591" s="4">
        <v>446</v>
      </c>
      <c r="M1591" s="2">
        <v>8.7899999999999991</v>
      </c>
      <c r="N1591" s="6">
        <v>15789.02</v>
      </c>
      <c r="O1591" s="6">
        <f t="shared" si="121"/>
        <v>11870.73</v>
      </c>
      <c r="P1591" s="6">
        <f t="shared" si="122"/>
        <v>3.0295690211801576</v>
      </c>
      <c r="Q1591" s="3">
        <v>4.03</v>
      </c>
      <c r="R1591" t="str">
        <f t="shared" si="123"/>
        <v>High</v>
      </c>
      <c r="S1591" t="str">
        <f t="shared" si="124"/>
        <v>Valid</v>
      </c>
    </row>
    <row r="1592" spans="1:19" x14ac:dyDescent="0.25">
      <c r="A1592" s="1">
        <v>45609</v>
      </c>
      <c r="B1592" s="1" t="str">
        <f t="shared" si="120"/>
        <v>2024-11</v>
      </c>
      <c r="C1592" t="s">
        <v>18</v>
      </c>
      <c r="D1592" t="s">
        <v>21</v>
      </c>
      <c r="E1592" t="s">
        <v>22</v>
      </c>
      <c r="F1592" t="s">
        <v>20</v>
      </c>
      <c r="G1592" s="4">
        <v>72145</v>
      </c>
      <c r="H1592" s="4">
        <v>3058</v>
      </c>
      <c r="I1592" s="5">
        <v>4.24E-2</v>
      </c>
      <c r="J1592" s="2">
        <v>0.77</v>
      </c>
      <c r="K1592" s="6">
        <v>2354.66</v>
      </c>
      <c r="L1592" s="4">
        <v>78</v>
      </c>
      <c r="M1592" s="2">
        <v>30.19</v>
      </c>
      <c r="N1592" s="6">
        <v>7543.67</v>
      </c>
      <c r="O1592" s="6">
        <f t="shared" si="121"/>
        <v>5189.01</v>
      </c>
      <c r="P1592" s="6">
        <f t="shared" si="122"/>
        <v>2.2037194329542271</v>
      </c>
      <c r="Q1592" s="3">
        <v>3.2</v>
      </c>
      <c r="R1592" t="str">
        <f t="shared" si="123"/>
        <v>High</v>
      </c>
      <c r="S1592" t="str">
        <f t="shared" si="124"/>
        <v>Valid</v>
      </c>
    </row>
    <row r="1593" spans="1:19" x14ac:dyDescent="0.25">
      <c r="A1593" s="1">
        <v>45355</v>
      </c>
      <c r="B1593" s="1" t="str">
        <f t="shared" si="120"/>
        <v>2024-03</v>
      </c>
      <c r="C1593" t="s">
        <v>28</v>
      </c>
      <c r="D1593" t="s">
        <v>21</v>
      </c>
      <c r="E1593" t="s">
        <v>25</v>
      </c>
      <c r="F1593" t="s">
        <v>17</v>
      </c>
      <c r="G1593" s="4">
        <v>113447</v>
      </c>
      <c r="H1593" s="4">
        <v>1826</v>
      </c>
      <c r="I1593" s="5">
        <v>1.61E-2</v>
      </c>
      <c r="J1593" s="2">
        <v>1.73</v>
      </c>
      <c r="K1593" s="6">
        <v>3158.98</v>
      </c>
      <c r="L1593" s="4">
        <v>24</v>
      </c>
      <c r="M1593" s="2">
        <v>131.62</v>
      </c>
      <c r="N1593" s="6">
        <v>4477.79</v>
      </c>
      <c r="O1593" s="6">
        <f t="shared" si="121"/>
        <v>1318.81</v>
      </c>
      <c r="P1593" s="6">
        <f t="shared" si="122"/>
        <v>0.41747969281223685</v>
      </c>
      <c r="Q1593" s="3">
        <v>1.42</v>
      </c>
      <c r="R1593" t="str">
        <f t="shared" si="123"/>
        <v>Medium</v>
      </c>
      <c r="S1593" t="str">
        <f t="shared" si="124"/>
        <v>Valid</v>
      </c>
    </row>
    <row r="1594" spans="1:19" x14ac:dyDescent="0.25">
      <c r="A1594" s="1">
        <v>45638</v>
      </c>
      <c r="B1594" s="1" t="str">
        <f t="shared" si="120"/>
        <v>2024-12</v>
      </c>
      <c r="C1594" t="s">
        <v>18</v>
      </c>
      <c r="D1594" t="s">
        <v>15</v>
      </c>
      <c r="E1594" t="s">
        <v>22</v>
      </c>
      <c r="F1594" t="s">
        <v>31</v>
      </c>
      <c r="G1594" s="4">
        <v>195512</v>
      </c>
      <c r="H1594" s="4">
        <v>8328</v>
      </c>
      <c r="I1594" s="5">
        <v>4.2599999999999999E-2</v>
      </c>
      <c r="J1594" s="2">
        <v>1.63</v>
      </c>
      <c r="K1594" s="6">
        <v>13574.64</v>
      </c>
      <c r="L1594" s="4">
        <v>198</v>
      </c>
      <c r="M1594" s="2">
        <v>68.56</v>
      </c>
      <c r="N1594" s="6">
        <v>14486.58</v>
      </c>
      <c r="O1594" s="6">
        <f t="shared" si="121"/>
        <v>911.94000000000051</v>
      </c>
      <c r="P1594" s="6">
        <f t="shared" si="122"/>
        <v>6.7179682113116854E-2</v>
      </c>
      <c r="Q1594" s="3">
        <v>1.07</v>
      </c>
      <c r="R1594" t="str">
        <f t="shared" si="123"/>
        <v>Medium</v>
      </c>
      <c r="S1594" t="str">
        <f t="shared" si="124"/>
        <v>Valid</v>
      </c>
    </row>
    <row r="1595" spans="1:19" x14ac:dyDescent="0.25">
      <c r="A1595" s="1">
        <v>45462</v>
      </c>
      <c r="B1595" s="1" t="str">
        <f t="shared" si="120"/>
        <v>2024-06</v>
      </c>
      <c r="C1595" t="s">
        <v>28</v>
      </c>
      <c r="D1595" t="s">
        <v>15</v>
      </c>
      <c r="E1595" t="s">
        <v>25</v>
      </c>
      <c r="F1595" t="s">
        <v>23</v>
      </c>
      <c r="G1595" s="4">
        <v>149446</v>
      </c>
      <c r="H1595" s="4">
        <v>6456</v>
      </c>
      <c r="I1595" s="5">
        <v>4.3200000000000002E-2</v>
      </c>
      <c r="J1595" s="2">
        <v>2.19</v>
      </c>
      <c r="K1595" s="6">
        <v>14138.64</v>
      </c>
      <c r="L1595" s="4">
        <v>397</v>
      </c>
      <c r="M1595" s="2">
        <v>35.61</v>
      </c>
      <c r="N1595" s="6">
        <v>118768.88</v>
      </c>
      <c r="O1595" s="6">
        <f t="shared" si="121"/>
        <v>104630.24</v>
      </c>
      <c r="P1595" s="6">
        <f t="shared" si="122"/>
        <v>7.4003044140030445</v>
      </c>
      <c r="Q1595" s="3">
        <v>8.4</v>
      </c>
      <c r="R1595" t="str">
        <f t="shared" si="123"/>
        <v>High</v>
      </c>
      <c r="S1595" t="str">
        <f t="shared" si="124"/>
        <v>Valid</v>
      </c>
    </row>
    <row r="1596" spans="1:19" x14ac:dyDescent="0.25">
      <c r="A1596" s="1">
        <v>45538</v>
      </c>
      <c r="B1596" s="1" t="str">
        <f t="shared" si="120"/>
        <v>2024-09</v>
      </c>
      <c r="C1596" t="s">
        <v>18</v>
      </c>
      <c r="D1596" t="s">
        <v>21</v>
      </c>
      <c r="E1596" t="s">
        <v>25</v>
      </c>
      <c r="F1596" t="s">
        <v>26</v>
      </c>
      <c r="G1596" s="4">
        <v>154307</v>
      </c>
      <c r="H1596" s="4">
        <v>9212</v>
      </c>
      <c r="I1596" s="5">
        <v>5.9700000000000003E-2</v>
      </c>
      <c r="J1596" s="2">
        <v>1.3</v>
      </c>
      <c r="K1596" s="6">
        <v>11975.6</v>
      </c>
      <c r="L1596" s="4">
        <v>700</v>
      </c>
      <c r="M1596" s="2">
        <v>17.11</v>
      </c>
      <c r="N1596" s="6">
        <v>61706.239999999998</v>
      </c>
      <c r="O1596" s="6">
        <f t="shared" si="121"/>
        <v>49730.64</v>
      </c>
      <c r="P1596" s="6">
        <f t="shared" si="122"/>
        <v>4.152663749624236</v>
      </c>
      <c r="Q1596" s="3">
        <v>5.15</v>
      </c>
      <c r="R1596" t="str">
        <f t="shared" si="123"/>
        <v>High</v>
      </c>
      <c r="S1596" t="str">
        <f t="shared" si="124"/>
        <v>Valid</v>
      </c>
    </row>
    <row r="1597" spans="1:19" x14ac:dyDescent="0.25">
      <c r="A1597" s="1">
        <v>45622</v>
      </c>
      <c r="B1597" s="1" t="str">
        <f t="shared" si="120"/>
        <v>2024-11</v>
      </c>
      <c r="C1597" t="s">
        <v>28</v>
      </c>
      <c r="D1597" t="s">
        <v>29</v>
      </c>
      <c r="E1597" t="s">
        <v>22</v>
      </c>
      <c r="F1597" t="s">
        <v>31</v>
      </c>
      <c r="G1597" s="4">
        <v>149675</v>
      </c>
      <c r="H1597" s="4">
        <v>3143</v>
      </c>
      <c r="I1597" s="5">
        <v>2.1000000000000001E-2</v>
      </c>
      <c r="J1597" s="2">
        <v>1.55</v>
      </c>
      <c r="K1597" s="6">
        <v>4871.6499999999996</v>
      </c>
      <c r="L1597" s="4">
        <v>147</v>
      </c>
      <c r="M1597" s="2">
        <v>33.14</v>
      </c>
      <c r="N1597" s="6">
        <v>33184.47</v>
      </c>
      <c r="O1597" s="6">
        <f t="shared" si="121"/>
        <v>28312.82</v>
      </c>
      <c r="P1597" s="6">
        <f t="shared" si="122"/>
        <v>5.8117516652468879</v>
      </c>
      <c r="Q1597" s="3">
        <v>6.81</v>
      </c>
      <c r="R1597" t="str">
        <f t="shared" si="123"/>
        <v>High</v>
      </c>
      <c r="S1597" t="str">
        <f t="shared" si="124"/>
        <v>Valid</v>
      </c>
    </row>
    <row r="1598" spans="1:19" x14ac:dyDescent="0.25">
      <c r="A1598" s="1">
        <v>45387</v>
      </c>
      <c r="B1598" s="1" t="str">
        <f t="shared" si="120"/>
        <v>2024-04</v>
      </c>
      <c r="C1598" t="s">
        <v>18</v>
      </c>
      <c r="D1598" t="s">
        <v>24</v>
      </c>
      <c r="E1598" t="s">
        <v>22</v>
      </c>
      <c r="F1598" t="s">
        <v>17</v>
      </c>
      <c r="G1598" s="4">
        <v>184065</v>
      </c>
      <c r="H1598" s="4">
        <v>6350</v>
      </c>
      <c r="I1598" s="5">
        <v>3.4500000000000003E-2</v>
      </c>
      <c r="J1598" s="2">
        <v>1.34</v>
      </c>
      <c r="K1598" s="6">
        <v>8509</v>
      </c>
      <c r="L1598" s="4">
        <v>273</v>
      </c>
      <c r="M1598" s="2">
        <v>31.17</v>
      </c>
      <c r="N1598" s="6">
        <v>39093.51</v>
      </c>
      <c r="O1598" s="6">
        <f t="shared" si="121"/>
        <v>30584.510000000002</v>
      </c>
      <c r="P1598" s="6">
        <f t="shared" si="122"/>
        <v>3.5943718415795045</v>
      </c>
      <c r="Q1598" s="3">
        <v>4.59</v>
      </c>
      <c r="R1598" t="str">
        <f t="shared" si="123"/>
        <v>High</v>
      </c>
      <c r="S1598" t="str">
        <f t="shared" si="124"/>
        <v>Valid</v>
      </c>
    </row>
    <row r="1599" spans="1:19" x14ac:dyDescent="0.25">
      <c r="A1599" s="1">
        <v>45569</v>
      </c>
      <c r="B1599" s="1" t="str">
        <f t="shared" si="120"/>
        <v>2024-10</v>
      </c>
      <c r="C1599" t="s">
        <v>18</v>
      </c>
      <c r="D1599" t="s">
        <v>15</v>
      </c>
      <c r="E1599" t="s">
        <v>19</v>
      </c>
      <c r="F1599" t="s">
        <v>26</v>
      </c>
      <c r="G1599" s="4">
        <v>64484</v>
      </c>
      <c r="H1599" s="4">
        <v>2966</v>
      </c>
      <c r="I1599" s="5">
        <v>4.5999999999999999E-2</v>
      </c>
      <c r="J1599" s="2">
        <v>1.25</v>
      </c>
      <c r="K1599" s="6">
        <v>3707.5</v>
      </c>
      <c r="L1599" s="4">
        <v>227</v>
      </c>
      <c r="M1599" s="2">
        <v>16.329999999999998</v>
      </c>
      <c r="N1599" s="6">
        <v>27232.61</v>
      </c>
      <c r="O1599" s="6">
        <f t="shared" si="121"/>
        <v>23525.11</v>
      </c>
      <c r="P1599" s="6">
        <f t="shared" si="122"/>
        <v>6.3452757923128793</v>
      </c>
      <c r="Q1599" s="3">
        <v>7.35</v>
      </c>
      <c r="R1599" t="str">
        <f t="shared" si="123"/>
        <v>High</v>
      </c>
      <c r="S1599" t="str">
        <f t="shared" si="124"/>
        <v>Valid</v>
      </c>
    </row>
    <row r="1600" spans="1:19" x14ac:dyDescent="0.25">
      <c r="A1600" s="1">
        <v>45501</v>
      </c>
      <c r="B1600" s="1" t="str">
        <f t="shared" si="120"/>
        <v>2024-07</v>
      </c>
      <c r="C1600" t="s">
        <v>28</v>
      </c>
      <c r="D1600" t="s">
        <v>21</v>
      </c>
      <c r="E1600" t="s">
        <v>19</v>
      </c>
      <c r="F1600" t="s">
        <v>17</v>
      </c>
      <c r="G1600" s="4">
        <v>148088</v>
      </c>
      <c r="H1600" s="4">
        <v>4561</v>
      </c>
      <c r="I1600" s="5">
        <v>3.0800000000000001E-2</v>
      </c>
      <c r="J1600" s="2">
        <v>1.36</v>
      </c>
      <c r="K1600" s="6">
        <v>6202.96</v>
      </c>
      <c r="L1600" s="4">
        <v>173</v>
      </c>
      <c r="M1600" s="2">
        <v>35.86</v>
      </c>
      <c r="N1600" s="6">
        <v>48056.97</v>
      </c>
      <c r="O1600" s="6">
        <f t="shared" si="121"/>
        <v>41854.01</v>
      </c>
      <c r="P1600" s="6">
        <f t="shared" si="122"/>
        <v>6.7474254227014203</v>
      </c>
      <c r="Q1600" s="3">
        <v>7.75</v>
      </c>
      <c r="R1600" t="str">
        <f t="shared" si="123"/>
        <v>High</v>
      </c>
      <c r="S1600" t="str">
        <f t="shared" si="124"/>
        <v>Valid</v>
      </c>
    </row>
    <row r="1601" spans="1:19" x14ac:dyDescent="0.25">
      <c r="A1601" s="1">
        <v>45544</v>
      </c>
      <c r="B1601" s="1" t="str">
        <f t="shared" si="120"/>
        <v>2024-09</v>
      </c>
      <c r="C1601" t="s">
        <v>14</v>
      </c>
      <c r="D1601" t="s">
        <v>29</v>
      </c>
      <c r="E1601" t="s">
        <v>25</v>
      </c>
      <c r="F1601" t="s">
        <v>31</v>
      </c>
      <c r="G1601" s="4">
        <v>28068</v>
      </c>
      <c r="H1601" s="4">
        <v>990</v>
      </c>
      <c r="I1601" s="5">
        <v>3.5299999999999998E-2</v>
      </c>
      <c r="J1601" s="2">
        <v>1.01</v>
      </c>
      <c r="K1601" s="6">
        <v>999.9</v>
      </c>
      <c r="L1601" s="4">
        <v>28</v>
      </c>
      <c r="M1601" s="2">
        <v>35.71</v>
      </c>
      <c r="N1601" s="6">
        <v>5661.1</v>
      </c>
      <c r="O1601" s="6">
        <f t="shared" si="121"/>
        <v>4661.2000000000007</v>
      </c>
      <c r="P1601" s="6">
        <f t="shared" si="122"/>
        <v>4.6616661666166621</v>
      </c>
      <c r="Q1601" s="3">
        <v>5.66</v>
      </c>
      <c r="R1601" t="str">
        <f t="shared" si="123"/>
        <v>High</v>
      </c>
      <c r="S1601" t="str">
        <f t="shared" si="124"/>
        <v>Valid</v>
      </c>
    </row>
    <row r="1602" spans="1:19" x14ac:dyDescent="0.25">
      <c r="A1602" s="1">
        <v>45374</v>
      </c>
      <c r="B1602" s="1" t="str">
        <f t="shared" si="120"/>
        <v>2024-03</v>
      </c>
      <c r="C1602" t="s">
        <v>18</v>
      </c>
      <c r="D1602" t="s">
        <v>15</v>
      </c>
      <c r="E1602" t="s">
        <v>22</v>
      </c>
      <c r="F1602" t="s">
        <v>23</v>
      </c>
      <c r="G1602" s="4">
        <v>131385</v>
      </c>
      <c r="H1602" s="4">
        <v>6910</v>
      </c>
      <c r="I1602" s="5">
        <v>5.2600000000000001E-2</v>
      </c>
      <c r="J1602" s="2">
        <v>0.34</v>
      </c>
      <c r="K1602" s="6">
        <v>2349.4</v>
      </c>
      <c r="L1602" s="4">
        <v>206</v>
      </c>
      <c r="M1602" s="2">
        <v>11.4</v>
      </c>
      <c r="N1602" s="6">
        <v>6729.96</v>
      </c>
      <c r="O1602" s="6">
        <f t="shared" si="121"/>
        <v>4380.5599999999995</v>
      </c>
      <c r="P1602" s="6">
        <f t="shared" si="122"/>
        <v>1.864544138929088</v>
      </c>
      <c r="Q1602" s="3">
        <v>2.86</v>
      </c>
      <c r="R1602" t="str">
        <f t="shared" si="123"/>
        <v>Medium</v>
      </c>
      <c r="S1602" t="str">
        <f t="shared" si="124"/>
        <v>Valid</v>
      </c>
    </row>
    <row r="1603" spans="1:19" x14ac:dyDescent="0.25">
      <c r="A1603" s="1">
        <v>45428</v>
      </c>
      <c r="B1603" s="1" t="str">
        <f t="shared" ref="B1603:B1666" si="125">TEXT(A1603, "yyyy-mm")</f>
        <v>2024-05</v>
      </c>
      <c r="C1603" t="s">
        <v>18</v>
      </c>
      <c r="D1603" t="s">
        <v>15</v>
      </c>
      <c r="E1603" t="s">
        <v>19</v>
      </c>
      <c r="F1603" t="s">
        <v>17</v>
      </c>
      <c r="G1603" s="4">
        <v>77882</v>
      </c>
      <c r="H1603" s="4">
        <v>3029</v>
      </c>
      <c r="I1603" s="5">
        <v>3.8899999999999997E-2</v>
      </c>
      <c r="J1603" s="2">
        <v>0.47</v>
      </c>
      <c r="K1603" s="6">
        <v>1423.63</v>
      </c>
      <c r="L1603" s="4">
        <v>228</v>
      </c>
      <c r="M1603" s="2">
        <v>6.24</v>
      </c>
      <c r="N1603" s="6">
        <v>44433.62</v>
      </c>
      <c r="O1603" s="6">
        <f t="shared" ref="O1603:O1666" si="126">N1603-K1603</f>
        <v>43009.990000000005</v>
      </c>
      <c r="P1603" s="6">
        <f t="shared" ref="P1603:P1666" si="127">IFERROR(O1603/K1603, "")</f>
        <v>30.211494559681942</v>
      </c>
      <c r="Q1603" s="3">
        <v>31.21</v>
      </c>
      <c r="R1603" t="str">
        <f t="shared" ref="R1603:R1666" si="128">IF(Q1603 &gt;= 3, "High", IF(Q1603&gt;=1, "Medium", "Low"))</f>
        <v>High</v>
      </c>
      <c r="S1603" t="str">
        <f t="shared" ref="S1603:S1666" si="129">IF(OR(G1603=0, H1603&gt;G1603, L1603&gt;H1603), "Invalid", "Valid")</f>
        <v>Valid</v>
      </c>
    </row>
    <row r="1604" spans="1:19" x14ac:dyDescent="0.25">
      <c r="A1604" s="1">
        <v>45545</v>
      </c>
      <c r="B1604" s="1" t="str">
        <f t="shared" si="125"/>
        <v>2024-09</v>
      </c>
      <c r="C1604" t="s">
        <v>18</v>
      </c>
      <c r="D1604" t="s">
        <v>24</v>
      </c>
      <c r="E1604" t="s">
        <v>22</v>
      </c>
      <c r="F1604" t="s">
        <v>17</v>
      </c>
      <c r="G1604" s="4">
        <v>90066</v>
      </c>
      <c r="H1604" s="4">
        <v>6025</v>
      </c>
      <c r="I1604" s="5">
        <v>6.6900000000000001E-2</v>
      </c>
      <c r="J1604" s="2">
        <v>1.77</v>
      </c>
      <c r="K1604" s="6">
        <v>10664.25</v>
      </c>
      <c r="L1604" s="4">
        <v>417</v>
      </c>
      <c r="M1604" s="2">
        <v>25.57</v>
      </c>
      <c r="N1604" s="6">
        <v>40275.46</v>
      </c>
      <c r="O1604" s="6">
        <f t="shared" si="126"/>
        <v>29611.21</v>
      </c>
      <c r="P1604" s="6">
        <f t="shared" si="127"/>
        <v>2.7766800290690861</v>
      </c>
      <c r="Q1604" s="3">
        <v>3.78</v>
      </c>
      <c r="R1604" t="str">
        <f t="shared" si="128"/>
        <v>High</v>
      </c>
      <c r="S1604" t="str">
        <f t="shared" si="129"/>
        <v>Valid</v>
      </c>
    </row>
    <row r="1605" spans="1:19" x14ac:dyDescent="0.25">
      <c r="A1605" s="1">
        <v>45498</v>
      </c>
      <c r="B1605" s="1" t="str">
        <f t="shared" si="125"/>
        <v>2024-07</v>
      </c>
      <c r="C1605" t="s">
        <v>28</v>
      </c>
      <c r="D1605" t="s">
        <v>24</v>
      </c>
      <c r="E1605" t="s">
        <v>30</v>
      </c>
      <c r="F1605" t="s">
        <v>31</v>
      </c>
      <c r="G1605" s="4">
        <v>186775</v>
      </c>
      <c r="H1605" s="4">
        <v>2409</v>
      </c>
      <c r="I1605" s="5">
        <v>1.29E-2</v>
      </c>
      <c r="J1605" s="2">
        <v>0.69</v>
      </c>
      <c r="K1605" s="6">
        <v>1662.21</v>
      </c>
      <c r="L1605" s="4">
        <v>107</v>
      </c>
      <c r="M1605" s="2">
        <v>15.53</v>
      </c>
      <c r="N1605" s="6">
        <v>10079.709999999999</v>
      </c>
      <c r="O1605" s="6">
        <f t="shared" si="126"/>
        <v>8417.5</v>
      </c>
      <c r="P1605" s="6">
        <f t="shared" si="127"/>
        <v>5.0640412462925859</v>
      </c>
      <c r="Q1605" s="3">
        <v>6.06</v>
      </c>
      <c r="R1605" t="str">
        <f t="shared" si="128"/>
        <v>High</v>
      </c>
      <c r="S1605" t="str">
        <f t="shared" si="129"/>
        <v>Valid</v>
      </c>
    </row>
    <row r="1606" spans="1:19" x14ac:dyDescent="0.25">
      <c r="A1606" s="1">
        <v>45397</v>
      </c>
      <c r="B1606" s="1" t="str">
        <f t="shared" si="125"/>
        <v>2024-04</v>
      </c>
      <c r="C1606" t="s">
        <v>14</v>
      </c>
      <c r="D1606" t="s">
        <v>21</v>
      </c>
      <c r="E1606" t="s">
        <v>16</v>
      </c>
      <c r="F1606" t="s">
        <v>31</v>
      </c>
      <c r="G1606" s="4">
        <v>57328</v>
      </c>
      <c r="H1606" s="4">
        <v>2161</v>
      </c>
      <c r="I1606" s="5">
        <v>3.7699999999999997E-2</v>
      </c>
      <c r="J1606" s="2">
        <v>1.53</v>
      </c>
      <c r="K1606" s="6">
        <v>3306.33</v>
      </c>
      <c r="L1606" s="4">
        <v>99</v>
      </c>
      <c r="M1606" s="2">
        <v>33.4</v>
      </c>
      <c r="N1606" s="6">
        <v>17903.97</v>
      </c>
      <c r="O1606" s="6">
        <f t="shared" si="126"/>
        <v>14597.640000000001</v>
      </c>
      <c r="P1606" s="6">
        <f t="shared" si="127"/>
        <v>4.4150583880011984</v>
      </c>
      <c r="Q1606" s="3">
        <v>5.42</v>
      </c>
      <c r="R1606" t="str">
        <f t="shared" si="128"/>
        <v>High</v>
      </c>
      <c r="S1606" t="str">
        <f t="shared" si="129"/>
        <v>Valid</v>
      </c>
    </row>
    <row r="1607" spans="1:19" x14ac:dyDescent="0.25">
      <c r="A1607" s="1">
        <v>45344</v>
      </c>
      <c r="B1607" s="1" t="str">
        <f t="shared" si="125"/>
        <v>2024-02</v>
      </c>
      <c r="C1607" t="s">
        <v>14</v>
      </c>
      <c r="D1607" t="s">
        <v>21</v>
      </c>
      <c r="E1607" t="s">
        <v>25</v>
      </c>
      <c r="F1607" t="s">
        <v>31</v>
      </c>
      <c r="G1607" s="4">
        <v>87570</v>
      </c>
      <c r="H1607" s="4">
        <v>3415</v>
      </c>
      <c r="I1607" s="5">
        <v>3.9E-2</v>
      </c>
      <c r="J1607" s="2">
        <v>2.57</v>
      </c>
      <c r="K1607" s="6">
        <v>8776.5499999999993</v>
      </c>
      <c r="L1607" s="4">
        <v>236</v>
      </c>
      <c r="M1607" s="2">
        <v>37.19</v>
      </c>
      <c r="N1607" s="6">
        <v>46705.85</v>
      </c>
      <c r="O1607" s="6">
        <f t="shared" si="126"/>
        <v>37929.300000000003</v>
      </c>
      <c r="P1607" s="6">
        <f t="shared" si="127"/>
        <v>4.3216639795819551</v>
      </c>
      <c r="Q1607" s="3">
        <v>5.32</v>
      </c>
      <c r="R1607" t="str">
        <f t="shared" si="128"/>
        <v>High</v>
      </c>
      <c r="S1607" t="str">
        <f t="shared" si="129"/>
        <v>Valid</v>
      </c>
    </row>
    <row r="1608" spans="1:19" x14ac:dyDescent="0.25">
      <c r="A1608" s="1">
        <v>45461</v>
      </c>
      <c r="B1608" s="1" t="str">
        <f t="shared" si="125"/>
        <v>2024-06</v>
      </c>
      <c r="C1608" t="s">
        <v>28</v>
      </c>
      <c r="D1608" t="s">
        <v>21</v>
      </c>
      <c r="E1608" t="s">
        <v>25</v>
      </c>
      <c r="F1608" t="s">
        <v>17</v>
      </c>
      <c r="G1608" s="4">
        <v>54864</v>
      </c>
      <c r="H1608" s="4">
        <v>1876</v>
      </c>
      <c r="I1608" s="5">
        <v>3.4200000000000001E-2</v>
      </c>
      <c r="J1608" s="2">
        <v>1.52</v>
      </c>
      <c r="K1608" s="6">
        <v>2851.52</v>
      </c>
      <c r="L1608" s="4">
        <v>121</v>
      </c>
      <c r="M1608" s="2">
        <v>23.57</v>
      </c>
      <c r="N1608" s="6">
        <v>23640.39</v>
      </c>
      <c r="O1608" s="6">
        <f t="shared" si="126"/>
        <v>20788.87</v>
      </c>
      <c r="P1608" s="6">
        <f t="shared" si="127"/>
        <v>7.2904521097519916</v>
      </c>
      <c r="Q1608" s="3">
        <v>8.2899999999999991</v>
      </c>
      <c r="R1608" t="str">
        <f t="shared" si="128"/>
        <v>High</v>
      </c>
      <c r="S1608" t="str">
        <f t="shared" si="129"/>
        <v>Valid</v>
      </c>
    </row>
    <row r="1609" spans="1:19" x14ac:dyDescent="0.25">
      <c r="A1609" s="1">
        <v>45600</v>
      </c>
      <c r="B1609" s="1" t="str">
        <f t="shared" si="125"/>
        <v>2024-11</v>
      </c>
      <c r="C1609" t="s">
        <v>14</v>
      </c>
      <c r="D1609" t="s">
        <v>29</v>
      </c>
      <c r="E1609" t="s">
        <v>25</v>
      </c>
      <c r="F1609" t="s">
        <v>32</v>
      </c>
      <c r="G1609" s="4">
        <v>91861</v>
      </c>
      <c r="H1609" s="4">
        <v>2535</v>
      </c>
      <c r="I1609" s="5">
        <v>2.76E-2</v>
      </c>
      <c r="J1609" s="2">
        <v>1.24</v>
      </c>
      <c r="K1609" s="6">
        <v>3143.4</v>
      </c>
      <c r="L1609" s="4">
        <v>137</v>
      </c>
      <c r="M1609" s="2">
        <v>22.94</v>
      </c>
      <c r="N1609" s="6">
        <v>8299.82</v>
      </c>
      <c r="O1609" s="6">
        <f t="shared" si="126"/>
        <v>5156.42</v>
      </c>
      <c r="P1609" s="6">
        <f t="shared" si="127"/>
        <v>1.6403957498250301</v>
      </c>
      <c r="Q1609" s="3">
        <v>2.64</v>
      </c>
      <c r="R1609" t="str">
        <f t="shared" si="128"/>
        <v>Medium</v>
      </c>
      <c r="S1609" t="str">
        <f t="shared" si="129"/>
        <v>Valid</v>
      </c>
    </row>
    <row r="1610" spans="1:19" x14ac:dyDescent="0.25">
      <c r="A1610" s="1">
        <v>45447</v>
      </c>
      <c r="B1610" s="1" t="str">
        <f t="shared" si="125"/>
        <v>2024-06</v>
      </c>
      <c r="C1610" t="s">
        <v>28</v>
      </c>
      <c r="D1610" t="s">
        <v>15</v>
      </c>
      <c r="E1610" t="s">
        <v>30</v>
      </c>
      <c r="F1610" t="s">
        <v>32</v>
      </c>
      <c r="G1610" s="4">
        <v>16920</v>
      </c>
      <c r="H1610" s="4">
        <v>389</v>
      </c>
      <c r="I1610" s="5">
        <v>2.3E-2</v>
      </c>
      <c r="J1610" s="2">
        <v>1.23</v>
      </c>
      <c r="K1610" s="6">
        <v>478.47</v>
      </c>
      <c r="L1610" s="4">
        <v>15</v>
      </c>
      <c r="M1610" s="2">
        <v>31.9</v>
      </c>
      <c r="N1610" s="6">
        <v>3222.58</v>
      </c>
      <c r="O1610" s="6">
        <f t="shared" si="126"/>
        <v>2744.1099999999997</v>
      </c>
      <c r="P1610" s="6">
        <f t="shared" si="127"/>
        <v>5.7351767090935679</v>
      </c>
      <c r="Q1610" s="3">
        <v>6.74</v>
      </c>
      <c r="R1610" t="str">
        <f t="shared" si="128"/>
        <v>High</v>
      </c>
      <c r="S1610" t="str">
        <f t="shared" si="129"/>
        <v>Valid</v>
      </c>
    </row>
    <row r="1611" spans="1:19" x14ac:dyDescent="0.25">
      <c r="A1611" s="1">
        <v>45520</v>
      </c>
      <c r="B1611" s="1" t="str">
        <f t="shared" si="125"/>
        <v>2024-08</v>
      </c>
      <c r="C1611" t="s">
        <v>28</v>
      </c>
      <c r="D1611" t="s">
        <v>24</v>
      </c>
      <c r="E1611" t="s">
        <v>22</v>
      </c>
      <c r="F1611" t="s">
        <v>31</v>
      </c>
      <c r="G1611" s="4">
        <v>117421</v>
      </c>
      <c r="H1611" s="4">
        <v>3428</v>
      </c>
      <c r="I1611" s="5">
        <v>2.92E-2</v>
      </c>
      <c r="J1611" s="2">
        <v>0.61</v>
      </c>
      <c r="K1611" s="6">
        <v>2091.08</v>
      </c>
      <c r="L1611" s="4">
        <v>99</v>
      </c>
      <c r="M1611" s="2">
        <v>21.12</v>
      </c>
      <c r="N1611" s="6">
        <v>25079.21</v>
      </c>
      <c r="O1611" s="6">
        <f t="shared" si="126"/>
        <v>22988.129999999997</v>
      </c>
      <c r="P1611" s="6">
        <f t="shared" si="127"/>
        <v>10.993424450523174</v>
      </c>
      <c r="Q1611" s="3">
        <v>11.99</v>
      </c>
      <c r="R1611" t="str">
        <f t="shared" si="128"/>
        <v>High</v>
      </c>
      <c r="S1611" t="str">
        <f t="shared" si="129"/>
        <v>Valid</v>
      </c>
    </row>
    <row r="1612" spans="1:19" x14ac:dyDescent="0.25">
      <c r="A1612" s="1">
        <v>45472</v>
      </c>
      <c r="B1612" s="1" t="str">
        <f t="shared" si="125"/>
        <v>2024-06</v>
      </c>
      <c r="C1612" t="s">
        <v>14</v>
      </c>
      <c r="D1612" t="s">
        <v>29</v>
      </c>
      <c r="E1612" t="s">
        <v>19</v>
      </c>
      <c r="F1612" t="s">
        <v>20</v>
      </c>
      <c r="G1612" s="4">
        <v>146332</v>
      </c>
      <c r="H1612" s="4">
        <v>7184</v>
      </c>
      <c r="I1612" s="5">
        <v>4.9099999999999998E-2</v>
      </c>
      <c r="J1612" s="2">
        <v>2.8</v>
      </c>
      <c r="K1612" s="6">
        <v>20115.2</v>
      </c>
      <c r="L1612" s="4">
        <v>366</v>
      </c>
      <c r="M1612" s="2">
        <v>54.96</v>
      </c>
      <c r="N1612" s="6">
        <v>40775.67</v>
      </c>
      <c r="O1612" s="6">
        <f t="shared" si="126"/>
        <v>20660.469999999998</v>
      </c>
      <c r="P1612" s="6">
        <f t="shared" si="127"/>
        <v>1.0271073615972</v>
      </c>
      <c r="Q1612" s="3">
        <v>2.0299999999999998</v>
      </c>
      <c r="R1612" t="str">
        <f t="shared" si="128"/>
        <v>Medium</v>
      </c>
      <c r="S1612" t="str">
        <f t="shared" si="129"/>
        <v>Valid</v>
      </c>
    </row>
    <row r="1613" spans="1:19" x14ac:dyDescent="0.25">
      <c r="A1613" s="1">
        <v>45302</v>
      </c>
      <c r="B1613" s="1" t="str">
        <f t="shared" si="125"/>
        <v>2024-01</v>
      </c>
      <c r="C1613" t="s">
        <v>28</v>
      </c>
      <c r="D1613" t="s">
        <v>24</v>
      </c>
      <c r="E1613" t="s">
        <v>25</v>
      </c>
      <c r="F1613" t="s">
        <v>23</v>
      </c>
      <c r="G1613" s="4">
        <v>144993</v>
      </c>
      <c r="H1613" s="4">
        <v>2783</v>
      </c>
      <c r="I1613" s="5">
        <v>1.9199999999999998E-2</v>
      </c>
      <c r="J1613" s="2">
        <v>1.47</v>
      </c>
      <c r="K1613" s="6">
        <v>4091.01</v>
      </c>
      <c r="L1613" s="4">
        <v>120</v>
      </c>
      <c r="M1613" s="2">
        <v>34.090000000000003</v>
      </c>
      <c r="N1613" s="6">
        <v>10562.14</v>
      </c>
      <c r="O1613" s="6">
        <f t="shared" si="126"/>
        <v>6471.1299999999992</v>
      </c>
      <c r="P1613" s="6">
        <f t="shared" si="127"/>
        <v>1.5817927602230253</v>
      </c>
      <c r="Q1613" s="3">
        <v>2.58</v>
      </c>
      <c r="R1613" t="str">
        <f t="shared" si="128"/>
        <v>Medium</v>
      </c>
      <c r="S1613" t="str">
        <f t="shared" si="129"/>
        <v>Valid</v>
      </c>
    </row>
    <row r="1614" spans="1:19" x14ac:dyDescent="0.25">
      <c r="A1614" s="1">
        <v>45501</v>
      </c>
      <c r="B1614" s="1" t="str">
        <f t="shared" si="125"/>
        <v>2024-07</v>
      </c>
      <c r="C1614" t="s">
        <v>14</v>
      </c>
      <c r="D1614" t="s">
        <v>29</v>
      </c>
      <c r="E1614" t="s">
        <v>16</v>
      </c>
      <c r="F1614" t="s">
        <v>27</v>
      </c>
      <c r="G1614" s="4">
        <v>35702</v>
      </c>
      <c r="H1614" s="4">
        <v>999</v>
      </c>
      <c r="I1614" s="5">
        <v>2.8000000000000001E-2</v>
      </c>
      <c r="J1614" s="2">
        <v>1.58</v>
      </c>
      <c r="K1614" s="6">
        <v>1578.42</v>
      </c>
      <c r="L1614" s="4">
        <v>15</v>
      </c>
      <c r="M1614" s="2">
        <v>105.23</v>
      </c>
      <c r="N1614" s="6">
        <v>2820.45</v>
      </c>
      <c r="O1614" s="6">
        <f t="shared" si="126"/>
        <v>1242.0299999999997</v>
      </c>
      <c r="P1614" s="6">
        <f t="shared" si="127"/>
        <v>0.78688181852738792</v>
      </c>
      <c r="Q1614" s="3">
        <v>1.79</v>
      </c>
      <c r="R1614" t="str">
        <f t="shared" si="128"/>
        <v>Medium</v>
      </c>
      <c r="S1614" t="str">
        <f t="shared" si="129"/>
        <v>Valid</v>
      </c>
    </row>
    <row r="1615" spans="1:19" x14ac:dyDescent="0.25">
      <c r="A1615" s="1">
        <v>45536</v>
      </c>
      <c r="B1615" s="1" t="str">
        <f t="shared" si="125"/>
        <v>2024-09</v>
      </c>
      <c r="C1615" t="s">
        <v>14</v>
      </c>
      <c r="D1615" t="s">
        <v>24</v>
      </c>
      <c r="E1615" t="s">
        <v>22</v>
      </c>
      <c r="F1615" t="s">
        <v>26</v>
      </c>
      <c r="G1615" s="4">
        <v>184976</v>
      </c>
      <c r="H1615" s="4">
        <v>6270</v>
      </c>
      <c r="I1615" s="5">
        <v>3.39E-2</v>
      </c>
      <c r="J1615" s="2">
        <v>2.66</v>
      </c>
      <c r="K1615" s="6">
        <v>16678.2</v>
      </c>
      <c r="L1615" s="4">
        <v>412</v>
      </c>
      <c r="M1615" s="2">
        <v>40.479999999999997</v>
      </c>
      <c r="N1615" s="6">
        <v>40433.910000000003</v>
      </c>
      <c r="O1615" s="6">
        <f t="shared" si="126"/>
        <v>23755.710000000003</v>
      </c>
      <c r="P1615" s="6">
        <f t="shared" si="127"/>
        <v>1.4243569449940643</v>
      </c>
      <c r="Q1615" s="3">
        <v>2.42</v>
      </c>
      <c r="R1615" t="str">
        <f t="shared" si="128"/>
        <v>Medium</v>
      </c>
      <c r="S1615" t="str">
        <f t="shared" si="129"/>
        <v>Valid</v>
      </c>
    </row>
    <row r="1616" spans="1:19" x14ac:dyDescent="0.25">
      <c r="A1616" s="1">
        <v>45453</v>
      </c>
      <c r="B1616" s="1" t="str">
        <f t="shared" si="125"/>
        <v>2024-06</v>
      </c>
      <c r="C1616" t="s">
        <v>14</v>
      </c>
      <c r="D1616" t="s">
        <v>15</v>
      </c>
      <c r="E1616" t="s">
        <v>30</v>
      </c>
      <c r="F1616" t="s">
        <v>17</v>
      </c>
      <c r="G1616" s="4">
        <v>119235</v>
      </c>
      <c r="H1616" s="4">
        <v>5258</v>
      </c>
      <c r="I1616" s="5">
        <v>4.41E-2</v>
      </c>
      <c r="J1616" s="2">
        <v>1.1000000000000001</v>
      </c>
      <c r="K1616" s="6">
        <v>5783.8</v>
      </c>
      <c r="L1616" s="4">
        <v>141</v>
      </c>
      <c r="M1616" s="2">
        <v>41.02</v>
      </c>
      <c r="N1616" s="6">
        <v>24150.02</v>
      </c>
      <c r="O1616" s="6">
        <f t="shared" si="126"/>
        <v>18366.22</v>
      </c>
      <c r="P1616" s="6">
        <f t="shared" si="127"/>
        <v>3.1754590407690446</v>
      </c>
      <c r="Q1616" s="3">
        <v>4.18</v>
      </c>
      <c r="R1616" t="str">
        <f t="shared" si="128"/>
        <v>High</v>
      </c>
      <c r="S1616" t="str">
        <f t="shared" si="129"/>
        <v>Valid</v>
      </c>
    </row>
    <row r="1617" spans="1:19" x14ac:dyDescent="0.25">
      <c r="A1617" s="1">
        <v>45518</v>
      </c>
      <c r="B1617" s="1" t="str">
        <f t="shared" si="125"/>
        <v>2024-08</v>
      </c>
      <c r="C1617" t="s">
        <v>14</v>
      </c>
      <c r="D1617" t="s">
        <v>24</v>
      </c>
      <c r="E1617" t="s">
        <v>19</v>
      </c>
      <c r="F1617" t="s">
        <v>31</v>
      </c>
      <c r="G1617" s="4">
        <v>127211</v>
      </c>
      <c r="H1617" s="4">
        <v>3968</v>
      </c>
      <c r="I1617" s="5">
        <v>3.1199999999999999E-2</v>
      </c>
      <c r="J1617" s="2">
        <v>2.63</v>
      </c>
      <c r="K1617" s="6">
        <v>10435.84</v>
      </c>
      <c r="L1617" s="4">
        <v>194</v>
      </c>
      <c r="M1617" s="2">
        <v>53.79</v>
      </c>
      <c r="N1617" s="6">
        <v>37337.18</v>
      </c>
      <c r="O1617" s="6">
        <f t="shared" si="126"/>
        <v>26901.34</v>
      </c>
      <c r="P1617" s="6">
        <f t="shared" si="127"/>
        <v>2.577783867901386</v>
      </c>
      <c r="Q1617" s="3">
        <v>3.58</v>
      </c>
      <c r="R1617" t="str">
        <f t="shared" si="128"/>
        <v>High</v>
      </c>
      <c r="S1617" t="str">
        <f t="shared" si="129"/>
        <v>Valid</v>
      </c>
    </row>
    <row r="1618" spans="1:19" x14ac:dyDescent="0.25">
      <c r="A1618" s="1">
        <v>45642</v>
      </c>
      <c r="B1618" s="1" t="str">
        <f t="shared" si="125"/>
        <v>2024-12</v>
      </c>
      <c r="C1618" t="s">
        <v>18</v>
      </c>
      <c r="D1618" t="s">
        <v>21</v>
      </c>
      <c r="E1618" t="s">
        <v>16</v>
      </c>
      <c r="F1618" t="s">
        <v>23</v>
      </c>
      <c r="G1618" s="4">
        <v>27584</v>
      </c>
      <c r="H1618" s="4">
        <v>1561</v>
      </c>
      <c r="I1618" s="5">
        <v>5.6599999999999998E-2</v>
      </c>
      <c r="J1618" s="2">
        <v>0.94</v>
      </c>
      <c r="K1618" s="6">
        <v>1467.34</v>
      </c>
      <c r="L1618" s="4">
        <v>93</v>
      </c>
      <c r="M1618" s="2">
        <v>15.78</v>
      </c>
      <c r="N1618" s="6">
        <v>19425.98</v>
      </c>
      <c r="O1618" s="6">
        <f t="shared" si="126"/>
        <v>17958.64</v>
      </c>
      <c r="P1618" s="6">
        <f t="shared" si="127"/>
        <v>12.238908501097225</v>
      </c>
      <c r="Q1618" s="3">
        <v>13.24</v>
      </c>
      <c r="R1618" t="str">
        <f t="shared" si="128"/>
        <v>High</v>
      </c>
      <c r="S1618" t="str">
        <f t="shared" si="129"/>
        <v>Valid</v>
      </c>
    </row>
    <row r="1619" spans="1:19" x14ac:dyDescent="0.25">
      <c r="A1619" s="1">
        <v>45437</v>
      </c>
      <c r="B1619" s="1" t="str">
        <f t="shared" si="125"/>
        <v>2024-05</v>
      </c>
      <c r="C1619" t="s">
        <v>14</v>
      </c>
      <c r="D1619" t="s">
        <v>24</v>
      </c>
      <c r="E1619" t="s">
        <v>25</v>
      </c>
      <c r="F1619" t="s">
        <v>26</v>
      </c>
      <c r="G1619" s="4">
        <v>194928</v>
      </c>
      <c r="H1619" s="4">
        <v>9161</v>
      </c>
      <c r="I1619" s="5">
        <v>4.7E-2</v>
      </c>
      <c r="J1619" s="2">
        <v>1.88</v>
      </c>
      <c r="K1619" s="6">
        <v>17222.68</v>
      </c>
      <c r="L1619" s="4">
        <v>571</v>
      </c>
      <c r="M1619" s="2">
        <v>30.16</v>
      </c>
      <c r="N1619" s="6">
        <v>17839.23</v>
      </c>
      <c r="O1619" s="6">
        <f t="shared" si="126"/>
        <v>616.54999999999927</v>
      </c>
      <c r="P1619" s="6">
        <f t="shared" si="127"/>
        <v>3.5798725866125321E-2</v>
      </c>
      <c r="Q1619" s="3">
        <v>1.04</v>
      </c>
      <c r="R1619" t="str">
        <f t="shared" si="128"/>
        <v>Medium</v>
      </c>
      <c r="S1619" t="str">
        <f t="shared" si="129"/>
        <v>Valid</v>
      </c>
    </row>
    <row r="1620" spans="1:19" x14ac:dyDescent="0.25">
      <c r="A1620" s="1">
        <v>45591</v>
      </c>
      <c r="B1620" s="1" t="str">
        <f t="shared" si="125"/>
        <v>2024-10</v>
      </c>
      <c r="C1620" t="s">
        <v>14</v>
      </c>
      <c r="D1620" t="s">
        <v>15</v>
      </c>
      <c r="E1620" t="s">
        <v>30</v>
      </c>
      <c r="F1620" t="s">
        <v>32</v>
      </c>
      <c r="G1620" s="4">
        <v>90349</v>
      </c>
      <c r="H1620" s="4">
        <v>5420</v>
      </c>
      <c r="I1620" s="5">
        <v>0.06</v>
      </c>
      <c r="J1620" s="2">
        <v>3.02</v>
      </c>
      <c r="K1620" s="6">
        <v>16368.4</v>
      </c>
      <c r="L1620" s="4">
        <v>105</v>
      </c>
      <c r="M1620" s="2">
        <v>155.88999999999999</v>
      </c>
      <c r="N1620" s="6">
        <v>16913.07</v>
      </c>
      <c r="O1620" s="6">
        <f t="shared" si="126"/>
        <v>544.67000000000007</v>
      </c>
      <c r="P1620" s="6">
        <f t="shared" si="127"/>
        <v>3.327570196231764E-2</v>
      </c>
      <c r="Q1620" s="3">
        <v>1.03</v>
      </c>
      <c r="R1620" t="str">
        <f t="shared" si="128"/>
        <v>Medium</v>
      </c>
      <c r="S1620" t="str">
        <f t="shared" si="129"/>
        <v>Valid</v>
      </c>
    </row>
    <row r="1621" spans="1:19" x14ac:dyDescent="0.25">
      <c r="A1621" s="1">
        <v>45481</v>
      </c>
      <c r="B1621" s="1" t="str">
        <f t="shared" si="125"/>
        <v>2024-07</v>
      </c>
      <c r="C1621" t="s">
        <v>18</v>
      </c>
      <c r="D1621" t="s">
        <v>21</v>
      </c>
      <c r="E1621" t="s">
        <v>19</v>
      </c>
      <c r="F1621" t="s">
        <v>26</v>
      </c>
      <c r="G1621" s="4">
        <v>170011</v>
      </c>
      <c r="H1621" s="4">
        <v>10149</v>
      </c>
      <c r="I1621" s="5">
        <v>5.9700000000000003E-2</v>
      </c>
      <c r="J1621" s="2">
        <v>0.55000000000000004</v>
      </c>
      <c r="K1621" s="6">
        <v>5581.95</v>
      </c>
      <c r="L1621" s="4">
        <v>110</v>
      </c>
      <c r="M1621" s="2">
        <v>50.74</v>
      </c>
      <c r="N1621" s="6">
        <v>29617.759999999998</v>
      </c>
      <c r="O1621" s="6">
        <f t="shared" si="126"/>
        <v>24035.809999999998</v>
      </c>
      <c r="P1621" s="6">
        <f t="shared" si="127"/>
        <v>4.3059880507707877</v>
      </c>
      <c r="Q1621" s="3">
        <v>5.31</v>
      </c>
      <c r="R1621" t="str">
        <f t="shared" si="128"/>
        <v>High</v>
      </c>
      <c r="S1621" t="str">
        <f t="shared" si="129"/>
        <v>Valid</v>
      </c>
    </row>
    <row r="1622" spans="1:19" x14ac:dyDescent="0.25">
      <c r="A1622" s="1">
        <v>45510</v>
      </c>
      <c r="B1622" s="1" t="str">
        <f t="shared" si="125"/>
        <v>2024-08</v>
      </c>
      <c r="C1622" t="s">
        <v>14</v>
      </c>
      <c r="D1622" t="s">
        <v>29</v>
      </c>
      <c r="E1622" t="s">
        <v>22</v>
      </c>
      <c r="F1622" t="s">
        <v>23</v>
      </c>
      <c r="G1622" s="4">
        <v>54158</v>
      </c>
      <c r="H1622" s="4">
        <v>3374</v>
      </c>
      <c r="I1622" s="5">
        <v>6.2300000000000001E-2</v>
      </c>
      <c r="J1622" s="2">
        <v>0.81</v>
      </c>
      <c r="K1622" s="6">
        <v>2732.94</v>
      </c>
      <c r="L1622" s="4">
        <v>55</v>
      </c>
      <c r="M1622" s="2">
        <v>49.69</v>
      </c>
      <c r="N1622" s="6">
        <v>5839.17</v>
      </c>
      <c r="O1622" s="6">
        <f t="shared" si="126"/>
        <v>3106.23</v>
      </c>
      <c r="P1622" s="6">
        <f t="shared" si="127"/>
        <v>1.1365891677094997</v>
      </c>
      <c r="Q1622" s="3">
        <v>2.14</v>
      </c>
      <c r="R1622" t="str">
        <f t="shared" si="128"/>
        <v>Medium</v>
      </c>
      <c r="S1622" t="str">
        <f t="shared" si="129"/>
        <v>Valid</v>
      </c>
    </row>
    <row r="1623" spans="1:19" x14ac:dyDescent="0.25">
      <c r="A1623" s="1">
        <v>45293</v>
      </c>
      <c r="B1623" s="1" t="str">
        <f t="shared" si="125"/>
        <v>2024-01</v>
      </c>
      <c r="C1623" t="s">
        <v>28</v>
      </c>
      <c r="D1623" t="s">
        <v>29</v>
      </c>
      <c r="E1623" t="s">
        <v>25</v>
      </c>
      <c r="F1623" t="s">
        <v>20</v>
      </c>
      <c r="G1623" s="4">
        <v>143485</v>
      </c>
      <c r="H1623" s="4">
        <v>3945</v>
      </c>
      <c r="I1623" s="5">
        <v>2.75E-2</v>
      </c>
      <c r="J1623" s="2">
        <v>0.71</v>
      </c>
      <c r="K1623" s="6">
        <v>2800.95</v>
      </c>
      <c r="L1623" s="4">
        <v>187</v>
      </c>
      <c r="M1623" s="2">
        <v>14.98</v>
      </c>
      <c r="N1623" s="6">
        <v>30765.32</v>
      </c>
      <c r="O1623" s="6">
        <f t="shared" si="126"/>
        <v>27964.37</v>
      </c>
      <c r="P1623" s="6">
        <f t="shared" si="127"/>
        <v>9.9838876095610427</v>
      </c>
      <c r="Q1623" s="3">
        <v>10.98</v>
      </c>
      <c r="R1623" t="str">
        <f t="shared" si="128"/>
        <v>High</v>
      </c>
      <c r="S1623" t="str">
        <f t="shared" si="129"/>
        <v>Valid</v>
      </c>
    </row>
    <row r="1624" spans="1:19" x14ac:dyDescent="0.25">
      <c r="A1624" s="1">
        <v>45340</v>
      </c>
      <c r="B1624" s="1" t="str">
        <f t="shared" si="125"/>
        <v>2024-02</v>
      </c>
      <c r="C1624" t="s">
        <v>14</v>
      </c>
      <c r="D1624" t="s">
        <v>21</v>
      </c>
      <c r="E1624" t="s">
        <v>16</v>
      </c>
      <c r="F1624" t="s">
        <v>27</v>
      </c>
      <c r="G1624" s="4">
        <v>165470</v>
      </c>
      <c r="H1624" s="4">
        <v>4136</v>
      </c>
      <c r="I1624" s="5">
        <v>2.5000000000000001E-2</v>
      </c>
      <c r="J1624" s="2">
        <v>0.82</v>
      </c>
      <c r="K1624" s="6">
        <v>3391.52</v>
      </c>
      <c r="L1624" s="4">
        <v>56</v>
      </c>
      <c r="M1624" s="2">
        <v>60.56</v>
      </c>
      <c r="N1624" s="6">
        <v>12113.24</v>
      </c>
      <c r="O1624" s="6">
        <f t="shared" si="126"/>
        <v>8721.7199999999993</v>
      </c>
      <c r="P1624" s="6">
        <f t="shared" si="127"/>
        <v>2.5716257017502473</v>
      </c>
      <c r="Q1624" s="3">
        <v>3.57</v>
      </c>
      <c r="R1624" t="str">
        <f t="shared" si="128"/>
        <v>High</v>
      </c>
      <c r="S1624" t="str">
        <f t="shared" si="129"/>
        <v>Valid</v>
      </c>
    </row>
    <row r="1625" spans="1:19" x14ac:dyDescent="0.25">
      <c r="A1625" s="1">
        <v>45423</v>
      </c>
      <c r="B1625" s="1" t="str">
        <f t="shared" si="125"/>
        <v>2024-05</v>
      </c>
      <c r="C1625" t="s">
        <v>28</v>
      </c>
      <c r="D1625" t="s">
        <v>15</v>
      </c>
      <c r="E1625" t="s">
        <v>19</v>
      </c>
      <c r="F1625" t="s">
        <v>23</v>
      </c>
      <c r="G1625" s="4">
        <v>112596</v>
      </c>
      <c r="H1625" s="4">
        <v>2668</v>
      </c>
      <c r="I1625" s="5">
        <v>2.3699999999999999E-2</v>
      </c>
      <c r="J1625" s="2">
        <v>1.2</v>
      </c>
      <c r="K1625" s="6">
        <v>3201.6</v>
      </c>
      <c r="L1625" s="4">
        <v>39</v>
      </c>
      <c r="M1625" s="2">
        <v>82.09</v>
      </c>
      <c r="N1625" s="6">
        <v>10899.61</v>
      </c>
      <c r="O1625" s="6">
        <f t="shared" si="126"/>
        <v>7698.01</v>
      </c>
      <c r="P1625" s="6">
        <f t="shared" si="127"/>
        <v>2.4044259120439779</v>
      </c>
      <c r="Q1625" s="3">
        <v>3.4</v>
      </c>
      <c r="R1625" t="str">
        <f t="shared" si="128"/>
        <v>High</v>
      </c>
      <c r="S1625" t="str">
        <f t="shared" si="129"/>
        <v>Valid</v>
      </c>
    </row>
    <row r="1626" spans="1:19" x14ac:dyDescent="0.25">
      <c r="A1626" s="1">
        <v>45476</v>
      </c>
      <c r="B1626" s="1" t="str">
        <f t="shared" si="125"/>
        <v>2024-07</v>
      </c>
      <c r="C1626" t="s">
        <v>14</v>
      </c>
      <c r="D1626" t="s">
        <v>21</v>
      </c>
      <c r="E1626" t="s">
        <v>19</v>
      </c>
      <c r="F1626" t="s">
        <v>27</v>
      </c>
      <c r="G1626" s="4">
        <v>82604</v>
      </c>
      <c r="H1626" s="4">
        <v>5146</v>
      </c>
      <c r="I1626" s="5">
        <v>6.2300000000000001E-2</v>
      </c>
      <c r="J1626" s="2">
        <v>2.88</v>
      </c>
      <c r="K1626" s="6">
        <v>14820.48</v>
      </c>
      <c r="L1626" s="4">
        <v>75</v>
      </c>
      <c r="M1626" s="2">
        <v>197.61</v>
      </c>
      <c r="N1626" s="6">
        <v>11977.45</v>
      </c>
      <c r="O1626" s="6">
        <f t="shared" si="126"/>
        <v>-2843.0299999999988</v>
      </c>
      <c r="P1626" s="6">
        <f t="shared" si="127"/>
        <v>-0.19183116876106571</v>
      </c>
      <c r="Q1626" s="3">
        <v>0.81</v>
      </c>
      <c r="R1626" t="str">
        <f t="shared" si="128"/>
        <v>Low</v>
      </c>
      <c r="S1626" t="str">
        <f t="shared" si="129"/>
        <v>Valid</v>
      </c>
    </row>
    <row r="1627" spans="1:19" x14ac:dyDescent="0.25">
      <c r="A1627" s="1">
        <v>45468</v>
      </c>
      <c r="B1627" s="1" t="str">
        <f t="shared" si="125"/>
        <v>2024-06</v>
      </c>
      <c r="C1627" t="s">
        <v>14</v>
      </c>
      <c r="D1627" t="s">
        <v>29</v>
      </c>
      <c r="E1627" t="s">
        <v>22</v>
      </c>
      <c r="F1627" t="s">
        <v>17</v>
      </c>
      <c r="G1627" s="4">
        <v>162454</v>
      </c>
      <c r="H1627" s="4">
        <v>4337</v>
      </c>
      <c r="I1627" s="5">
        <v>2.6700000000000002E-2</v>
      </c>
      <c r="J1627" s="2">
        <v>1.57</v>
      </c>
      <c r="K1627" s="6">
        <v>6809.09</v>
      </c>
      <c r="L1627" s="4">
        <v>329</v>
      </c>
      <c r="M1627" s="2">
        <v>20.7</v>
      </c>
      <c r="N1627" s="6">
        <v>13568.06</v>
      </c>
      <c r="O1627" s="6">
        <f t="shared" si="126"/>
        <v>6758.9699999999993</v>
      </c>
      <c r="P1627" s="6">
        <f t="shared" si="127"/>
        <v>0.99263925135370501</v>
      </c>
      <c r="Q1627" s="3">
        <v>1.99</v>
      </c>
      <c r="R1627" t="str">
        <f t="shared" si="128"/>
        <v>Medium</v>
      </c>
      <c r="S1627" t="str">
        <f t="shared" si="129"/>
        <v>Valid</v>
      </c>
    </row>
    <row r="1628" spans="1:19" x14ac:dyDescent="0.25">
      <c r="A1628" s="1">
        <v>45585</v>
      </c>
      <c r="B1628" s="1" t="str">
        <f t="shared" si="125"/>
        <v>2024-10</v>
      </c>
      <c r="C1628" t="s">
        <v>18</v>
      </c>
      <c r="D1628" t="s">
        <v>24</v>
      </c>
      <c r="E1628" t="s">
        <v>30</v>
      </c>
      <c r="F1628" t="s">
        <v>20</v>
      </c>
      <c r="G1628" s="4">
        <v>143667</v>
      </c>
      <c r="H1628" s="4">
        <v>6852</v>
      </c>
      <c r="I1628" s="5">
        <v>4.7699999999999999E-2</v>
      </c>
      <c r="J1628" s="2">
        <v>1.1299999999999999</v>
      </c>
      <c r="K1628" s="6">
        <v>7742.76</v>
      </c>
      <c r="L1628" s="4">
        <v>142</v>
      </c>
      <c r="M1628" s="2">
        <v>54.53</v>
      </c>
      <c r="N1628" s="6">
        <v>19589.64</v>
      </c>
      <c r="O1628" s="6">
        <f t="shared" si="126"/>
        <v>11846.88</v>
      </c>
      <c r="P1628" s="6">
        <f t="shared" si="127"/>
        <v>1.5300590487113122</v>
      </c>
      <c r="Q1628" s="3">
        <v>2.5299999999999998</v>
      </c>
      <c r="R1628" t="str">
        <f t="shared" si="128"/>
        <v>Medium</v>
      </c>
      <c r="S1628" t="str">
        <f t="shared" si="129"/>
        <v>Valid</v>
      </c>
    </row>
    <row r="1629" spans="1:19" x14ac:dyDescent="0.25">
      <c r="A1629" s="1">
        <v>45338</v>
      </c>
      <c r="B1629" s="1" t="str">
        <f t="shared" si="125"/>
        <v>2024-02</v>
      </c>
      <c r="C1629" t="s">
        <v>14</v>
      </c>
      <c r="D1629" t="s">
        <v>21</v>
      </c>
      <c r="E1629" t="s">
        <v>22</v>
      </c>
      <c r="F1629" t="s">
        <v>32</v>
      </c>
      <c r="G1629" s="4">
        <v>83702</v>
      </c>
      <c r="H1629" s="4">
        <v>3900</v>
      </c>
      <c r="I1629" s="5">
        <v>4.6600000000000003E-2</v>
      </c>
      <c r="J1629" s="2">
        <v>2.1800000000000002</v>
      </c>
      <c r="K1629" s="6">
        <v>8502</v>
      </c>
      <c r="L1629" s="4">
        <v>60</v>
      </c>
      <c r="M1629" s="2">
        <v>141.69999999999999</v>
      </c>
      <c r="N1629" s="6">
        <v>11812.78</v>
      </c>
      <c r="O1629" s="6">
        <f t="shared" si="126"/>
        <v>3310.7800000000007</v>
      </c>
      <c r="P1629" s="6">
        <f t="shared" si="127"/>
        <v>0.38941190308162793</v>
      </c>
      <c r="Q1629" s="3">
        <v>1.39</v>
      </c>
      <c r="R1629" t="str">
        <f t="shared" si="128"/>
        <v>Medium</v>
      </c>
      <c r="S1629" t="str">
        <f t="shared" si="129"/>
        <v>Valid</v>
      </c>
    </row>
    <row r="1630" spans="1:19" x14ac:dyDescent="0.25">
      <c r="A1630" s="1">
        <v>45334</v>
      </c>
      <c r="B1630" s="1" t="str">
        <f t="shared" si="125"/>
        <v>2024-02</v>
      </c>
      <c r="C1630" t="s">
        <v>18</v>
      </c>
      <c r="D1630" t="s">
        <v>21</v>
      </c>
      <c r="E1630" t="s">
        <v>16</v>
      </c>
      <c r="F1630" t="s">
        <v>23</v>
      </c>
      <c r="G1630" s="4">
        <v>41497</v>
      </c>
      <c r="H1630" s="4">
        <v>3299</v>
      </c>
      <c r="I1630" s="5">
        <v>7.9500000000000001E-2</v>
      </c>
      <c r="J1630" s="2">
        <v>0.65</v>
      </c>
      <c r="K1630" s="6">
        <v>2144.35</v>
      </c>
      <c r="L1630" s="4">
        <v>112</v>
      </c>
      <c r="M1630" s="2">
        <v>19.149999999999999</v>
      </c>
      <c r="N1630" s="6">
        <v>6822.75</v>
      </c>
      <c r="O1630" s="6">
        <f t="shared" si="126"/>
        <v>4678.3999999999996</v>
      </c>
      <c r="P1630" s="6">
        <f t="shared" si="127"/>
        <v>2.1817333924032924</v>
      </c>
      <c r="Q1630" s="3">
        <v>3.18</v>
      </c>
      <c r="R1630" t="str">
        <f t="shared" si="128"/>
        <v>High</v>
      </c>
      <c r="S1630" t="str">
        <f t="shared" si="129"/>
        <v>Valid</v>
      </c>
    </row>
    <row r="1631" spans="1:19" x14ac:dyDescent="0.25">
      <c r="A1631" s="1">
        <v>45438</v>
      </c>
      <c r="B1631" s="1" t="str">
        <f t="shared" si="125"/>
        <v>2024-05</v>
      </c>
      <c r="C1631" t="s">
        <v>14</v>
      </c>
      <c r="D1631" t="s">
        <v>15</v>
      </c>
      <c r="E1631" t="s">
        <v>16</v>
      </c>
      <c r="F1631" t="s">
        <v>17</v>
      </c>
      <c r="G1631" s="4">
        <v>88442</v>
      </c>
      <c r="H1631" s="4">
        <v>2485</v>
      </c>
      <c r="I1631" s="5">
        <v>2.81E-2</v>
      </c>
      <c r="J1631" s="2">
        <v>2.89</v>
      </c>
      <c r="K1631" s="6">
        <v>7181.65</v>
      </c>
      <c r="L1631" s="4">
        <v>69</v>
      </c>
      <c r="M1631" s="2">
        <v>104.08</v>
      </c>
      <c r="N1631" s="6">
        <v>12989.18</v>
      </c>
      <c r="O1631" s="6">
        <f t="shared" si="126"/>
        <v>5807.5300000000007</v>
      </c>
      <c r="P1631" s="6">
        <f t="shared" si="127"/>
        <v>0.80866235475134562</v>
      </c>
      <c r="Q1631" s="3">
        <v>1.81</v>
      </c>
      <c r="R1631" t="str">
        <f t="shared" si="128"/>
        <v>Medium</v>
      </c>
      <c r="S1631" t="str">
        <f t="shared" si="129"/>
        <v>Valid</v>
      </c>
    </row>
    <row r="1632" spans="1:19" x14ac:dyDescent="0.25">
      <c r="A1632" s="1">
        <v>45345</v>
      </c>
      <c r="B1632" s="1" t="str">
        <f t="shared" si="125"/>
        <v>2024-02</v>
      </c>
      <c r="C1632" t="s">
        <v>14</v>
      </c>
      <c r="D1632" t="s">
        <v>24</v>
      </c>
      <c r="E1632" t="s">
        <v>25</v>
      </c>
      <c r="F1632" t="s">
        <v>17</v>
      </c>
      <c r="G1632" s="4">
        <v>143723</v>
      </c>
      <c r="H1632" s="4">
        <v>4254</v>
      </c>
      <c r="I1632" s="5">
        <v>2.9600000000000001E-2</v>
      </c>
      <c r="J1632" s="2">
        <v>1.1399999999999999</v>
      </c>
      <c r="K1632" s="6">
        <v>4849.5600000000004</v>
      </c>
      <c r="L1632" s="4">
        <v>281</v>
      </c>
      <c r="M1632" s="2">
        <v>17.260000000000002</v>
      </c>
      <c r="N1632" s="6">
        <v>41783.61</v>
      </c>
      <c r="O1632" s="6">
        <f t="shared" si="126"/>
        <v>36934.050000000003</v>
      </c>
      <c r="P1632" s="6">
        <f t="shared" si="127"/>
        <v>7.6159589735976043</v>
      </c>
      <c r="Q1632" s="3">
        <v>8.6199999999999992</v>
      </c>
      <c r="R1632" t="str">
        <f t="shared" si="128"/>
        <v>High</v>
      </c>
      <c r="S1632" t="str">
        <f t="shared" si="129"/>
        <v>Valid</v>
      </c>
    </row>
    <row r="1633" spans="1:19" x14ac:dyDescent="0.25">
      <c r="A1633" s="1">
        <v>45580</v>
      </c>
      <c r="B1633" s="1" t="str">
        <f t="shared" si="125"/>
        <v>2024-10</v>
      </c>
      <c r="C1633" t="s">
        <v>28</v>
      </c>
      <c r="D1633" t="s">
        <v>15</v>
      </c>
      <c r="E1633" t="s">
        <v>25</v>
      </c>
      <c r="F1633" t="s">
        <v>20</v>
      </c>
      <c r="G1633" s="4">
        <v>30392</v>
      </c>
      <c r="H1633" s="4">
        <v>1325</v>
      </c>
      <c r="I1633" s="5">
        <v>4.36E-2</v>
      </c>
      <c r="J1633" s="2">
        <v>1.31</v>
      </c>
      <c r="K1633" s="6">
        <v>1735.75</v>
      </c>
      <c r="L1633" s="4">
        <v>101</v>
      </c>
      <c r="M1633" s="2">
        <v>17.190000000000001</v>
      </c>
      <c r="N1633" s="6">
        <v>3539.63</v>
      </c>
      <c r="O1633" s="6">
        <f t="shared" si="126"/>
        <v>1803.88</v>
      </c>
      <c r="P1633" s="6">
        <f t="shared" si="127"/>
        <v>1.0392510442171972</v>
      </c>
      <c r="Q1633" s="3">
        <v>2.04</v>
      </c>
      <c r="R1633" t="str">
        <f t="shared" si="128"/>
        <v>Medium</v>
      </c>
      <c r="S1633" t="str">
        <f t="shared" si="129"/>
        <v>Valid</v>
      </c>
    </row>
    <row r="1634" spans="1:19" x14ac:dyDescent="0.25">
      <c r="A1634" s="1">
        <v>45422</v>
      </c>
      <c r="B1634" s="1" t="str">
        <f t="shared" si="125"/>
        <v>2024-05</v>
      </c>
      <c r="C1634" t="s">
        <v>14</v>
      </c>
      <c r="D1634" t="s">
        <v>21</v>
      </c>
      <c r="E1634" t="s">
        <v>30</v>
      </c>
      <c r="F1634" t="s">
        <v>31</v>
      </c>
      <c r="G1634" s="4">
        <v>94412</v>
      </c>
      <c r="H1634" s="4">
        <v>4786</v>
      </c>
      <c r="I1634" s="5">
        <v>5.0700000000000002E-2</v>
      </c>
      <c r="J1634" s="2">
        <v>1.29</v>
      </c>
      <c r="K1634" s="6">
        <v>6173.94</v>
      </c>
      <c r="L1634" s="4">
        <v>343</v>
      </c>
      <c r="M1634" s="2">
        <v>18</v>
      </c>
      <c r="N1634" s="6">
        <v>93767.6</v>
      </c>
      <c r="O1634" s="6">
        <f t="shared" si="126"/>
        <v>87593.66</v>
      </c>
      <c r="P1634" s="6">
        <f t="shared" si="127"/>
        <v>14.187643546908459</v>
      </c>
      <c r="Q1634" s="3">
        <v>15.19</v>
      </c>
      <c r="R1634" t="str">
        <f t="shared" si="128"/>
        <v>High</v>
      </c>
      <c r="S1634" t="str">
        <f t="shared" si="129"/>
        <v>Valid</v>
      </c>
    </row>
    <row r="1635" spans="1:19" x14ac:dyDescent="0.25">
      <c r="A1635" s="1">
        <v>45433</v>
      </c>
      <c r="B1635" s="1" t="str">
        <f t="shared" si="125"/>
        <v>2024-05</v>
      </c>
      <c r="C1635" t="s">
        <v>14</v>
      </c>
      <c r="D1635" t="s">
        <v>21</v>
      </c>
      <c r="E1635" t="s">
        <v>19</v>
      </c>
      <c r="F1635" t="s">
        <v>20</v>
      </c>
      <c r="G1635" s="4">
        <v>56305</v>
      </c>
      <c r="H1635" s="4">
        <v>1644</v>
      </c>
      <c r="I1635" s="5">
        <v>2.92E-2</v>
      </c>
      <c r="J1635" s="2">
        <v>1.65</v>
      </c>
      <c r="K1635" s="6">
        <v>2712.6</v>
      </c>
      <c r="L1635" s="4">
        <v>126</v>
      </c>
      <c r="M1635" s="2">
        <v>21.53</v>
      </c>
      <c r="N1635" s="6">
        <v>24269.48</v>
      </c>
      <c r="O1635" s="6">
        <f t="shared" si="126"/>
        <v>21556.880000000001</v>
      </c>
      <c r="P1635" s="6">
        <f t="shared" si="127"/>
        <v>7.9469438914694397</v>
      </c>
      <c r="Q1635" s="3">
        <v>8.9499999999999993</v>
      </c>
      <c r="R1635" t="str">
        <f t="shared" si="128"/>
        <v>High</v>
      </c>
      <c r="S1635" t="str">
        <f t="shared" si="129"/>
        <v>Valid</v>
      </c>
    </row>
    <row r="1636" spans="1:19" x14ac:dyDescent="0.25">
      <c r="A1636" s="1">
        <v>45564</v>
      </c>
      <c r="B1636" s="1" t="str">
        <f t="shared" si="125"/>
        <v>2024-09</v>
      </c>
      <c r="C1636" t="s">
        <v>18</v>
      </c>
      <c r="D1636" t="s">
        <v>29</v>
      </c>
      <c r="E1636" t="s">
        <v>25</v>
      </c>
      <c r="F1636" t="s">
        <v>26</v>
      </c>
      <c r="G1636" s="4">
        <v>142456</v>
      </c>
      <c r="H1636" s="4">
        <v>9943</v>
      </c>
      <c r="I1636" s="5">
        <v>6.9800000000000001E-2</v>
      </c>
      <c r="J1636" s="2">
        <v>0.91</v>
      </c>
      <c r="K1636" s="6">
        <v>9048.1299999999992</v>
      </c>
      <c r="L1636" s="4">
        <v>266</v>
      </c>
      <c r="M1636" s="2">
        <v>34.020000000000003</v>
      </c>
      <c r="N1636" s="6">
        <v>72736.17</v>
      </c>
      <c r="O1636" s="6">
        <f t="shared" si="126"/>
        <v>63688.04</v>
      </c>
      <c r="P1636" s="6">
        <f t="shared" si="127"/>
        <v>7.0388069136937697</v>
      </c>
      <c r="Q1636" s="3">
        <v>8.0399999999999991</v>
      </c>
      <c r="R1636" t="str">
        <f t="shared" si="128"/>
        <v>High</v>
      </c>
      <c r="S1636" t="str">
        <f t="shared" si="129"/>
        <v>Valid</v>
      </c>
    </row>
    <row r="1637" spans="1:19" x14ac:dyDescent="0.25">
      <c r="A1637" s="1">
        <v>45652</v>
      </c>
      <c r="B1637" s="1" t="str">
        <f t="shared" si="125"/>
        <v>2024-12</v>
      </c>
      <c r="C1637" t="s">
        <v>28</v>
      </c>
      <c r="D1637" t="s">
        <v>29</v>
      </c>
      <c r="E1637" t="s">
        <v>19</v>
      </c>
      <c r="F1637" t="s">
        <v>32</v>
      </c>
      <c r="G1637" s="4">
        <v>27169</v>
      </c>
      <c r="H1637" s="4">
        <v>546</v>
      </c>
      <c r="I1637" s="5">
        <v>2.01E-2</v>
      </c>
      <c r="J1637" s="2">
        <v>1.08</v>
      </c>
      <c r="K1637" s="6">
        <v>589.67999999999995</v>
      </c>
      <c r="L1637" s="4">
        <v>15</v>
      </c>
      <c r="M1637" s="2">
        <v>39.31</v>
      </c>
      <c r="N1637" s="6">
        <v>1578.78</v>
      </c>
      <c r="O1637" s="6">
        <f t="shared" si="126"/>
        <v>989.1</v>
      </c>
      <c r="P1637" s="6">
        <f t="shared" si="127"/>
        <v>1.6773504273504276</v>
      </c>
      <c r="Q1637" s="3">
        <v>2.68</v>
      </c>
      <c r="R1637" t="str">
        <f t="shared" si="128"/>
        <v>Medium</v>
      </c>
      <c r="S1637" t="str">
        <f t="shared" si="129"/>
        <v>Valid</v>
      </c>
    </row>
    <row r="1638" spans="1:19" x14ac:dyDescent="0.25">
      <c r="A1638" s="1">
        <v>45550</v>
      </c>
      <c r="B1638" s="1" t="str">
        <f t="shared" si="125"/>
        <v>2024-09</v>
      </c>
      <c r="C1638" t="s">
        <v>14</v>
      </c>
      <c r="D1638" t="s">
        <v>21</v>
      </c>
      <c r="E1638" t="s">
        <v>25</v>
      </c>
      <c r="F1638" t="s">
        <v>26</v>
      </c>
      <c r="G1638" s="4">
        <v>127179</v>
      </c>
      <c r="H1638" s="4">
        <v>5125</v>
      </c>
      <c r="I1638" s="5">
        <v>4.0300000000000002E-2</v>
      </c>
      <c r="J1638" s="2">
        <v>2.2200000000000002</v>
      </c>
      <c r="K1638" s="6">
        <v>11377.5</v>
      </c>
      <c r="L1638" s="4">
        <v>87</v>
      </c>
      <c r="M1638" s="2">
        <v>130.78</v>
      </c>
      <c r="N1638" s="6">
        <v>5905.23</v>
      </c>
      <c r="O1638" s="6">
        <f t="shared" si="126"/>
        <v>-5472.27</v>
      </c>
      <c r="P1638" s="6">
        <f t="shared" si="127"/>
        <v>-0.48097297297297303</v>
      </c>
      <c r="Q1638" s="3">
        <v>0.52</v>
      </c>
      <c r="R1638" t="str">
        <f t="shared" si="128"/>
        <v>Low</v>
      </c>
      <c r="S1638" t="str">
        <f t="shared" si="129"/>
        <v>Valid</v>
      </c>
    </row>
    <row r="1639" spans="1:19" x14ac:dyDescent="0.25">
      <c r="A1639" s="1">
        <v>45491</v>
      </c>
      <c r="B1639" s="1" t="str">
        <f t="shared" si="125"/>
        <v>2024-07</v>
      </c>
      <c r="C1639" t="s">
        <v>14</v>
      </c>
      <c r="D1639" t="s">
        <v>24</v>
      </c>
      <c r="E1639" t="s">
        <v>16</v>
      </c>
      <c r="F1639" t="s">
        <v>23</v>
      </c>
      <c r="G1639" s="4">
        <v>20797</v>
      </c>
      <c r="H1639" s="4">
        <v>846</v>
      </c>
      <c r="I1639" s="5">
        <v>4.07E-2</v>
      </c>
      <c r="J1639" s="2">
        <v>1.08</v>
      </c>
      <c r="K1639" s="6">
        <v>913.68</v>
      </c>
      <c r="L1639" s="4">
        <v>56</v>
      </c>
      <c r="M1639" s="2">
        <v>16.32</v>
      </c>
      <c r="N1639" s="6">
        <v>11660.97</v>
      </c>
      <c r="O1639" s="6">
        <f t="shared" si="126"/>
        <v>10747.289999999999</v>
      </c>
      <c r="P1639" s="6">
        <f t="shared" si="127"/>
        <v>11.762641187286578</v>
      </c>
      <c r="Q1639" s="3">
        <v>12.76</v>
      </c>
      <c r="R1639" t="str">
        <f t="shared" si="128"/>
        <v>High</v>
      </c>
      <c r="S1639" t="str">
        <f t="shared" si="129"/>
        <v>Valid</v>
      </c>
    </row>
    <row r="1640" spans="1:19" x14ac:dyDescent="0.25">
      <c r="A1640" s="1">
        <v>45517</v>
      </c>
      <c r="B1640" s="1" t="str">
        <f t="shared" si="125"/>
        <v>2024-08</v>
      </c>
      <c r="C1640" t="s">
        <v>28</v>
      </c>
      <c r="D1640" t="s">
        <v>24</v>
      </c>
      <c r="E1640" t="s">
        <v>30</v>
      </c>
      <c r="F1640" t="s">
        <v>23</v>
      </c>
      <c r="G1640" s="4">
        <v>188201</v>
      </c>
      <c r="H1640" s="4">
        <v>5627</v>
      </c>
      <c r="I1640" s="5">
        <v>2.9899999999999999E-2</v>
      </c>
      <c r="J1640" s="2">
        <v>1.88</v>
      </c>
      <c r="K1640" s="6">
        <v>10578.76</v>
      </c>
      <c r="L1640" s="4">
        <v>77</v>
      </c>
      <c r="M1640" s="2">
        <v>137.38999999999999</v>
      </c>
      <c r="N1640" s="6">
        <v>14242.93</v>
      </c>
      <c r="O1640" s="6">
        <f t="shared" si="126"/>
        <v>3664.17</v>
      </c>
      <c r="P1640" s="6">
        <f t="shared" si="127"/>
        <v>0.34637046307884856</v>
      </c>
      <c r="Q1640" s="3">
        <v>1.35</v>
      </c>
      <c r="R1640" t="str">
        <f t="shared" si="128"/>
        <v>Medium</v>
      </c>
      <c r="S1640" t="str">
        <f t="shared" si="129"/>
        <v>Valid</v>
      </c>
    </row>
    <row r="1641" spans="1:19" x14ac:dyDescent="0.25">
      <c r="A1641" s="1">
        <v>45446</v>
      </c>
      <c r="B1641" s="1" t="str">
        <f t="shared" si="125"/>
        <v>2024-06</v>
      </c>
      <c r="C1641" t="s">
        <v>18</v>
      </c>
      <c r="D1641" t="s">
        <v>24</v>
      </c>
      <c r="E1641" t="s">
        <v>30</v>
      </c>
      <c r="F1641" t="s">
        <v>27</v>
      </c>
      <c r="G1641" s="4">
        <v>77726</v>
      </c>
      <c r="H1641" s="4">
        <v>2557</v>
      </c>
      <c r="I1641" s="5">
        <v>3.2899999999999999E-2</v>
      </c>
      <c r="J1641" s="2">
        <v>0.49</v>
      </c>
      <c r="K1641" s="6">
        <v>1252.93</v>
      </c>
      <c r="L1641" s="4">
        <v>37</v>
      </c>
      <c r="M1641" s="2">
        <v>33.86</v>
      </c>
      <c r="N1641" s="6">
        <v>2932.31</v>
      </c>
      <c r="O1641" s="6">
        <f t="shared" si="126"/>
        <v>1679.3799999999999</v>
      </c>
      <c r="P1641" s="6">
        <f t="shared" si="127"/>
        <v>1.3403621910242389</v>
      </c>
      <c r="Q1641" s="3">
        <v>2.34</v>
      </c>
      <c r="R1641" t="str">
        <f t="shared" si="128"/>
        <v>Medium</v>
      </c>
      <c r="S1641" t="str">
        <f t="shared" si="129"/>
        <v>Valid</v>
      </c>
    </row>
    <row r="1642" spans="1:19" x14ac:dyDescent="0.25">
      <c r="A1642" s="1">
        <v>45361</v>
      </c>
      <c r="B1642" s="1" t="str">
        <f t="shared" si="125"/>
        <v>2024-03</v>
      </c>
      <c r="C1642" t="s">
        <v>28</v>
      </c>
      <c r="D1642" t="s">
        <v>15</v>
      </c>
      <c r="E1642" t="s">
        <v>19</v>
      </c>
      <c r="F1642" t="s">
        <v>32</v>
      </c>
      <c r="G1642" s="4">
        <v>23123</v>
      </c>
      <c r="H1642" s="4">
        <v>286</v>
      </c>
      <c r="I1642" s="5">
        <v>1.24E-2</v>
      </c>
      <c r="J1642" s="2">
        <v>1.21</v>
      </c>
      <c r="K1642" s="6">
        <v>346.06</v>
      </c>
      <c r="L1642" s="4">
        <v>3</v>
      </c>
      <c r="M1642" s="2">
        <v>115.35</v>
      </c>
      <c r="N1642" s="6">
        <v>585.70000000000005</v>
      </c>
      <c r="O1642" s="6">
        <f t="shared" si="126"/>
        <v>239.64000000000004</v>
      </c>
      <c r="P1642" s="6">
        <f t="shared" si="127"/>
        <v>0.69248107264636205</v>
      </c>
      <c r="Q1642" s="3">
        <v>1.69</v>
      </c>
      <c r="R1642" t="str">
        <f t="shared" si="128"/>
        <v>Medium</v>
      </c>
      <c r="S1642" t="str">
        <f t="shared" si="129"/>
        <v>Valid</v>
      </c>
    </row>
    <row r="1643" spans="1:19" x14ac:dyDescent="0.25">
      <c r="A1643" s="1">
        <v>45388</v>
      </c>
      <c r="B1643" s="1" t="str">
        <f t="shared" si="125"/>
        <v>2024-04</v>
      </c>
      <c r="C1643" t="s">
        <v>14</v>
      </c>
      <c r="D1643" t="s">
        <v>15</v>
      </c>
      <c r="E1643" t="s">
        <v>25</v>
      </c>
      <c r="F1643" t="s">
        <v>27</v>
      </c>
      <c r="G1643" s="4">
        <v>86689</v>
      </c>
      <c r="H1643" s="4">
        <v>3727</v>
      </c>
      <c r="I1643" s="5">
        <v>4.2999999999999997E-2</v>
      </c>
      <c r="J1643" s="2">
        <v>1.1599999999999999</v>
      </c>
      <c r="K1643" s="6">
        <v>4323.32</v>
      </c>
      <c r="L1643" s="4">
        <v>276</v>
      </c>
      <c r="M1643" s="2">
        <v>15.66</v>
      </c>
      <c r="N1643" s="6">
        <v>76876.240000000005</v>
      </c>
      <c r="O1643" s="6">
        <f t="shared" si="126"/>
        <v>72552.920000000013</v>
      </c>
      <c r="P1643" s="6">
        <f t="shared" si="127"/>
        <v>16.781760313832891</v>
      </c>
      <c r="Q1643" s="3">
        <v>17.78</v>
      </c>
      <c r="R1643" t="str">
        <f t="shared" si="128"/>
        <v>High</v>
      </c>
      <c r="S1643" t="str">
        <f t="shared" si="129"/>
        <v>Valid</v>
      </c>
    </row>
    <row r="1644" spans="1:19" x14ac:dyDescent="0.25">
      <c r="A1644" s="1">
        <v>45429</v>
      </c>
      <c r="B1644" s="1" t="str">
        <f t="shared" si="125"/>
        <v>2024-05</v>
      </c>
      <c r="C1644" t="s">
        <v>14</v>
      </c>
      <c r="D1644" t="s">
        <v>15</v>
      </c>
      <c r="E1644" t="s">
        <v>22</v>
      </c>
      <c r="F1644" t="s">
        <v>23</v>
      </c>
      <c r="G1644" s="4">
        <v>159251</v>
      </c>
      <c r="H1644" s="4">
        <v>9172</v>
      </c>
      <c r="I1644" s="5">
        <v>5.7599999999999998E-2</v>
      </c>
      <c r="J1644" s="2">
        <v>2.84</v>
      </c>
      <c r="K1644" s="6">
        <v>26048.48</v>
      </c>
      <c r="L1644" s="4">
        <v>407</v>
      </c>
      <c r="M1644" s="2">
        <v>64</v>
      </c>
      <c r="N1644" s="6">
        <v>30602.6</v>
      </c>
      <c r="O1644" s="6">
        <f t="shared" si="126"/>
        <v>4554.119999999999</v>
      </c>
      <c r="P1644" s="6">
        <f t="shared" si="127"/>
        <v>0.1748324662321947</v>
      </c>
      <c r="Q1644" s="3">
        <v>1.17</v>
      </c>
      <c r="R1644" t="str">
        <f t="shared" si="128"/>
        <v>Medium</v>
      </c>
      <c r="S1644" t="str">
        <f t="shared" si="129"/>
        <v>Valid</v>
      </c>
    </row>
    <row r="1645" spans="1:19" x14ac:dyDescent="0.25">
      <c r="A1645" s="1">
        <v>45304</v>
      </c>
      <c r="B1645" s="1" t="str">
        <f t="shared" si="125"/>
        <v>2024-01</v>
      </c>
      <c r="C1645" t="s">
        <v>28</v>
      </c>
      <c r="D1645" t="s">
        <v>29</v>
      </c>
      <c r="E1645" t="s">
        <v>30</v>
      </c>
      <c r="F1645" t="s">
        <v>20</v>
      </c>
      <c r="G1645" s="4">
        <v>70180</v>
      </c>
      <c r="H1645" s="4">
        <v>736</v>
      </c>
      <c r="I1645" s="5">
        <v>1.0500000000000001E-2</v>
      </c>
      <c r="J1645" s="2">
        <v>1.4</v>
      </c>
      <c r="K1645" s="6">
        <v>1030.4000000000001</v>
      </c>
      <c r="L1645" s="4">
        <v>45</v>
      </c>
      <c r="M1645" s="2">
        <v>22.9</v>
      </c>
      <c r="N1645" s="6">
        <v>2168.7199999999998</v>
      </c>
      <c r="O1645" s="6">
        <f t="shared" si="126"/>
        <v>1138.3199999999997</v>
      </c>
      <c r="P1645" s="6">
        <f t="shared" si="127"/>
        <v>1.1047360248447202</v>
      </c>
      <c r="Q1645" s="3">
        <v>2.1</v>
      </c>
      <c r="R1645" t="str">
        <f t="shared" si="128"/>
        <v>Medium</v>
      </c>
      <c r="S1645" t="str">
        <f t="shared" si="129"/>
        <v>Valid</v>
      </c>
    </row>
    <row r="1646" spans="1:19" x14ac:dyDescent="0.25">
      <c r="A1646" s="1">
        <v>45551</v>
      </c>
      <c r="B1646" s="1" t="str">
        <f t="shared" si="125"/>
        <v>2024-09</v>
      </c>
      <c r="C1646" t="s">
        <v>14</v>
      </c>
      <c r="D1646" t="s">
        <v>21</v>
      </c>
      <c r="E1646" t="s">
        <v>16</v>
      </c>
      <c r="F1646" t="s">
        <v>27</v>
      </c>
      <c r="G1646" s="4">
        <v>83466</v>
      </c>
      <c r="H1646" s="4">
        <v>4089</v>
      </c>
      <c r="I1646" s="5">
        <v>4.9000000000000002E-2</v>
      </c>
      <c r="J1646" s="2">
        <v>2.2599999999999998</v>
      </c>
      <c r="K1646" s="6">
        <v>9241.14</v>
      </c>
      <c r="L1646" s="4">
        <v>108</v>
      </c>
      <c r="M1646" s="2">
        <v>85.57</v>
      </c>
      <c r="N1646" s="6">
        <v>12521.2</v>
      </c>
      <c r="O1646" s="6">
        <f t="shared" si="126"/>
        <v>3280.0600000000013</v>
      </c>
      <c r="P1646" s="6">
        <f t="shared" si="127"/>
        <v>0.35494105705573137</v>
      </c>
      <c r="Q1646" s="3">
        <v>1.35</v>
      </c>
      <c r="R1646" t="str">
        <f t="shared" si="128"/>
        <v>Medium</v>
      </c>
      <c r="S1646" t="str">
        <f t="shared" si="129"/>
        <v>Valid</v>
      </c>
    </row>
    <row r="1647" spans="1:19" x14ac:dyDescent="0.25">
      <c r="A1647" s="1">
        <v>45609</v>
      </c>
      <c r="B1647" s="1" t="str">
        <f t="shared" si="125"/>
        <v>2024-11</v>
      </c>
      <c r="C1647" t="s">
        <v>28</v>
      </c>
      <c r="D1647" t="s">
        <v>29</v>
      </c>
      <c r="E1647" t="s">
        <v>25</v>
      </c>
      <c r="F1647" t="s">
        <v>31</v>
      </c>
      <c r="G1647" s="4">
        <v>137602</v>
      </c>
      <c r="H1647" s="4">
        <v>2641</v>
      </c>
      <c r="I1647" s="5">
        <v>1.9199999999999998E-2</v>
      </c>
      <c r="J1647" s="2">
        <v>0.59</v>
      </c>
      <c r="K1647" s="6">
        <v>1558.19</v>
      </c>
      <c r="L1647" s="4">
        <v>179</v>
      </c>
      <c r="M1647" s="2">
        <v>8.6999999999999993</v>
      </c>
      <c r="N1647" s="6">
        <v>52473.54</v>
      </c>
      <c r="O1647" s="6">
        <f t="shared" si="126"/>
        <v>50915.35</v>
      </c>
      <c r="P1647" s="6">
        <f t="shared" si="127"/>
        <v>32.675957360783983</v>
      </c>
      <c r="Q1647" s="3">
        <v>33.68</v>
      </c>
      <c r="R1647" t="str">
        <f t="shared" si="128"/>
        <v>High</v>
      </c>
      <c r="S1647" t="str">
        <f t="shared" si="129"/>
        <v>Valid</v>
      </c>
    </row>
    <row r="1648" spans="1:19" x14ac:dyDescent="0.25">
      <c r="A1648" s="1">
        <v>45538</v>
      </c>
      <c r="B1648" s="1" t="str">
        <f t="shared" si="125"/>
        <v>2024-09</v>
      </c>
      <c r="C1648" t="s">
        <v>18</v>
      </c>
      <c r="D1648" t="s">
        <v>21</v>
      </c>
      <c r="E1648" t="s">
        <v>25</v>
      </c>
      <c r="F1648" t="s">
        <v>17</v>
      </c>
      <c r="G1648" s="4">
        <v>64222</v>
      </c>
      <c r="H1648" s="4">
        <v>2067</v>
      </c>
      <c r="I1648" s="5">
        <v>3.2199999999999999E-2</v>
      </c>
      <c r="J1648" s="2">
        <v>1.89</v>
      </c>
      <c r="K1648" s="6">
        <v>3906.63</v>
      </c>
      <c r="L1648" s="4">
        <v>68</v>
      </c>
      <c r="M1648" s="2">
        <v>57.45</v>
      </c>
      <c r="N1648" s="6">
        <v>14851.97</v>
      </c>
      <c r="O1648" s="6">
        <f t="shared" si="126"/>
        <v>10945.34</v>
      </c>
      <c r="P1648" s="6">
        <f t="shared" si="127"/>
        <v>2.8017344872690786</v>
      </c>
      <c r="Q1648" s="3">
        <v>3.8</v>
      </c>
      <c r="R1648" t="str">
        <f t="shared" si="128"/>
        <v>High</v>
      </c>
      <c r="S1648" t="str">
        <f t="shared" si="129"/>
        <v>Valid</v>
      </c>
    </row>
    <row r="1649" spans="1:19" x14ac:dyDescent="0.25">
      <c r="A1649" s="1">
        <v>45481</v>
      </c>
      <c r="B1649" s="1" t="str">
        <f t="shared" si="125"/>
        <v>2024-07</v>
      </c>
      <c r="C1649" t="s">
        <v>18</v>
      </c>
      <c r="D1649" t="s">
        <v>24</v>
      </c>
      <c r="E1649" t="s">
        <v>22</v>
      </c>
      <c r="F1649" t="s">
        <v>31</v>
      </c>
      <c r="G1649" s="4">
        <v>116739</v>
      </c>
      <c r="H1649" s="4">
        <v>4319</v>
      </c>
      <c r="I1649" s="5">
        <v>3.6999999999999998E-2</v>
      </c>
      <c r="J1649" s="2">
        <v>0.34</v>
      </c>
      <c r="K1649" s="6">
        <v>1468.46</v>
      </c>
      <c r="L1649" s="4">
        <v>306</v>
      </c>
      <c r="M1649" s="2">
        <v>4.8</v>
      </c>
      <c r="N1649" s="6">
        <v>46873.98</v>
      </c>
      <c r="O1649" s="6">
        <f t="shared" si="126"/>
        <v>45405.520000000004</v>
      </c>
      <c r="P1649" s="6">
        <f t="shared" si="127"/>
        <v>30.920501750132793</v>
      </c>
      <c r="Q1649" s="3">
        <v>31.92</v>
      </c>
      <c r="R1649" t="str">
        <f t="shared" si="128"/>
        <v>High</v>
      </c>
      <c r="S1649" t="str">
        <f t="shared" si="129"/>
        <v>Valid</v>
      </c>
    </row>
    <row r="1650" spans="1:19" x14ac:dyDescent="0.25">
      <c r="A1650" s="1">
        <v>45656</v>
      </c>
      <c r="B1650" s="1" t="str">
        <f t="shared" si="125"/>
        <v>2024-12</v>
      </c>
      <c r="C1650" t="s">
        <v>28</v>
      </c>
      <c r="D1650" t="s">
        <v>24</v>
      </c>
      <c r="E1650" t="s">
        <v>22</v>
      </c>
      <c r="F1650" t="s">
        <v>23</v>
      </c>
      <c r="G1650" s="4">
        <v>50869</v>
      </c>
      <c r="H1650" s="4">
        <v>890</v>
      </c>
      <c r="I1650" s="5">
        <v>1.7500000000000002E-2</v>
      </c>
      <c r="J1650" s="2">
        <v>1.08</v>
      </c>
      <c r="K1650" s="6">
        <v>961.2</v>
      </c>
      <c r="L1650" s="4">
        <v>61</v>
      </c>
      <c r="M1650" s="2">
        <v>15.76</v>
      </c>
      <c r="N1650" s="6">
        <v>16803.54</v>
      </c>
      <c r="O1650" s="6">
        <f t="shared" si="126"/>
        <v>15842.34</v>
      </c>
      <c r="P1650" s="6">
        <f t="shared" si="127"/>
        <v>16.48183520599251</v>
      </c>
      <c r="Q1650" s="3">
        <v>17.48</v>
      </c>
      <c r="R1650" t="str">
        <f t="shared" si="128"/>
        <v>High</v>
      </c>
      <c r="S1650" t="str">
        <f t="shared" si="129"/>
        <v>Valid</v>
      </c>
    </row>
    <row r="1651" spans="1:19" x14ac:dyDescent="0.25">
      <c r="A1651" s="1">
        <v>45628</v>
      </c>
      <c r="B1651" s="1" t="str">
        <f t="shared" si="125"/>
        <v>2024-12</v>
      </c>
      <c r="C1651" t="s">
        <v>28</v>
      </c>
      <c r="D1651" t="s">
        <v>15</v>
      </c>
      <c r="E1651" t="s">
        <v>19</v>
      </c>
      <c r="F1651" t="s">
        <v>26</v>
      </c>
      <c r="G1651" s="4">
        <v>127155</v>
      </c>
      <c r="H1651" s="4">
        <v>3089</v>
      </c>
      <c r="I1651" s="5">
        <v>2.4299999999999999E-2</v>
      </c>
      <c r="J1651" s="2">
        <v>1.25</v>
      </c>
      <c r="K1651" s="6">
        <v>3861.25</v>
      </c>
      <c r="L1651" s="4">
        <v>95</v>
      </c>
      <c r="M1651" s="2">
        <v>40.64</v>
      </c>
      <c r="N1651" s="6">
        <v>23894.639999999999</v>
      </c>
      <c r="O1651" s="6">
        <f t="shared" si="126"/>
        <v>20033.39</v>
      </c>
      <c r="P1651" s="6">
        <f t="shared" si="127"/>
        <v>5.1883172547750078</v>
      </c>
      <c r="Q1651" s="3">
        <v>6.19</v>
      </c>
      <c r="R1651" t="str">
        <f t="shared" si="128"/>
        <v>High</v>
      </c>
      <c r="S1651" t="str">
        <f t="shared" si="129"/>
        <v>Valid</v>
      </c>
    </row>
    <row r="1652" spans="1:19" x14ac:dyDescent="0.25">
      <c r="A1652" s="1">
        <v>45377</v>
      </c>
      <c r="B1652" s="1" t="str">
        <f t="shared" si="125"/>
        <v>2024-03</v>
      </c>
      <c r="C1652" t="s">
        <v>14</v>
      </c>
      <c r="D1652" t="s">
        <v>21</v>
      </c>
      <c r="E1652" t="s">
        <v>19</v>
      </c>
      <c r="F1652" t="s">
        <v>26</v>
      </c>
      <c r="G1652" s="4">
        <v>162883</v>
      </c>
      <c r="H1652" s="4">
        <v>8974</v>
      </c>
      <c r="I1652" s="5">
        <v>5.5100000000000003E-2</v>
      </c>
      <c r="J1652" s="2">
        <v>2.38</v>
      </c>
      <c r="K1652" s="6">
        <v>21358.12</v>
      </c>
      <c r="L1652" s="4">
        <v>292</v>
      </c>
      <c r="M1652" s="2">
        <v>73.14</v>
      </c>
      <c r="N1652" s="6">
        <v>80812.08</v>
      </c>
      <c r="O1652" s="6">
        <f t="shared" si="126"/>
        <v>59453.960000000006</v>
      </c>
      <c r="P1652" s="6">
        <f t="shared" si="127"/>
        <v>2.7836700983045328</v>
      </c>
      <c r="Q1652" s="3">
        <v>3.78</v>
      </c>
      <c r="R1652" t="str">
        <f t="shared" si="128"/>
        <v>High</v>
      </c>
      <c r="S1652" t="str">
        <f t="shared" si="129"/>
        <v>Valid</v>
      </c>
    </row>
    <row r="1653" spans="1:19" x14ac:dyDescent="0.25">
      <c r="A1653" s="1">
        <v>45308</v>
      </c>
      <c r="B1653" s="1" t="str">
        <f t="shared" si="125"/>
        <v>2024-01</v>
      </c>
      <c r="C1653" t="s">
        <v>18</v>
      </c>
      <c r="D1653" t="s">
        <v>15</v>
      </c>
      <c r="E1653" t="s">
        <v>25</v>
      </c>
      <c r="F1653" t="s">
        <v>27</v>
      </c>
      <c r="G1653" s="4">
        <v>115716</v>
      </c>
      <c r="H1653" s="4">
        <v>7394</v>
      </c>
      <c r="I1653" s="5">
        <v>6.3899999999999998E-2</v>
      </c>
      <c r="J1653" s="2">
        <v>1.1599999999999999</v>
      </c>
      <c r="K1653" s="6">
        <v>8577.0400000000009</v>
      </c>
      <c r="L1653" s="4">
        <v>242</v>
      </c>
      <c r="M1653" s="2">
        <v>35.44</v>
      </c>
      <c r="N1653" s="6">
        <v>49142.559999999998</v>
      </c>
      <c r="O1653" s="6">
        <f t="shared" si="126"/>
        <v>40565.519999999997</v>
      </c>
      <c r="P1653" s="6">
        <f t="shared" si="127"/>
        <v>4.7295477227575002</v>
      </c>
      <c r="Q1653" s="3">
        <v>5.73</v>
      </c>
      <c r="R1653" t="str">
        <f t="shared" si="128"/>
        <v>High</v>
      </c>
      <c r="S1653" t="str">
        <f t="shared" si="129"/>
        <v>Valid</v>
      </c>
    </row>
    <row r="1654" spans="1:19" x14ac:dyDescent="0.25">
      <c r="A1654" s="1">
        <v>45457</v>
      </c>
      <c r="B1654" s="1" t="str">
        <f t="shared" si="125"/>
        <v>2024-06</v>
      </c>
      <c r="C1654" t="s">
        <v>14</v>
      </c>
      <c r="D1654" t="s">
        <v>21</v>
      </c>
      <c r="E1654" t="s">
        <v>19</v>
      </c>
      <c r="F1654" t="s">
        <v>23</v>
      </c>
      <c r="G1654" s="4">
        <v>40306</v>
      </c>
      <c r="H1654" s="4">
        <v>1176</v>
      </c>
      <c r="I1654" s="5">
        <v>2.92E-2</v>
      </c>
      <c r="J1654" s="2">
        <v>0.85</v>
      </c>
      <c r="K1654" s="6">
        <v>999.6</v>
      </c>
      <c r="L1654" s="4">
        <v>41</v>
      </c>
      <c r="M1654" s="2">
        <v>24.38</v>
      </c>
      <c r="N1654" s="6">
        <v>11838.48</v>
      </c>
      <c r="O1654" s="6">
        <f t="shared" si="126"/>
        <v>10838.88</v>
      </c>
      <c r="P1654" s="6">
        <f t="shared" si="127"/>
        <v>10.843217286914765</v>
      </c>
      <c r="Q1654" s="3">
        <v>11.84</v>
      </c>
      <c r="R1654" t="str">
        <f t="shared" si="128"/>
        <v>High</v>
      </c>
      <c r="S1654" t="str">
        <f t="shared" si="129"/>
        <v>Valid</v>
      </c>
    </row>
    <row r="1655" spans="1:19" x14ac:dyDescent="0.25">
      <c r="A1655" s="1">
        <v>45351</v>
      </c>
      <c r="B1655" s="1" t="str">
        <f t="shared" si="125"/>
        <v>2024-02</v>
      </c>
      <c r="C1655" t="s">
        <v>18</v>
      </c>
      <c r="D1655" t="s">
        <v>15</v>
      </c>
      <c r="E1655" t="s">
        <v>16</v>
      </c>
      <c r="F1655" t="s">
        <v>27</v>
      </c>
      <c r="G1655" s="4">
        <v>138025</v>
      </c>
      <c r="H1655" s="4">
        <v>9192</v>
      </c>
      <c r="I1655" s="5">
        <v>6.6600000000000006E-2</v>
      </c>
      <c r="J1655" s="2">
        <v>0.64</v>
      </c>
      <c r="K1655" s="6">
        <v>5882.88</v>
      </c>
      <c r="L1655" s="4">
        <v>420</v>
      </c>
      <c r="M1655" s="2">
        <v>14.01</v>
      </c>
      <c r="N1655" s="6">
        <v>38810.35</v>
      </c>
      <c r="O1655" s="6">
        <f t="shared" si="126"/>
        <v>32927.47</v>
      </c>
      <c r="P1655" s="6">
        <f t="shared" si="127"/>
        <v>5.5971683937119234</v>
      </c>
      <c r="Q1655" s="3">
        <v>6.6</v>
      </c>
      <c r="R1655" t="str">
        <f t="shared" si="128"/>
        <v>High</v>
      </c>
      <c r="S1655" t="str">
        <f t="shared" si="129"/>
        <v>Valid</v>
      </c>
    </row>
    <row r="1656" spans="1:19" x14ac:dyDescent="0.25">
      <c r="A1656" s="1">
        <v>45327</v>
      </c>
      <c r="B1656" s="1" t="str">
        <f t="shared" si="125"/>
        <v>2024-02</v>
      </c>
      <c r="C1656" t="s">
        <v>28</v>
      </c>
      <c r="D1656" t="s">
        <v>21</v>
      </c>
      <c r="E1656" t="s">
        <v>25</v>
      </c>
      <c r="F1656" t="s">
        <v>31</v>
      </c>
      <c r="G1656" s="4">
        <v>145510</v>
      </c>
      <c r="H1656" s="4">
        <v>5805</v>
      </c>
      <c r="I1656" s="5">
        <v>3.9899999999999998E-2</v>
      </c>
      <c r="J1656" s="2">
        <v>1.04</v>
      </c>
      <c r="K1656" s="6">
        <v>6037.2</v>
      </c>
      <c r="L1656" s="4">
        <v>166</v>
      </c>
      <c r="M1656" s="2">
        <v>36.369999999999997</v>
      </c>
      <c r="N1656" s="6">
        <v>30713.7</v>
      </c>
      <c r="O1656" s="6">
        <f t="shared" si="126"/>
        <v>24676.5</v>
      </c>
      <c r="P1656" s="6">
        <f t="shared" si="127"/>
        <v>4.0874080699662096</v>
      </c>
      <c r="Q1656" s="3">
        <v>5.09</v>
      </c>
      <c r="R1656" t="str">
        <f t="shared" si="128"/>
        <v>High</v>
      </c>
      <c r="S1656" t="str">
        <f t="shared" si="129"/>
        <v>Valid</v>
      </c>
    </row>
    <row r="1657" spans="1:19" x14ac:dyDescent="0.25">
      <c r="A1657" s="1">
        <v>45542</v>
      </c>
      <c r="B1657" s="1" t="str">
        <f t="shared" si="125"/>
        <v>2024-09</v>
      </c>
      <c r="C1657" t="s">
        <v>18</v>
      </c>
      <c r="D1657" t="s">
        <v>29</v>
      </c>
      <c r="E1657" t="s">
        <v>16</v>
      </c>
      <c r="F1657" t="s">
        <v>23</v>
      </c>
      <c r="G1657" s="4">
        <v>168297</v>
      </c>
      <c r="H1657" s="4">
        <v>10535</v>
      </c>
      <c r="I1657" s="5">
        <v>6.2600000000000003E-2</v>
      </c>
      <c r="J1657" s="2">
        <v>1.4</v>
      </c>
      <c r="K1657" s="6">
        <v>14749</v>
      </c>
      <c r="L1657" s="4">
        <v>561</v>
      </c>
      <c r="M1657" s="2">
        <v>26.29</v>
      </c>
      <c r="N1657" s="6">
        <v>30094.65</v>
      </c>
      <c r="O1657" s="6">
        <f t="shared" si="126"/>
        <v>15345.650000000001</v>
      </c>
      <c r="P1657" s="6">
        <f t="shared" si="127"/>
        <v>1.0404535900739034</v>
      </c>
      <c r="Q1657" s="3">
        <v>2.04</v>
      </c>
      <c r="R1657" t="str">
        <f t="shared" si="128"/>
        <v>Medium</v>
      </c>
      <c r="S1657" t="str">
        <f t="shared" si="129"/>
        <v>Valid</v>
      </c>
    </row>
    <row r="1658" spans="1:19" x14ac:dyDescent="0.25">
      <c r="A1658" s="1">
        <v>45640</v>
      </c>
      <c r="B1658" s="1" t="str">
        <f t="shared" si="125"/>
        <v>2024-12</v>
      </c>
      <c r="C1658" t="s">
        <v>28</v>
      </c>
      <c r="D1658" t="s">
        <v>15</v>
      </c>
      <c r="E1658" t="s">
        <v>30</v>
      </c>
      <c r="F1658" t="s">
        <v>32</v>
      </c>
      <c r="G1658" s="4">
        <v>66157</v>
      </c>
      <c r="H1658" s="4">
        <v>1687</v>
      </c>
      <c r="I1658" s="5">
        <v>2.5499999999999998E-2</v>
      </c>
      <c r="J1658" s="2">
        <v>1.3</v>
      </c>
      <c r="K1658" s="6">
        <v>2193.1</v>
      </c>
      <c r="L1658" s="4">
        <v>41</v>
      </c>
      <c r="M1658" s="2">
        <v>53.49</v>
      </c>
      <c r="N1658" s="6">
        <v>5082.9399999999996</v>
      </c>
      <c r="O1658" s="6">
        <f t="shared" si="126"/>
        <v>2889.8399999999997</v>
      </c>
      <c r="P1658" s="6">
        <f t="shared" si="127"/>
        <v>1.3176964114723451</v>
      </c>
      <c r="Q1658" s="3">
        <v>2.3199999999999998</v>
      </c>
      <c r="R1658" t="str">
        <f t="shared" si="128"/>
        <v>Medium</v>
      </c>
      <c r="S1658" t="str">
        <f t="shared" si="129"/>
        <v>Valid</v>
      </c>
    </row>
    <row r="1659" spans="1:19" x14ac:dyDescent="0.25">
      <c r="A1659" s="1">
        <v>45377</v>
      </c>
      <c r="B1659" s="1" t="str">
        <f t="shared" si="125"/>
        <v>2024-03</v>
      </c>
      <c r="C1659" t="s">
        <v>28</v>
      </c>
      <c r="D1659" t="s">
        <v>24</v>
      </c>
      <c r="E1659" t="s">
        <v>16</v>
      </c>
      <c r="F1659" t="s">
        <v>31</v>
      </c>
      <c r="G1659" s="4">
        <v>115003</v>
      </c>
      <c r="H1659" s="4">
        <v>2921</v>
      </c>
      <c r="I1659" s="5">
        <v>2.5399999999999999E-2</v>
      </c>
      <c r="J1659" s="2">
        <v>0.4</v>
      </c>
      <c r="K1659" s="6">
        <v>1168.4000000000001</v>
      </c>
      <c r="L1659" s="4">
        <v>36</v>
      </c>
      <c r="M1659" s="2">
        <v>32.46</v>
      </c>
      <c r="N1659" s="6">
        <v>4203.1899999999996</v>
      </c>
      <c r="O1659" s="6">
        <f t="shared" si="126"/>
        <v>3034.7899999999995</v>
      </c>
      <c r="P1659" s="6">
        <f t="shared" si="127"/>
        <v>2.5973895926052717</v>
      </c>
      <c r="Q1659" s="3">
        <v>3.6</v>
      </c>
      <c r="R1659" t="str">
        <f t="shared" si="128"/>
        <v>High</v>
      </c>
      <c r="S1659" t="str">
        <f t="shared" si="129"/>
        <v>Valid</v>
      </c>
    </row>
    <row r="1660" spans="1:19" x14ac:dyDescent="0.25">
      <c r="A1660" s="1">
        <v>45310</v>
      </c>
      <c r="B1660" s="1" t="str">
        <f t="shared" si="125"/>
        <v>2024-01</v>
      </c>
      <c r="C1660" t="s">
        <v>28</v>
      </c>
      <c r="D1660" t="s">
        <v>24</v>
      </c>
      <c r="E1660" t="s">
        <v>22</v>
      </c>
      <c r="F1660" t="s">
        <v>23</v>
      </c>
      <c r="G1660" s="4">
        <v>173292</v>
      </c>
      <c r="H1660" s="4">
        <v>7330</v>
      </c>
      <c r="I1660" s="5">
        <v>4.2299999999999997E-2</v>
      </c>
      <c r="J1660" s="2">
        <v>1.88</v>
      </c>
      <c r="K1660" s="6">
        <v>13780.4</v>
      </c>
      <c r="L1660" s="4">
        <v>355</v>
      </c>
      <c r="M1660" s="2">
        <v>38.82</v>
      </c>
      <c r="N1660" s="6">
        <v>66981.679999999993</v>
      </c>
      <c r="O1660" s="6">
        <f t="shared" si="126"/>
        <v>53201.279999999992</v>
      </c>
      <c r="P1660" s="6">
        <f t="shared" si="127"/>
        <v>3.8606484572291073</v>
      </c>
      <c r="Q1660" s="3">
        <v>4.8600000000000003</v>
      </c>
      <c r="R1660" t="str">
        <f t="shared" si="128"/>
        <v>High</v>
      </c>
      <c r="S1660" t="str">
        <f t="shared" si="129"/>
        <v>Valid</v>
      </c>
    </row>
    <row r="1661" spans="1:19" x14ac:dyDescent="0.25">
      <c r="A1661" s="1">
        <v>45298</v>
      </c>
      <c r="B1661" s="1" t="str">
        <f t="shared" si="125"/>
        <v>2024-01</v>
      </c>
      <c r="C1661" t="s">
        <v>28</v>
      </c>
      <c r="D1661" t="s">
        <v>21</v>
      </c>
      <c r="E1661" t="s">
        <v>19</v>
      </c>
      <c r="F1661" t="s">
        <v>26</v>
      </c>
      <c r="G1661" s="4">
        <v>94440</v>
      </c>
      <c r="H1661" s="4">
        <v>2219</v>
      </c>
      <c r="I1661" s="5">
        <v>2.35E-2</v>
      </c>
      <c r="J1661" s="2">
        <v>1.93</v>
      </c>
      <c r="K1661" s="6">
        <v>4282.67</v>
      </c>
      <c r="L1661" s="4">
        <v>156</v>
      </c>
      <c r="M1661" s="2">
        <v>27.45</v>
      </c>
      <c r="N1661" s="6">
        <v>39424.239999999998</v>
      </c>
      <c r="O1661" s="6">
        <f t="shared" si="126"/>
        <v>35141.57</v>
      </c>
      <c r="P1661" s="6">
        <f t="shared" si="127"/>
        <v>8.205528326954914</v>
      </c>
      <c r="Q1661" s="3">
        <v>9.2100000000000009</v>
      </c>
      <c r="R1661" t="str">
        <f t="shared" si="128"/>
        <v>High</v>
      </c>
      <c r="S1661" t="str">
        <f t="shared" si="129"/>
        <v>Valid</v>
      </c>
    </row>
    <row r="1662" spans="1:19" x14ac:dyDescent="0.25">
      <c r="A1662" s="1">
        <v>45467</v>
      </c>
      <c r="B1662" s="1" t="str">
        <f t="shared" si="125"/>
        <v>2024-06</v>
      </c>
      <c r="C1662" t="s">
        <v>28</v>
      </c>
      <c r="D1662" t="s">
        <v>21</v>
      </c>
      <c r="E1662" t="s">
        <v>22</v>
      </c>
      <c r="F1662" t="s">
        <v>31</v>
      </c>
      <c r="G1662" s="4">
        <v>93003</v>
      </c>
      <c r="H1662" s="4">
        <v>1283</v>
      </c>
      <c r="I1662" s="5">
        <v>1.38E-2</v>
      </c>
      <c r="J1662" s="2">
        <v>1.76</v>
      </c>
      <c r="K1662" s="6">
        <v>2258.08</v>
      </c>
      <c r="L1662" s="4">
        <v>49</v>
      </c>
      <c r="M1662" s="2">
        <v>46.08</v>
      </c>
      <c r="N1662" s="6">
        <v>1614.11</v>
      </c>
      <c r="O1662" s="6">
        <f t="shared" si="126"/>
        <v>-643.97</v>
      </c>
      <c r="P1662" s="6">
        <f t="shared" si="127"/>
        <v>-0.28518475873308302</v>
      </c>
      <c r="Q1662" s="3">
        <v>0.71</v>
      </c>
      <c r="R1662" t="str">
        <f t="shared" si="128"/>
        <v>Low</v>
      </c>
      <c r="S1662" t="str">
        <f t="shared" si="129"/>
        <v>Valid</v>
      </c>
    </row>
    <row r="1663" spans="1:19" x14ac:dyDescent="0.25">
      <c r="A1663" s="1">
        <v>45324</v>
      </c>
      <c r="B1663" s="1" t="str">
        <f t="shared" si="125"/>
        <v>2024-02</v>
      </c>
      <c r="C1663" t="s">
        <v>18</v>
      </c>
      <c r="D1663" t="s">
        <v>21</v>
      </c>
      <c r="E1663" t="s">
        <v>30</v>
      </c>
      <c r="F1663" t="s">
        <v>23</v>
      </c>
      <c r="G1663" s="4">
        <v>112294</v>
      </c>
      <c r="H1663" s="4">
        <v>9039</v>
      </c>
      <c r="I1663" s="5">
        <v>8.0500000000000002E-2</v>
      </c>
      <c r="J1663" s="2">
        <v>0.99</v>
      </c>
      <c r="K1663" s="6">
        <v>8948.61</v>
      </c>
      <c r="L1663" s="4">
        <v>99</v>
      </c>
      <c r="M1663" s="2">
        <v>90.39</v>
      </c>
      <c r="N1663" s="6">
        <v>20435.34</v>
      </c>
      <c r="O1663" s="6">
        <f t="shared" si="126"/>
        <v>11486.73</v>
      </c>
      <c r="P1663" s="6">
        <f t="shared" si="127"/>
        <v>1.2836328770613534</v>
      </c>
      <c r="Q1663" s="3">
        <v>2.2799999999999998</v>
      </c>
      <c r="R1663" t="str">
        <f t="shared" si="128"/>
        <v>Medium</v>
      </c>
      <c r="S1663" t="str">
        <f t="shared" si="129"/>
        <v>Valid</v>
      </c>
    </row>
    <row r="1664" spans="1:19" x14ac:dyDescent="0.25">
      <c r="A1664" s="1">
        <v>45434</v>
      </c>
      <c r="B1664" s="1" t="str">
        <f t="shared" si="125"/>
        <v>2024-05</v>
      </c>
      <c r="C1664" t="s">
        <v>28</v>
      </c>
      <c r="D1664" t="s">
        <v>29</v>
      </c>
      <c r="E1664" t="s">
        <v>25</v>
      </c>
      <c r="F1664" t="s">
        <v>23</v>
      </c>
      <c r="G1664" s="4">
        <v>165321</v>
      </c>
      <c r="H1664" s="4">
        <v>4447</v>
      </c>
      <c r="I1664" s="5">
        <v>2.69E-2</v>
      </c>
      <c r="J1664" s="2">
        <v>1.56</v>
      </c>
      <c r="K1664" s="6">
        <v>6937.32</v>
      </c>
      <c r="L1664" s="4">
        <v>301</v>
      </c>
      <c r="M1664" s="2">
        <v>23.05</v>
      </c>
      <c r="N1664" s="6">
        <v>23975.23</v>
      </c>
      <c r="O1664" s="6">
        <f t="shared" si="126"/>
        <v>17037.91</v>
      </c>
      <c r="P1664" s="6">
        <f t="shared" si="127"/>
        <v>2.4559786776449695</v>
      </c>
      <c r="Q1664" s="3">
        <v>3.46</v>
      </c>
      <c r="R1664" t="str">
        <f t="shared" si="128"/>
        <v>High</v>
      </c>
      <c r="S1664" t="str">
        <f t="shared" si="129"/>
        <v>Valid</v>
      </c>
    </row>
    <row r="1665" spans="1:19" x14ac:dyDescent="0.25">
      <c r="A1665" s="1">
        <v>45607</v>
      </c>
      <c r="B1665" s="1" t="str">
        <f t="shared" si="125"/>
        <v>2024-11</v>
      </c>
      <c r="C1665" t="s">
        <v>18</v>
      </c>
      <c r="D1665" t="s">
        <v>21</v>
      </c>
      <c r="E1665" t="s">
        <v>22</v>
      </c>
      <c r="F1665" t="s">
        <v>23</v>
      </c>
      <c r="G1665" s="4">
        <v>137895</v>
      </c>
      <c r="H1665" s="4">
        <v>5901</v>
      </c>
      <c r="I1665" s="5">
        <v>4.2799999999999998E-2</v>
      </c>
      <c r="J1665" s="2">
        <v>1.34</v>
      </c>
      <c r="K1665" s="6">
        <v>7907.34</v>
      </c>
      <c r="L1665" s="4">
        <v>379</v>
      </c>
      <c r="M1665" s="2">
        <v>20.86</v>
      </c>
      <c r="N1665" s="6">
        <v>86835.97</v>
      </c>
      <c r="O1665" s="6">
        <f t="shared" si="126"/>
        <v>78928.63</v>
      </c>
      <c r="P1665" s="6">
        <f t="shared" si="127"/>
        <v>9.9816916940462921</v>
      </c>
      <c r="Q1665" s="3">
        <v>10.98</v>
      </c>
      <c r="R1665" t="str">
        <f t="shared" si="128"/>
        <v>High</v>
      </c>
      <c r="S1665" t="str">
        <f t="shared" si="129"/>
        <v>Valid</v>
      </c>
    </row>
    <row r="1666" spans="1:19" x14ac:dyDescent="0.25">
      <c r="A1666" s="1">
        <v>45349</v>
      </c>
      <c r="B1666" s="1" t="str">
        <f t="shared" si="125"/>
        <v>2024-02</v>
      </c>
      <c r="C1666" t="s">
        <v>18</v>
      </c>
      <c r="D1666" t="s">
        <v>29</v>
      </c>
      <c r="E1666" t="s">
        <v>30</v>
      </c>
      <c r="F1666" t="s">
        <v>26</v>
      </c>
      <c r="G1666" s="4">
        <v>7978</v>
      </c>
      <c r="H1666" s="4">
        <v>557</v>
      </c>
      <c r="I1666" s="5">
        <v>6.9900000000000004E-2</v>
      </c>
      <c r="J1666" s="2">
        <v>0.61</v>
      </c>
      <c r="K1666" s="6">
        <v>339.77</v>
      </c>
      <c r="L1666" s="4">
        <v>34</v>
      </c>
      <c r="M1666" s="2">
        <v>9.99</v>
      </c>
      <c r="N1666" s="6">
        <v>6686.61</v>
      </c>
      <c r="O1666" s="6">
        <f t="shared" si="126"/>
        <v>6346.84</v>
      </c>
      <c r="P1666" s="6">
        <f t="shared" si="127"/>
        <v>18.67981281455102</v>
      </c>
      <c r="Q1666" s="3">
        <v>19.68</v>
      </c>
      <c r="R1666" t="str">
        <f t="shared" si="128"/>
        <v>High</v>
      </c>
      <c r="S1666" t="str">
        <f t="shared" si="129"/>
        <v>Valid</v>
      </c>
    </row>
    <row r="1667" spans="1:19" x14ac:dyDescent="0.25">
      <c r="A1667" s="1">
        <v>45330</v>
      </c>
      <c r="B1667" s="1" t="str">
        <f t="shared" ref="B1667:B1730" si="130">TEXT(A1667, "yyyy-mm")</f>
        <v>2024-02</v>
      </c>
      <c r="C1667" t="s">
        <v>18</v>
      </c>
      <c r="D1667" t="s">
        <v>29</v>
      </c>
      <c r="E1667" t="s">
        <v>16</v>
      </c>
      <c r="F1667" t="s">
        <v>26</v>
      </c>
      <c r="G1667" s="4">
        <v>113994</v>
      </c>
      <c r="H1667" s="4">
        <v>4320</v>
      </c>
      <c r="I1667" s="5">
        <v>3.7900000000000003E-2</v>
      </c>
      <c r="J1667" s="2">
        <v>0.77</v>
      </c>
      <c r="K1667" s="6">
        <v>3326.4</v>
      </c>
      <c r="L1667" s="4">
        <v>142</v>
      </c>
      <c r="M1667" s="2">
        <v>23.43</v>
      </c>
      <c r="N1667" s="6">
        <v>25985.24</v>
      </c>
      <c r="O1667" s="6">
        <f t="shared" ref="O1667:O1730" si="131">N1667-K1667</f>
        <v>22658.84</v>
      </c>
      <c r="P1667" s="6">
        <f t="shared" ref="P1667:P1730" si="132">IFERROR(O1667/K1667, "")</f>
        <v>6.8118205868205868</v>
      </c>
      <c r="Q1667" s="3">
        <v>7.81</v>
      </c>
      <c r="R1667" t="str">
        <f t="shared" ref="R1667:R1730" si="133">IF(Q1667 &gt;= 3, "High", IF(Q1667&gt;=1, "Medium", "Low"))</f>
        <v>High</v>
      </c>
      <c r="S1667" t="str">
        <f t="shared" ref="S1667:S1730" si="134">IF(OR(G1667=0, H1667&gt;G1667, L1667&gt;H1667), "Invalid", "Valid")</f>
        <v>Valid</v>
      </c>
    </row>
    <row r="1668" spans="1:19" x14ac:dyDescent="0.25">
      <c r="A1668" s="1">
        <v>45338</v>
      </c>
      <c r="B1668" s="1" t="str">
        <f t="shared" si="130"/>
        <v>2024-02</v>
      </c>
      <c r="C1668" t="s">
        <v>14</v>
      </c>
      <c r="D1668" t="s">
        <v>15</v>
      </c>
      <c r="E1668" t="s">
        <v>19</v>
      </c>
      <c r="F1668" t="s">
        <v>17</v>
      </c>
      <c r="G1668" s="4">
        <v>90794</v>
      </c>
      <c r="H1668" s="4">
        <v>5638</v>
      </c>
      <c r="I1668" s="5">
        <v>6.2100000000000002E-2</v>
      </c>
      <c r="J1668" s="2">
        <v>3.1</v>
      </c>
      <c r="K1668" s="6">
        <v>17477.8</v>
      </c>
      <c r="L1668" s="4">
        <v>217</v>
      </c>
      <c r="M1668" s="2">
        <v>80.540000000000006</v>
      </c>
      <c r="N1668" s="6">
        <v>54642.18</v>
      </c>
      <c r="O1668" s="6">
        <f t="shared" si="131"/>
        <v>37164.380000000005</v>
      </c>
      <c r="P1668" s="6">
        <f t="shared" si="132"/>
        <v>2.1263763173854837</v>
      </c>
      <c r="Q1668" s="3">
        <v>3.13</v>
      </c>
      <c r="R1668" t="str">
        <f t="shared" si="133"/>
        <v>High</v>
      </c>
      <c r="S1668" t="str">
        <f t="shared" si="134"/>
        <v>Valid</v>
      </c>
    </row>
    <row r="1669" spans="1:19" x14ac:dyDescent="0.25">
      <c r="A1669" s="1">
        <v>45646</v>
      </c>
      <c r="B1669" s="1" t="str">
        <f t="shared" si="130"/>
        <v>2024-12</v>
      </c>
      <c r="C1669" t="s">
        <v>28</v>
      </c>
      <c r="D1669" t="s">
        <v>29</v>
      </c>
      <c r="E1669" t="s">
        <v>22</v>
      </c>
      <c r="F1669" t="s">
        <v>32</v>
      </c>
      <c r="G1669" s="4">
        <v>118694</v>
      </c>
      <c r="H1669" s="4">
        <v>2338</v>
      </c>
      <c r="I1669" s="5">
        <v>1.9699999999999999E-2</v>
      </c>
      <c r="J1669" s="2">
        <v>2.2599999999999998</v>
      </c>
      <c r="K1669" s="6">
        <v>5283.88</v>
      </c>
      <c r="L1669" s="4">
        <v>76</v>
      </c>
      <c r="M1669" s="2">
        <v>69.52</v>
      </c>
      <c r="N1669" s="6">
        <v>6774.6</v>
      </c>
      <c r="O1669" s="6">
        <f t="shared" si="131"/>
        <v>1490.7200000000003</v>
      </c>
      <c r="P1669" s="6">
        <f t="shared" si="132"/>
        <v>0.28212601345980609</v>
      </c>
      <c r="Q1669" s="3">
        <v>1.28</v>
      </c>
      <c r="R1669" t="str">
        <f t="shared" si="133"/>
        <v>Medium</v>
      </c>
      <c r="S1669" t="str">
        <f t="shared" si="134"/>
        <v>Valid</v>
      </c>
    </row>
    <row r="1670" spans="1:19" x14ac:dyDescent="0.25">
      <c r="A1670" s="1">
        <v>45490</v>
      </c>
      <c r="B1670" s="1" t="str">
        <f t="shared" si="130"/>
        <v>2024-07</v>
      </c>
      <c r="C1670" t="s">
        <v>14</v>
      </c>
      <c r="D1670" t="s">
        <v>24</v>
      </c>
      <c r="E1670" t="s">
        <v>22</v>
      </c>
      <c r="F1670" t="s">
        <v>17</v>
      </c>
      <c r="G1670" s="4">
        <v>99805</v>
      </c>
      <c r="H1670" s="4">
        <v>1936</v>
      </c>
      <c r="I1670" s="5">
        <v>1.9400000000000001E-2</v>
      </c>
      <c r="J1670" s="2">
        <v>1.4</v>
      </c>
      <c r="K1670" s="6">
        <v>2710.4</v>
      </c>
      <c r="L1670" s="4">
        <v>112</v>
      </c>
      <c r="M1670" s="2">
        <v>24.2</v>
      </c>
      <c r="N1670" s="6">
        <v>29346.97</v>
      </c>
      <c r="O1670" s="6">
        <f t="shared" si="131"/>
        <v>26636.57</v>
      </c>
      <c r="P1670" s="6">
        <f t="shared" si="132"/>
        <v>9.8275420602125152</v>
      </c>
      <c r="Q1670" s="3">
        <v>10.83</v>
      </c>
      <c r="R1670" t="str">
        <f t="shared" si="133"/>
        <v>High</v>
      </c>
      <c r="S1670" t="str">
        <f t="shared" si="134"/>
        <v>Valid</v>
      </c>
    </row>
    <row r="1671" spans="1:19" x14ac:dyDescent="0.25">
      <c r="A1671" s="1">
        <v>45321</v>
      </c>
      <c r="B1671" s="1" t="str">
        <f t="shared" si="130"/>
        <v>2024-01</v>
      </c>
      <c r="C1671" t="s">
        <v>14</v>
      </c>
      <c r="D1671" t="s">
        <v>15</v>
      </c>
      <c r="E1671" t="s">
        <v>16</v>
      </c>
      <c r="F1671" t="s">
        <v>27</v>
      </c>
      <c r="G1671" s="4">
        <v>187156</v>
      </c>
      <c r="H1671" s="4">
        <v>3986</v>
      </c>
      <c r="I1671" s="5">
        <v>2.1299999999999999E-2</v>
      </c>
      <c r="J1671" s="2">
        <v>2.39</v>
      </c>
      <c r="K1671" s="6">
        <v>9526.5400000000009</v>
      </c>
      <c r="L1671" s="4">
        <v>269</v>
      </c>
      <c r="M1671" s="2">
        <v>35.409999999999997</v>
      </c>
      <c r="N1671" s="6">
        <v>34393.230000000003</v>
      </c>
      <c r="O1671" s="6">
        <f t="shared" si="131"/>
        <v>24866.690000000002</v>
      </c>
      <c r="P1671" s="6">
        <f t="shared" si="132"/>
        <v>2.6102540901523534</v>
      </c>
      <c r="Q1671" s="3">
        <v>3.61</v>
      </c>
      <c r="R1671" t="str">
        <f t="shared" si="133"/>
        <v>High</v>
      </c>
      <c r="S1671" t="str">
        <f t="shared" si="134"/>
        <v>Valid</v>
      </c>
    </row>
    <row r="1672" spans="1:19" x14ac:dyDescent="0.25">
      <c r="A1672" s="1">
        <v>45508</v>
      </c>
      <c r="B1672" s="1" t="str">
        <f t="shared" si="130"/>
        <v>2024-08</v>
      </c>
      <c r="C1672" t="s">
        <v>18</v>
      </c>
      <c r="D1672" t="s">
        <v>21</v>
      </c>
      <c r="E1672" t="s">
        <v>19</v>
      </c>
      <c r="F1672" t="s">
        <v>17</v>
      </c>
      <c r="G1672" s="4">
        <v>120152</v>
      </c>
      <c r="H1672" s="4">
        <v>4613</v>
      </c>
      <c r="I1672" s="5">
        <v>3.8399999999999997E-2</v>
      </c>
      <c r="J1672" s="2">
        <v>0.97</v>
      </c>
      <c r="K1672" s="6">
        <v>4474.6099999999997</v>
      </c>
      <c r="L1672" s="4">
        <v>108</v>
      </c>
      <c r="M1672" s="2">
        <v>41.43</v>
      </c>
      <c r="N1672" s="6">
        <v>27205.77</v>
      </c>
      <c r="O1672" s="6">
        <f t="shared" si="131"/>
        <v>22731.16</v>
      </c>
      <c r="P1672" s="6">
        <f t="shared" si="132"/>
        <v>5.0800315558227425</v>
      </c>
      <c r="Q1672" s="3">
        <v>6.08</v>
      </c>
      <c r="R1672" t="str">
        <f t="shared" si="133"/>
        <v>High</v>
      </c>
      <c r="S1672" t="str">
        <f t="shared" si="134"/>
        <v>Valid</v>
      </c>
    </row>
    <row r="1673" spans="1:19" x14ac:dyDescent="0.25">
      <c r="A1673" s="1">
        <v>45642</v>
      </c>
      <c r="B1673" s="1" t="str">
        <f t="shared" si="130"/>
        <v>2024-12</v>
      </c>
      <c r="C1673" t="s">
        <v>14</v>
      </c>
      <c r="D1673" t="s">
        <v>15</v>
      </c>
      <c r="E1673" t="s">
        <v>16</v>
      </c>
      <c r="F1673" t="s">
        <v>20</v>
      </c>
      <c r="G1673" s="4">
        <v>117458</v>
      </c>
      <c r="H1673" s="4">
        <v>6824</v>
      </c>
      <c r="I1673" s="5">
        <v>5.8099999999999999E-2</v>
      </c>
      <c r="J1673" s="2">
        <v>2.0099999999999998</v>
      </c>
      <c r="K1673" s="6">
        <v>13716.24</v>
      </c>
      <c r="L1673" s="4">
        <v>251</v>
      </c>
      <c r="M1673" s="2">
        <v>54.65</v>
      </c>
      <c r="N1673" s="6">
        <v>12200.18</v>
      </c>
      <c r="O1673" s="6">
        <f t="shared" si="131"/>
        <v>-1516.0599999999995</v>
      </c>
      <c r="P1673" s="6">
        <f t="shared" si="132"/>
        <v>-0.11053029110018485</v>
      </c>
      <c r="Q1673" s="3">
        <v>0.89</v>
      </c>
      <c r="R1673" t="str">
        <f t="shared" si="133"/>
        <v>Low</v>
      </c>
      <c r="S1673" t="str">
        <f t="shared" si="134"/>
        <v>Valid</v>
      </c>
    </row>
    <row r="1674" spans="1:19" x14ac:dyDescent="0.25">
      <c r="A1674" s="1">
        <v>45465</v>
      </c>
      <c r="B1674" s="1" t="str">
        <f t="shared" si="130"/>
        <v>2024-06</v>
      </c>
      <c r="C1674" t="s">
        <v>28</v>
      </c>
      <c r="D1674" t="s">
        <v>21</v>
      </c>
      <c r="E1674" t="s">
        <v>19</v>
      </c>
      <c r="F1674" t="s">
        <v>32</v>
      </c>
      <c r="G1674" s="4">
        <v>35398</v>
      </c>
      <c r="H1674" s="4">
        <v>1044</v>
      </c>
      <c r="I1674" s="5">
        <v>2.9499999999999998E-2</v>
      </c>
      <c r="J1674" s="2">
        <v>0.45</v>
      </c>
      <c r="K1674" s="6">
        <v>469.8</v>
      </c>
      <c r="L1674" s="4">
        <v>20</v>
      </c>
      <c r="M1674" s="2">
        <v>23.49</v>
      </c>
      <c r="N1674" s="6">
        <v>1596.24</v>
      </c>
      <c r="O1674" s="6">
        <f t="shared" si="131"/>
        <v>1126.44</v>
      </c>
      <c r="P1674" s="6">
        <f t="shared" si="132"/>
        <v>2.3977011494252873</v>
      </c>
      <c r="Q1674" s="3">
        <v>3.4</v>
      </c>
      <c r="R1674" t="str">
        <f t="shared" si="133"/>
        <v>High</v>
      </c>
      <c r="S1674" t="str">
        <f t="shared" si="134"/>
        <v>Valid</v>
      </c>
    </row>
    <row r="1675" spans="1:19" x14ac:dyDescent="0.25">
      <c r="A1675" s="1">
        <v>45381</v>
      </c>
      <c r="B1675" s="1" t="str">
        <f t="shared" si="130"/>
        <v>2024-03</v>
      </c>
      <c r="C1675" t="s">
        <v>18</v>
      </c>
      <c r="D1675" t="s">
        <v>21</v>
      </c>
      <c r="E1675" t="s">
        <v>22</v>
      </c>
      <c r="F1675" t="s">
        <v>31</v>
      </c>
      <c r="G1675" s="4">
        <v>98386</v>
      </c>
      <c r="H1675" s="4">
        <v>7556</v>
      </c>
      <c r="I1675" s="5">
        <v>7.6799999999999993E-2</v>
      </c>
      <c r="J1675" s="2">
        <v>0.35</v>
      </c>
      <c r="K1675" s="6">
        <v>2644.6</v>
      </c>
      <c r="L1675" s="4">
        <v>385</v>
      </c>
      <c r="M1675" s="2">
        <v>6.87</v>
      </c>
      <c r="N1675" s="6">
        <v>43735.3</v>
      </c>
      <c r="O1675" s="6">
        <f t="shared" si="131"/>
        <v>41090.700000000004</v>
      </c>
      <c r="P1675" s="6">
        <f t="shared" si="132"/>
        <v>15.53758602435151</v>
      </c>
      <c r="Q1675" s="3">
        <v>16.54</v>
      </c>
      <c r="R1675" t="str">
        <f t="shared" si="133"/>
        <v>High</v>
      </c>
      <c r="S1675" t="str">
        <f t="shared" si="134"/>
        <v>Valid</v>
      </c>
    </row>
    <row r="1676" spans="1:19" x14ac:dyDescent="0.25">
      <c r="A1676" s="1">
        <v>45510</v>
      </c>
      <c r="B1676" s="1" t="str">
        <f t="shared" si="130"/>
        <v>2024-08</v>
      </c>
      <c r="C1676" t="s">
        <v>28</v>
      </c>
      <c r="D1676" t="s">
        <v>21</v>
      </c>
      <c r="E1676" t="s">
        <v>30</v>
      </c>
      <c r="F1676" t="s">
        <v>27</v>
      </c>
      <c r="G1676" s="4">
        <v>70133</v>
      </c>
      <c r="H1676" s="4">
        <v>2293</v>
      </c>
      <c r="I1676" s="5">
        <v>3.27E-2</v>
      </c>
      <c r="J1676" s="2">
        <v>1.04</v>
      </c>
      <c r="K1676" s="6">
        <v>2384.7199999999998</v>
      </c>
      <c r="L1676" s="4">
        <v>75</v>
      </c>
      <c r="M1676" s="2">
        <v>31.8</v>
      </c>
      <c r="N1676" s="6">
        <v>14249.95</v>
      </c>
      <c r="O1676" s="6">
        <f t="shared" si="131"/>
        <v>11865.230000000001</v>
      </c>
      <c r="P1676" s="6">
        <f t="shared" si="132"/>
        <v>4.9755233318796348</v>
      </c>
      <c r="Q1676" s="3">
        <v>5.98</v>
      </c>
      <c r="R1676" t="str">
        <f t="shared" si="133"/>
        <v>High</v>
      </c>
      <c r="S1676" t="str">
        <f t="shared" si="134"/>
        <v>Valid</v>
      </c>
    </row>
    <row r="1677" spans="1:19" x14ac:dyDescent="0.25">
      <c r="A1677" s="1">
        <v>45469</v>
      </c>
      <c r="B1677" s="1" t="str">
        <f t="shared" si="130"/>
        <v>2024-06</v>
      </c>
      <c r="C1677" t="s">
        <v>14</v>
      </c>
      <c r="D1677" t="s">
        <v>21</v>
      </c>
      <c r="E1677" t="s">
        <v>25</v>
      </c>
      <c r="F1677" t="s">
        <v>23</v>
      </c>
      <c r="G1677" s="4">
        <v>30169</v>
      </c>
      <c r="H1677" s="4">
        <v>1523</v>
      </c>
      <c r="I1677" s="5">
        <v>5.0500000000000003E-2</v>
      </c>
      <c r="J1677" s="2">
        <v>1.44</v>
      </c>
      <c r="K1677" s="6">
        <v>2193.12</v>
      </c>
      <c r="L1677" s="4">
        <v>34</v>
      </c>
      <c r="M1677" s="2">
        <v>64.5</v>
      </c>
      <c r="N1677" s="6">
        <v>8282.7099999999991</v>
      </c>
      <c r="O1677" s="6">
        <f t="shared" si="131"/>
        <v>6089.5899999999992</v>
      </c>
      <c r="P1677" s="6">
        <f t="shared" si="132"/>
        <v>2.7766788867002261</v>
      </c>
      <c r="Q1677" s="3">
        <v>3.78</v>
      </c>
      <c r="R1677" t="str">
        <f t="shared" si="133"/>
        <v>High</v>
      </c>
      <c r="S1677" t="str">
        <f t="shared" si="134"/>
        <v>Valid</v>
      </c>
    </row>
    <row r="1678" spans="1:19" x14ac:dyDescent="0.25">
      <c r="A1678" s="1">
        <v>45316</v>
      </c>
      <c r="B1678" s="1" t="str">
        <f t="shared" si="130"/>
        <v>2024-01</v>
      </c>
      <c r="C1678" t="s">
        <v>14</v>
      </c>
      <c r="D1678" t="s">
        <v>15</v>
      </c>
      <c r="E1678" t="s">
        <v>19</v>
      </c>
      <c r="F1678" t="s">
        <v>26</v>
      </c>
      <c r="G1678" s="4">
        <v>122959</v>
      </c>
      <c r="H1678" s="4">
        <v>3553</v>
      </c>
      <c r="I1678" s="5">
        <v>2.8899999999999999E-2</v>
      </c>
      <c r="J1678" s="2">
        <v>1.67</v>
      </c>
      <c r="K1678" s="6">
        <v>5933.51</v>
      </c>
      <c r="L1678" s="4">
        <v>133</v>
      </c>
      <c r="M1678" s="2">
        <v>44.61</v>
      </c>
      <c r="N1678" s="6">
        <v>11079.66</v>
      </c>
      <c r="O1678" s="6">
        <f t="shared" si="131"/>
        <v>5146.1499999999996</v>
      </c>
      <c r="P1678" s="6">
        <f t="shared" si="132"/>
        <v>0.86730282750007992</v>
      </c>
      <c r="Q1678" s="3">
        <v>1.87</v>
      </c>
      <c r="R1678" t="str">
        <f t="shared" si="133"/>
        <v>Medium</v>
      </c>
      <c r="S1678" t="str">
        <f t="shared" si="134"/>
        <v>Valid</v>
      </c>
    </row>
    <row r="1679" spans="1:19" x14ac:dyDescent="0.25">
      <c r="A1679" s="1">
        <v>45394</v>
      </c>
      <c r="B1679" s="1" t="str">
        <f t="shared" si="130"/>
        <v>2024-04</v>
      </c>
      <c r="C1679" t="s">
        <v>28</v>
      </c>
      <c r="D1679" t="s">
        <v>15</v>
      </c>
      <c r="E1679" t="s">
        <v>22</v>
      </c>
      <c r="F1679" t="s">
        <v>32</v>
      </c>
      <c r="G1679" s="4">
        <v>73083</v>
      </c>
      <c r="H1679" s="4">
        <v>3040</v>
      </c>
      <c r="I1679" s="5">
        <v>4.1599999999999998E-2</v>
      </c>
      <c r="J1679" s="2">
        <v>0.6</v>
      </c>
      <c r="K1679" s="6">
        <v>1824</v>
      </c>
      <c r="L1679" s="4">
        <v>203</v>
      </c>
      <c r="M1679" s="2">
        <v>8.99</v>
      </c>
      <c r="N1679" s="6">
        <v>29701.35</v>
      </c>
      <c r="O1679" s="6">
        <f t="shared" si="131"/>
        <v>27877.35</v>
      </c>
      <c r="P1679" s="6">
        <f t="shared" si="132"/>
        <v>15.283634868421052</v>
      </c>
      <c r="Q1679" s="3">
        <v>16.28</v>
      </c>
      <c r="R1679" t="str">
        <f t="shared" si="133"/>
        <v>High</v>
      </c>
      <c r="S1679" t="str">
        <f t="shared" si="134"/>
        <v>Valid</v>
      </c>
    </row>
    <row r="1680" spans="1:19" x14ac:dyDescent="0.25">
      <c r="A1680" s="1">
        <v>45414</v>
      </c>
      <c r="B1680" s="1" t="str">
        <f t="shared" si="130"/>
        <v>2024-05</v>
      </c>
      <c r="C1680" t="s">
        <v>28</v>
      </c>
      <c r="D1680" t="s">
        <v>29</v>
      </c>
      <c r="E1680" t="s">
        <v>16</v>
      </c>
      <c r="F1680" t="s">
        <v>31</v>
      </c>
      <c r="G1680" s="4">
        <v>113889</v>
      </c>
      <c r="H1680" s="4">
        <v>4623</v>
      </c>
      <c r="I1680" s="5">
        <v>4.0599999999999997E-2</v>
      </c>
      <c r="J1680" s="2">
        <v>1.19</v>
      </c>
      <c r="K1680" s="6">
        <v>5501.37</v>
      </c>
      <c r="L1680" s="4">
        <v>362</v>
      </c>
      <c r="M1680" s="2">
        <v>15.2</v>
      </c>
      <c r="N1680" s="6">
        <v>19216.96</v>
      </c>
      <c r="O1680" s="6">
        <f t="shared" si="131"/>
        <v>13715.59</v>
      </c>
      <c r="P1680" s="6">
        <f t="shared" si="132"/>
        <v>2.4931226221832019</v>
      </c>
      <c r="Q1680" s="3">
        <v>3.49</v>
      </c>
      <c r="R1680" t="str">
        <f t="shared" si="133"/>
        <v>High</v>
      </c>
      <c r="S1680" t="str">
        <f t="shared" si="134"/>
        <v>Valid</v>
      </c>
    </row>
    <row r="1681" spans="1:19" x14ac:dyDescent="0.25">
      <c r="A1681" s="1">
        <v>45466</v>
      </c>
      <c r="B1681" s="1" t="str">
        <f t="shared" si="130"/>
        <v>2024-06</v>
      </c>
      <c r="C1681" t="s">
        <v>28</v>
      </c>
      <c r="D1681" t="s">
        <v>15</v>
      </c>
      <c r="E1681" t="s">
        <v>22</v>
      </c>
      <c r="F1681" t="s">
        <v>32</v>
      </c>
      <c r="G1681" s="4">
        <v>57203</v>
      </c>
      <c r="H1681" s="4">
        <v>1029</v>
      </c>
      <c r="I1681" s="5">
        <v>1.7999999999999999E-2</v>
      </c>
      <c r="J1681" s="2">
        <v>0.87</v>
      </c>
      <c r="K1681" s="6">
        <v>895.23</v>
      </c>
      <c r="L1681" s="4">
        <v>11</v>
      </c>
      <c r="M1681" s="2">
        <v>81.38</v>
      </c>
      <c r="N1681" s="6">
        <v>1505.4</v>
      </c>
      <c r="O1681" s="6">
        <f t="shared" si="131"/>
        <v>610.17000000000007</v>
      </c>
      <c r="P1681" s="6">
        <f t="shared" si="132"/>
        <v>0.68157903555510879</v>
      </c>
      <c r="Q1681" s="3">
        <v>1.68</v>
      </c>
      <c r="R1681" t="str">
        <f t="shared" si="133"/>
        <v>Medium</v>
      </c>
      <c r="S1681" t="str">
        <f t="shared" si="134"/>
        <v>Valid</v>
      </c>
    </row>
    <row r="1682" spans="1:19" x14ac:dyDescent="0.25">
      <c r="A1682" s="1">
        <v>45485</v>
      </c>
      <c r="B1682" s="1" t="str">
        <f t="shared" si="130"/>
        <v>2024-07</v>
      </c>
      <c r="C1682" t="s">
        <v>18</v>
      </c>
      <c r="D1682" t="s">
        <v>29</v>
      </c>
      <c r="E1682" t="s">
        <v>25</v>
      </c>
      <c r="F1682" t="s">
        <v>17</v>
      </c>
      <c r="G1682" s="4">
        <v>36562</v>
      </c>
      <c r="H1682" s="4">
        <v>1257</v>
      </c>
      <c r="I1682" s="5">
        <v>3.44E-2</v>
      </c>
      <c r="J1682" s="2">
        <v>0.43</v>
      </c>
      <c r="K1682" s="6">
        <v>540.51</v>
      </c>
      <c r="L1682" s="4">
        <v>74</v>
      </c>
      <c r="M1682" s="2">
        <v>7.3</v>
      </c>
      <c r="N1682" s="6">
        <v>11838.52</v>
      </c>
      <c r="O1682" s="6">
        <f t="shared" si="131"/>
        <v>11298.01</v>
      </c>
      <c r="P1682" s="6">
        <f t="shared" si="132"/>
        <v>20.902499491221256</v>
      </c>
      <c r="Q1682" s="3">
        <v>21.9</v>
      </c>
      <c r="R1682" t="str">
        <f t="shared" si="133"/>
        <v>High</v>
      </c>
      <c r="S1682" t="str">
        <f t="shared" si="134"/>
        <v>Valid</v>
      </c>
    </row>
    <row r="1683" spans="1:19" x14ac:dyDescent="0.25">
      <c r="A1683" s="1">
        <v>45627</v>
      </c>
      <c r="B1683" s="1" t="str">
        <f t="shared" si="130"/>
        <v>2024-12</v>
      </c>
      <c r="C1683" t="s">
        <v>14</v>
      </c>
      <c r="D1683" t="s">
        <v>15</v>
      </c>
      <c r="E1683" t="s">
        <v>19</v>
      </c>
      <c r="F1683" t="s">
        <v>23</v>
      </c>
      <c r="G1683" s="4">
        <v>177256</v>
      </c>
      <c r="H1683" s="4">
        <v>4059</v>
      </c>
      <c r="I1683" s="5">
        <v>2.29E-2</v>
      </c>
      <c r="J1683" s="2">
        <v>2.19</v>
      </c>
      <c r="K1683" s="6">
        <v>8889.2099999999991</v>
      </c>
      <c r="L1683" s="4">
        <v>138</v>
      </c>
      <c r="M1683" s="2">
        <v>64.41</v>
      </c>
      <c r="N1683" s="6">
        <v>32140.46</v>
      </c>
      <c r="O1683" s="6">
        <f t="shared" si="131"/>
        <v>23251.25</v>
      </c>
      <c r="P1683" s="6">
        <f t="shared" si="132"/>
        <v>2.6156711338802889</v>
      </c>
      <c r="Q1683" s="3">
        <v>3.62</v>
      </c>
      <c r="R1683" t="str">
        <f t="shared" si="133"/>
        <v>High</v>
      </c>
      <c r="S1683" t="str">
        <f t="shared" si="134"/>
        <v>Valid</v>
      </c>
    </row>
    <row r="1684" spans="1:19" x14ac:dyDescent="0.25">
      <c r="A1684" s="1">
        <v>45345</v>
      </c>
      <c r="B1684" s="1" t="str">
        <f t="shared" si="130"/>
        <v>2024-02</v>
      </c>
      <c r="C1684" t="s">
        <v>18</v>
      </c>
      <c r="D1684" t="s">
        <v>24</v>
      </c>
      <c r="E1684" t="s">
        <v>25</v>
      </c>
      <c r="F1684" t="s">
        <v>31</v>
      </c>
      <c r="G1684" s="4">
        <v>179036</v>
      </c>
      <c r="H1684" s="4">
        <v>11046</v>
      </c>
      <c r="I1684" s="5">
        <v>6.1699999999999998E-2</v>
      </c>
      <c r="J1684" s="2">
        <v>0.87</v>
      </c>
      <c r="K1684" s="6">
        <v>9610.02</v>
      </c>
      <c r="L1684" s="4">
        <v>787</v>
      </c>
      <c r="M1684" s="2">
        <v>12.21</v>
      </c>
      <c r="N1684" s="6">
        <v>127296.84</v>
      </c>
      <c r="O1684" s="6">
        <f t="shared" si="131"/>
        <v>117686.81999999999</v>
      </c>
      <c r="P1684" s="6">
        <f t="shared" si="132"/>
        <v>12.246261714335661</v>
      </c>
      <c r="Q1684" s="3">
        <v>13.25</v>
      </c>
      <c r="R1684" t="str">
        <f t="shared" si="133"/>
        <v>High</v>
      </c>
      <c r="S1684" t="str">
        <f t="shared" si="134"/>
        <v>Valid</v>
      </c>
    </row>
    <row r="1685" spans="1:19" x14ac:dyDescent="0.25">
      <c r="A1685" s="1">
        <v>45475</v>
      </c>
      <c r="B1685" s="1" t="str">
        <f t="shared" si="130"/>
        <v>2024-07</v>
      </c>
      <c r="C1685" t="s">
        <v>14</v>
      </c>
      <c r="D1685" t="s">
        <v>29</v>
      </c>
      <c r="E1685" t="s">
        <v>19</v>
      </c>
      <c r="F1685" t="s">
        <v>26</v>
      </c>
      <c r="G1685" s="4">
        <v>87481</v>
      </c>
      <c r="H1685" s="4">
        <v>4181</v>
      </c>
      <c r="I1685" s="5">
        <v>4.7800000000000002E-2</v>
      </c>
      <c r="J1685" s="2">
        <v>2.88</v>
      </c>
      <c r="K1685" s="6">
        <v>12041.28</v>
      </c>
      <c r="L1685" s="4">
        <v>104</v>
      </c>
      <c r="M1685" s="2">
        <v>115.78</v>
      </c>
      <c r="N1685" s="6">
        <v>28643.42</v>
      </c>
      <c r="O1685" s="6">
        <f t="shared" si="131"/>
        <v>16602.14</v>
      </c>
      <c r="P1685" s="6">
        <f t="shared" si="132"/>
        <v>1.3787687023306492</v>
      </c>
      <c r="Q1685" s="3">
        <v>2.38</v>
      </c>
      <c r="R1685" t="str">
        <f t="shared" si="133"/>
        <v>Medium</v>
      </c>
      <c r="S1685" t="str">
        <f t="shared" si="134"/>
        <v>Valid</v>
      </c>
    </row>
    <row r="1686" spans="1:19" x14ac:dyDescent="0.25">
      <c r="A1686" s="1">
        <v>45465</v>
      </c>
      <c r="B1686" s="1" t="str">
        <f t="shared" si="130"/>
        <v>2024-06</v>
      </c>
      <c r="C1686" t="s">
        <v>18</v>
      </c>
      <c r="D1686" t="s">
        <v>24</v>
      </c>
      <c r="E1686" t="s">
        <v>30</v>
      </c>
      <c r="F1686" t="s">
        <v>31</v>
      </c>
      <c r="G1686" s="4">
        <v>130645</v>
      </c>
      <c r="H1686" s="4">
        <v>8243</v>
      </c>
      <c r="I1686" s="5">
        <v>6.3100000000000003E-2</v>
      </c>
      <c r="J1686" s="2">
        <v>0.95</v>
      </c>
      <c r="K1686" s="6">
        <v>7830.85</v>
      </c>
      <c r="L1686" s="4">
        <v>356</v>
      </c>
      <c r="M1686" s="2">
        <v>22</v>
      </c>
      <c r="N1686" s="6">
        <v>16420.599999999999</v>
      </c>
      <c r="O1686" s="6">
        <f t="shared" si="131"/>
        <v>8589.7499999999982</v>
      </c>
      <c r="P1686" s="6">
        <f t="shared" si="132"/>
        <v>1.0969115740947659</v>
      </c>
      <c r="Q1686" s="3">
        <v>2.1</v>
      </c>
      <c r="R1686" t="str">
        <f t="shared" si="133"/>
        <v>Medium</v>
      </c>
      <c r="S1686" t="str">
        <f t="shared" si="134"/>
        <v>Valid</v>
      </c>
    </row>
    <row r="1687" spans="1:19" x14ac:dyDescent="0.25">
      <c r="A1687" s="1">
        <v>45620</v>
      </c>
      <c r="B1687" s="1" t="str">
        <f t="shared" si="130"/>
        <v>2024-11</v>
      </c>
      <c r="C1687" t="s">
        <v>14</v>
      </c>
      <c r="D1687" t="s">
        <v>15</v>
      </c>
      <c r="E1687" t="s">
        <v>25</v>
      </c>
      <c r="F1687" t="s">
        <v>31</v>
      </c>
      <c r="G1687" s="4">
        <v>121089</v>
      </c>
      <c r="H1687" s="4">
        <v>3499</v>
      </c>
      <c r="I1687" s="5">
        <v>2.8899999999999999E-2</v>
      </c>
      <c r="J1687" s="2">
        <v>0.93</v>
      </c>
      <c r="K1687" s="6">
        <v>3254.07</v>
      </c>
      <c r="L1687" s="4">
        <v>185</v>
      </c>
      <c r="M1687" s="2">
        <v>17.59</v>
      </c>
      <c r="N1687" s="6">
        <v>28042.42</v>
      </c>
      <c r="O1687" s="6">
        <f t="shared" si="131"/>
        <v>24788.35</v>
      </c>
      <c r="P1687" s="6">
        <f t="shared" si="132"/>
        <v>7.6176449799789179</v>
      </c>
      <c r="Q1687" s="3">
        <v>8.6199999999999992</v>
      </c>
      <c r="R1687" t="str">
        <f t="shared" si="133"/>
        <v>High</v>
      </c>
      <c r="S1687" t="str">
        <f t="shared" si="134"/>
        <v>Valid</v>
      </c>
    </row>
    <row r="1688" spans="1:19" x14ac:dyDescent="0.25">
      <c r="A1688" s="1">
        <v>45419</v>
      </c>
      <c r="B1688" s="1" t="str">
        <f t="shared" si="130"/>
        <v>2024-05</v>
      </c>
      <c r="C1688" t="s">
        <v>14</v>
      </c>
      <c r="D1688" t="s">
        <v>15</v>
      </c>
      <c r="E1688" t="s">
        <v>19</v>
      </c>
      <c r="F1688" t="s">
        <v>27</v>
      </c>
      <c r="G1688" s="4">
        <v>15589</v>
      </c>
      <c r="H1688" s="4">
        <v>285</v>
      </c>
      <c r="I1688" s="5">
        <v>1.83E-2</v>
      </c>
      <c r="J1688" s="2">
        <v>1.18</v>
      </c>
      <c r="K1688" s="6">
        <v>336.3</v>
      </c>
      <c r="L1688" s="4">
        <v>10</v>
      </c>
      <c r="M1688" s="2">
        <v>33.630000000000003</v>
      </c>
      <c r="N1688" s="6">
        <v>1359.76</v>
      </c>
      <c r="O1688" s="6">
        <f t="shared" si="131"/>
        <v>1023.46</v>
      </c>
      <c r="P1688" s="6">
        <f t="shared" si="132"/>
        <v>3.0432946773713945</v>
      </c>
      <c r="Q1688" s="3">
        <v>4.04</v>
      </c>
      <c r="R1688" t="str">
        <f t="shared" si="133"/>
        <v>High</v>
      </c>
      <c r="S1688" t="str">
        <f t="shared" si="134"/>
        <v>Valid</v>
      </c>
    </row>
    <row r="1689" spans="1:19" x14ac:dyDescent="0.25">
      <c r="A1689" s="1">
        <v>45515</v>
      </c>
      <c r="B1689" s="1" t="str">
        <f t="shared" si="130"/>
        <v>2024-08</v>
      </c>
      <c r="C1689" t="s">
        <v>18</v>
      </c>
      <c r="D1689" t="s">
        <v>15</v>
      </c>
      <c r="E1689" t="s">
        <v>16</v>
      </c>
      <c r="F1689" t="s">
        <v>26</v>
      </c>
      <c r="G1689" s="4">
        <v>101411</v>
      </c>
      <c r="H1689" s="4">
        <v>9370</v>
      </c>
      <c r="I1689" s="5">
        <v>9.2399999999999996E-2</v>
      </c>
      <c r="J1689" s="2">
        <v>0.81</v>
      </c>
      <c r="K1689" s="6">
        <v>7589.7</v>
      </c>
      <c r="L1689" s="4">
        <v>523</v>
      </c>
      <c r="M1689" s="2">
        <v>14.51</v>
      </c>
      <c r="N1689" s="6">
        <v>26633.21</v>
      </c>
      <c r="O1689" s="6">
        <f t="shared" si="131"/>
        <v>19043.509999999998</v>
      </c>
      <c r="P1689" s="6">
        <f t="shared" si="132"/>
        <v>2.5091255253830846</v>
      </c>
      <c r="Q1689" s="3">
        <v>3.51</v>
      </c>
      <c r="R1689" t="str">
        <f t="shared" si="133"/>
        <v>High</v>
      </c>
      <c r="S1689" t="str">
        <f t="shared" si="134"/>
        <v>Valid</v>
      </c>
    </row>
    <row r="1690" spans="1:19" x14ac:dyDescent="0.25">
      <c r="A1690" s="1">
        <v>45376</v>
      </c>
      <c r="B1690" s="1" t="str">
        <f t="shared" si="130"/>
        <v>2024-03</v>
      </c>
      <c r="C1690" t="s">
        <v>14</v>
      </c>
      <c r="D1690" t="s">
        <v>24</v>
      </c>
      <c r="E1690" t="s">
        <v>30</v>
      </c>
      <c r="F1690" t="s">
        <v>20</v>
      </c>
      <c r="G1690" s="4">
        <v>142045</v>
      </c>
      <c r="H1690" s="4">
        <v>9161</v>
      </c>
      <c r="I1690" s="5">
        <v>6.4500000000000002E-2</v>
      </c>
      <c r="J1690" s="2">
        <v>2.39</v>
      </c>
      <c r="K1690" s="6">
        <v>21894.79</v>
      </c>
      <c r="L1690" s="4">
        <v>525</v>
      </c>
      <c r="M1690" s="2">
        <v>41.7</v>
      </c>
      <c r="N1690" s="6">
        <v>131680.16</v>
      </c>
      <c r="O1690" s="6">
        <f t="shared" si="131"/>
        <v>109785.37</v>
      </c>
      <c r="P1690" s="6">
        <f t="shared" si="132"/>
        <v>5.0142234750824279</v>
      </c>
      <c r="Q1690" s="3">
        <v>6.01</v>
      </c>
      <c r="R1690" t="str">
        <f t="shared" si="133"/>
        <v>High</v>
      </c>
      <c r="S1690" t="str">
        <f t="shared" si="134"/>
        <v>Valid</v>
      </c>
    </row>
    <row r="1691" spans="1:19" x14ac:dyDescent="0.25">
      <c r="A1691" s="1">
        <v>45478</v>
      </c>
      <c r="B1691" s="1" t="str">
        <f t="shared" si="130"/>
        <v>2024-07</v>
      </c>
      <c r="C1691" t="s">
        <v>28</v>
      </c>
      <c r="D1691" t="s">
        <v>24</v>
      </c>
      <c r="E1691" t="s">
        <v>22</v>
      </c>
      <c r="F1691" t="s">
        <v>20</v>
      </c>
      <c r="G1691" s="4">
        <v>42236</v>
      </c>
      <c r="H1691" s="4">
        <v>1013</v>
      </c>
      <c r="I1691" s="5">
        <v>2.4E-2</v>
      </c>
      <c r="J1691" s="2">
        <v>1.43</v>
      </c>
      <c r="K1691" s="6">
        <v>1448.59</v>
      </c>
      <c r="L1691" s="4">
        <v>29</v>
      </c>
      <c r="M1691" s="2">
        <v>49.95</v>
      </c>
      <c r="N1691" s="6">
        <v>4720.08</v>
      </c>
      <c r="O1691" s="6">
        <f t="shared" si="131"/>
        <v>3271.49</v>
      </c>
      <c r="P1691" s="6">
        <f t="shared" si="132"/>
        <v>2.2583960955135685</v>
      </c>
      <c r="Q1691" s="3">
        <v>3.26</v>
      </c>
      <c r="R1691" t="str">
        <f t="shared" si="133"/>
        <v>High</v>
      </c>
      <c r="S1691" t="str">
        <f t="shared" si="134"/>
        <v>Valid</v>
      </c>
    </row>
    <row r="1692" spans="1:19" x14ac:dyDescent="0.25">
      <c r="A1692" s="1">
        <v>45435</v>
      </c>
      <c r="B1692" s="1" t="str">
        <f t="shared" si="130"/>
        <v>2024-05</v>
      </c>
      <c r="C1692" t="s">
        <v>28</v>
      </c>
      <c r="D1692" t="s">
        <v>24</v>
      </c>
      <c r="E1692" t="s">
        <v>30</v>
      </c>
      <c r="F1692" t="s">
        <v>27</v>
      </c>
      <c r="G1692" s="4">
        <v>75628</v>
      </c>
      <c r="H1692" s="4">
        <v>794</v>
      </c>
      <c r="I1692" s="5">
        <v>1.0500000000000001E-2</v>
      </c>
      <c r="J1692" s="2">
        <v>0.5</v>
      </c>
      <c r="K1692" s="6">
        <v>397</v>
      </c>
      <c r="L1692" s="4">
        <v>49</v>
      </c>
      <c r="M1692" s="2">
        <v>8.1</v>
      </c>
      <c r="N1692" s="6">
        <v>3639.22</v>
      </c>
      <c r="O1692" s="6">
        <f t="shared" si="131"/>
        <v>3242.22</v>
      </c>
      <c r="P1692" s="6">
        <f t="shared" si="132"/>
        <v>8.1668010075566748</v>
      </c>
      <c r="Q1692" s="3">
        <v>9.17</v>
      </c>
      <c r="R1692" t="str">
        <f t="shared" si="133"/>
        <v>High</v>
      </c>
      <c r="S1692" t="str">
        <f t="shared" si="134"/>
        <v>Valid</v>
      </c>
    </row>
    <row r="1693" spans="1:19" x14ac:dyDescent="0.25">
      <c r="A1693" s="1">
        <v>45634</v>
      </c>
      <c r="B1693" s="1" t="str">
        <f t="shared" si="130"/>
        <v>2024-12</v>
      </c>
      <c r="C1693" t="s">
        <v>18</v>
      </c>
      <c r="D1693" t="s">
        <v>21</v>
      </c>
      <c r="E1693" t="s">
        <v>16</v>
      </c>
      <c r="F1693" t="s">
        <v>26</v>
      </c>
      <c r="G1693" s="4">
        <v>116184</v>
      </c>
      <c r="H1693" s="4">
        <v>4089</v>
      </c>
      <c r="I1693" s="5">
        <v>3.5200000000000002E-2</v>
      </c>
      <c r="J1693" s="2">
        <v>0.34</v>
      </c>
      <c r="K1693" s="6">
        <v>1390.26</v>
      </c>
      <c r="L1693" s="4">
        <v>263</v>
      </c>
      <c r="M1693" s="2">
        <v>5.29</v>
      </c>
      <c r="N1693" s="6">
        <v>54249.41</v>
      </c>
      <c r="O1693" s="6">
        <f t="shared" si="131"/>
        <v>52859.15</v>
      </c>
      <c r="P1693" s="6">
        <f t="shared" si="132"/>
        <v>38.021053615870414</v>
      </c>
      <c r="Q1693" s="3">
        <v>39.020000000000003</v>
      </c>
      <c r="R1693" t="str">
        <f t="shared" si="133"/>
        <v>High</v>
      </c>
      <c r="S1693" t="str">
        <f t="shared" si="134"/>
        <v>Valid</v>
      </c>
    </row>
    <row r="1694" spans="1:19" x14ac:dyDescent="0.25">
      <c r="A1694" s="1">
        <v>45584</v>
      </c>
      <c r="B1694" s="1" t="str">
        <f t="shared" si="130"/>
        <v>2024-10</v>
      </c>
      <c r="C1694" t="s">
        <v>14</v>
      </c>
      <c r="D1694" t="s">
        <v>21</v>
      </c>
      <c r="E1694" t="s">
        <v>30</v>
      </c>
      <c r="F1694" t="s">
        <v>23</v>
      </c>
      <c r="G1694" s="4">
        <v>121465</v>
      </c>
      <c r="H1694" s="4">
        <v>5575</v>
      </c>
      <c r="I1694" s="5">
        <v>4.5900000000000003E-2</v>
      </c>
      <c r="J1694" s="2">
        <v>1.64</v>
      </c>
      <c r="K1694" s="6">
        <v>9143</v>
      </c>
      <c r="L1694" s="4">
        <v>273</v>
      </c>
      <c r="M1694" s="2">
        <v>33.49</v>
      </c>
      <c r="N1694" s="6">
        <v>28769.59</v>
      </c>
      <c r="O1694" s="6">
        <f t="shared" si="131"/>
        <v>19626.59</v>
      </c>
      <c r="P1694" s="6">
        <f t="shared" si="132"/>
        <v>2.1466247402384337</v>
      </c>
      <c r="Q1694" s="3">
        <v>3.15</v>
      </c>
      <c r="R1694" t="str">
        <f t="shared" si="133"/>
        <v>High</v>
      </c>
      <c r="S1694" t="str">
        <f t="shared" si="134"/>
        <v>Valid</v>
      </c>
    </row>
    <row r="1695" spans="1:19" x14ac:dyDescent="0.25">
      <c r="A1695" s="1">
        <v>45300</v>
      </c>
      <c r="B1695" s="1" t="str">
        <f t="shared" si="130"/>
        <v>2024-01</v>
      </c>
      <c r="C1695" t="s">
        <v>14</v>
      </c>
      <c r="D1695" t="s">
        <v>21</v>
      </c>
      <c r="E1695" t="s">
        <v>16</v>
      </c>
      <c r="F1695" t="s">
        <v>20</v>
      </c>
      <c r="G1695" s="4">
        <v>108510</v>
      </c>
      <c r="H1695" s="4">
        <v>3721</v>
      </c>
      <c r="I1695" s="5">
        <v>3.4299999999999997E-2</v>
      </c>
      <c r="J1695" s="2">
        <v>1.41</v>
      </c>
      <c r="K1695" s="6">
        <v>5246.61</v>
      </c>
      <c r="L1695" s="4">
        <v>116</v>
      </c>
      <c r="M1695" s="2">
        <v>45.23</v>
      </c>
      <c r="N1695" s="6">
        <v>23480.01</v>
      </c>
      <c r="O1695" s="6">
        <f t="shared" si="131"/>
        <v>18233.399999999998</v>
      </c>
      <c r="P1695" s="6">
        <f t="shared" si="132"/>
        <v>3.4752726045961104</v>
      </c>
      <c r="Q1695" s="3">
        <v>4.4800000000000004</v>
      </c>
      <c r="R1695" t="str">
        <f t="shared" si="133"/>
        <v>High</v>
      </c>
      <c r="S1695" t="str">
        <f t="shared" si="134"/>
        <v>Valid</v>
      </c>
    </row>
    <row r="1696" spans="1:19" x14ac:dyDescent="0.25">
      <c r="A1696" s="1">
        <v>45363</v>
      </c>
      <c r="B1696" s="1" t="str">
        <f t="shared" si="130"/>
        <v>2024-03</v>
      </c>
      <c r="C1696" t="s">
        <v>28</v>
      </c>
      <c r="D1696" t="s">
        <v>24</v>
      </c>
      <c r="E1696" t="s">
        <v>22</v>
      </c>
      <c r="F1696" t="s">
        <v>27</v>
      </c>
      <c r="G1696" s="4">
        <v>199650</v>
      </c>
      <c r="H1696" s="4">
        <v>4152</v>
      </c>
      <c r="I1696" s="5">
        <v>2.0799999999999999E-2</v>
      </c>
      <c r="J1696" s="2">
        <v>0.78</v>
      </c>
      <c r="K1696" s="6">
        <v>3238.56</v>
      </c>
      <c r="L1696" s="4">
        <v>165</v>
      </c>
      <c r="M1696" s="2">
        <v>19.63</v>
      </c>
      <c r="N1696" s="6">
        <v>10558.75</v>
      </c>
      <c r="O1696" s="6">
        <f t="shared" si="131"/>
        <v>7320.1900000000005</v>
      </c>
      <c r="P1696" s="6">
        <f t="shared" si="132"/>
        <v>2.2603224890074602</v>
      </c>
      <c r="Q1696" s="3">
        <v>3.26</v>
      </c>
      <c r="R1696" t="str">
        <f t="shared" si="133"/>
        <v>High</v>
      </c>
      <c r="S1696" t="str">
        <f t="shared" si="134"/>
        <v>Valid</v>
      </c>
    </row>
    <row r="1697" spans="1:19" x14ac:dyDescent="0.25">
      <c r="A1697" s="1">
        <v>45483</v>
      </c>
      <c r="B1697" s="1" t="str">
        <f t="shared" si="130"/>
        <v>2024-07</v>
      </c>
      <c r="C1697" t="s">
        <v>14</v>
      </c>
      <c r="D1697" t="s">
        <v>24</v>
      </c>
      <c r="E1697" t="s">
        <v>25</v>
      </c>
      <c r="F1697" t="s">
        <v>23</v>
      </c>
      <c r="G1697" s="4">
        <v>73734</v>
      </c>
      <c r="H1697" s="4">
        <v>1990</v>
      </c>
      <c r="I1697" s="5">
        <v>2.7E-2</v>
      </c>
      <c r="J1697" s="2">
        <v>0.82</v>
      </c>
      <c r="K1697" s="6">
        <v>1631.8</v>
      </c>
      <c r="L1697" s="4">
        <v>143</v>
      </c>
      <c r="M1697" s="2">
        <v>11.41</v>
      </c>
      <c r="N1697" s="6">
        <v>16954.02</v>
      </c>
      <c r="O1697" s="6">
        <f t="shared" si="131"/>
        <v>15322.220000000001</v>
      </c>
      <c r="P1697" s="6">
        <f t="shared" si="132"/>
        <v>9.3897659026841538</v>
      </c>
      <c r="Q1697" s="3">
        <v>10.39</v>
      </c>
      <c r="R1697" t="str">
        <f t="shared" si="133"/>
        <v>High</v>
      </c>
      <c r="S1697" t="str">
        <f t="shared" si="134"/>
        <v>Valid</v>
      </c>
    </row>
    <row r="1698" spans="1:19" x14ac:dyDescent="0.25">
      <c r="A1698" s="1">
        <v>45361</v>
      </c>
      <c r="B1698" s="1" t="str">
        <f t="shared" si="130"/>
        <v>2024-03</v>
      </c>
      <c r="C1698" t="s">
        <v>28</v>
      </c>
      <c r="D1698" t="s">
        <v>24</v>
      </c>
      <c r="E1698" t="s">
        <v>30</v>
      </c>
      <c r="F1698" t="s">
        <v>27</v>
      </c>
      <c r="G1698" s="4">
        <v>149532</v>
      </c>
      <c r="H1698" s="4">
        <v>5069</v>
      </c>
      <c r="I1698" s="5">
        <v>3.39E-2</v>
      </c>
      <c r="J1698" s="2">
        <v>2.39</v>
      </c>
      <c r="K1698" s="6">
        <v>12114.91</v>
      </c>
      <c r="L1698" s="4">
        <v>397</v>
      </c>
      <c r="M1698" s="2">
        <v>30.52</v>
      </c>
      <c r="N1698" s="6">
        <v>95392.09</v>
      </c>
      <c r="O1698" s="6">
        <f t="shared" si="131"/>
        <v>83277.179999999993</v>
      </c>
      <c r="P1698" s="6">
        <f t="shared" si="132"/>
        <v>6.8739412839220426</v>
      </c>
      <c r="Q1698" s="3">
        <v>7.87</v>
      </c>
      <c r="R1698" t="str">
        <f t="shared" si="133"/>
        <v>High</v>
      </c>
      <c r="S1698" t="str">
        <f t="shared" si="134"/>
        <v>Valid</v>
      </c>
    </row>
    <row r="1699" spans="1:19" x14ac:dyDescent="0.25">
      <c r="A1699" s="1">
        <v>45318</v>
      </c>
      <c r="B1699" s="1" t="str">
        <f t="shared" si="130"/>
        <v>2024-01</v>
      </c>
      <c r="C1699" t="s">
        <v>14</v>
      </c>
      <c r="D1699" t="s">
        <v>15</v>
      </c>
      <c r="E1699" t="s">
        <v>16</v>
      </c>
      <c r="F1699" t="s">
        <v>31</v>
      </c>
      <c r="G1699" s="4">
        <v>79432</v>
      </c>
      <c r="H1699" s="4">
        <v>4130</v>
      </c>
      <c r="I1699" s="5">
        <v>5.1999999999999998E-2</v>
      </c>
      <c r="J1699" s="2">
        <v>2.29</v>
      </c>
      <c r="K1699" s="6">
        <v>9457.7000000000007</v>
      </c>
      <c r="L1699" s="4">
        <v>311</v>
      </c>
      <c r="M1699" s="2">
        <v>30.41</v>
      </c>
      <c r="N1699" s="6">
        <v>59366.41</v>
      </c>
      <c r="O1699" s="6">
        <f t="shared" si="131"/>
        <v>49908.710000000006</v>
      </c>
      <c r="P1699" s="6">
        <f t="shared" si="132"/>
        <v>5.2770451589709975</v>
      </c>
      <c r="Q1699" s="3">
        <v>6.28</v>
      </c>
      <c r="R1699" t="str">
        <f t="shared" si="133"/>
        <v>High</v>
      </c>
      <c r="S1699" t="str">
        <f t="shared" si="134"/>
        <v>Valid</v>
      </c>
    </row>
    <row r="1700" spans="1:19" x14ac:dyDescent="0.25">
      <c r="A1700" s="1">
        <v>45572</v>
      </c>
      <c r="B1700" s="1" t="str">
        <f t="shared" si="130"/>
        <v>2024-10</v>
      </c>
      <c r="C1700" t="s">
        <v>18</v>
      </c>
      <c r="D1700" t="s">
        <v>29</v>
      </c>
      <c r="E1700" t="s">
        <v>16</v>
      </c>
      <c r="F1700" t="s">
        <v>27</v>
      </c>
      <c r="G1700" s="4">
        <v>192583</v>
      </c>
      <c r="H1700" s="4">
        <v>11285</v>
      </c>
      <c r="I1700" s="5">
        <v>5.8599999999999999E-2</v>
      </c>
      <c r="J1700" s="2">
        <v>1.63</v>
      </c>
      <c r="K1700" s="6">
        <v>18394.55</v>
      </c>
      <c r="L1700" s="4">
        <v>562</v>
      </c>
      <c r="M1700" s="2">
        <v>32.729999999999997</v>
      </c>
      <c r="N1700" s="6">
        <v>124224.31</v>
      </c>
      <c r="O1700" s="6">
        <f t="shared" si="131"/>
        <v>105829.75999999999</v>
      </c>
      <c r="P1700" s="6">
        <f t="shared" si="132"/>
        <v>5.7533215001182416</v>
      </c>
      <c r="Q1700" s="3">
        <v>6.75</v>
      </c>
      <c r="R1700" t="str">
        <f t="shared" si="133"/>
        <v>High</v>
      </c>
      <c r="S1700" t="str">
        <f t="shared" si="134"/>
        <v>Valid</v>
      </c>
    </row>
    <row r="1701" spans="1:19" x14ac:dyDescent="0.25">
      <c r="A1701" s="1">
        <v>45360</v>
      </c>
      <c r="B1701" s="1" t="str">
        <f t="shared" si="130"/>
        <v>2024-03</v>
      </c>
      <c r="C1701" t="s">
        <v>28</v>
      </c>
      <c r="D1701" t="s">
        <v>21</v>
      </c>
      <c r="E1701" t="s">
        <v>25</v>
      </c>
      <c r="F1701" t="s">
        <v>32</v>
      </c>
      <c r="G1701" s="4">
        <v>79266</v>
      </c>
      <c r="H1701" s="4">
        <v>2425</v>
      </c>
      <c r="I1701" s="5">
        <v>3.0599999999999999E-2</v>
      </c>
      <c r="J1701" s="2">
        <v>0.72</v>
      </c>
      <c r="K1701" s="6">
        <v>1746</v>
      </c>
      <c r="L1701" s="4">
        <v>104</v>
      </c>
      <c r="M1701" s="2">
        <v>16.79</v>
      </c>
      <c r="N1701" s="6">
        <v>20287.27</v>
      </c>
      <c r="O1701" s="6">
        <f t="shared" si="131"/>
        <v>18541.27</v>
      </c>
      <c r="P1701" s="6">
        <f t="shared" si="132"/>
        <v>10.619284077892326</v>
      </c>
      <c r="Q1701" s="3">
        <v>11.62</v>
      </c>
      <c r="R1701" t="str">
        <f t="shared" si="133"/>
        <v>High</v>
      </c>
      <c r="S1701" t="str">
        <f t="shared" si="134"/>
        <v>Valid</v>
      </c>
    </row>
    <row r="1702" spans="1:19" x14ac:dyDescent="0.25">
      <c r="A1702" s="1">
        <v>45347</v>
      </c>
      <c r="B1702" s="1" t="str">
        <f t="shared" si="130"/>
        <v>2024-02</v>
      </c>
      <c r="C1702" t="s">
        <v>14</v>
      </c>
      <c r="D1702" t="s">
        <v>21</v>
      </c>
      <c r="E1702" t="s">
        <v>16</v>
      </c>
      <c r="F1702" t="s">
        <v>32</v>
      </c>
      <c r="G1702" s="4">
        <v>33695</v>
      </c>
      <c r="H1702" s="4">
        <v>1277</v>
      </c>
      <c r="I1702" s="5">
        <v>3.7900000000000003E-2</v>
      </c>
      <c r="J1702" s="2">
        <v>2.88</v>
      </c>
      <c r="K1702" s="6">
        <v>3677.76</v>
      </c>
      <c r="L1702" s="4">
        <v>89</v>
      </c>
      <c r="M1702" s="2">
        <v>41.32</v>
      </c>
      <c r="N1702" s="6">
        <v>25041.09</v>
      </c>
      <c r="O1702" s="6">
        <f t="shared" si="131"/>
        <v>21363.33</v>
      </c>
      <c r="P1702" s="6">
        <f t="shared" si="132"/>
        <v>5.8087885016966849</v>
      </c>
      <c r="Q1702" s="3">
        <v>6.81</v>
      </c>
      <c r="R1702" t="str">
        <f t="shared" si="133"/>
        <v>High</v>
      </c>
      <c r="S1702" t="str">
        <f t="shared" si="134"/>
        <v>Valid</v>
      </c>
    </row>
    <row r="1703" spans="1:19" x14ac:dyDescent="0.25">
      <c r="A1703" s="1">
        <v>45370</v>
      </c>
      <c r="B1703" s="1" t="str">
        <f t="shared" si="130"/>
        <v>2024-03</v>
      </c>
      <c r="C1703" t="s">
        <v>18</v>
      </c>
      <c r="D1703" t="s">
        <v>15</v>
      </c>
      <c r="E1703" t="s">
        <v>16</v>
      </c>
      <c r="F1703" t="s">
        <v>31</v>
      </c>
      <c r="G1703" s="4">
        <v>92030</v>
      </c>
      <c r="H1703" s="4">
        <v>6267</v>
      </c>
      <c r="I1703" s="5">
        <v>6.8099999999999994E-2</v>
      </c>
      <c r="J1703" s="2">
        <v>0.57999999999999996</v>
      </c>
      <c r="K1703" s="6">
        <v>3634.86</v>
      </c>
      <c r="L1703" s="4">
        <v>136</v>
      </c>
      <c r="M1703" s="2">
        <v>26.73</v>
      </c>
      <c r="N1703" s="6">
        <v>11204.78</v>
      </c>
      <c r="O1703" s="6">
        <f t="shared" si="131"/>
        <v>7569.92</v>
      </c>
      <c r="P1703" s="6">
        <f t="shared" si="132"/>
        <v>2.0825891506137788</v>
      </c>
      <c r="Q1703" s="3">
        <v>3.08</v>
      </c>
      <c r="R1703" t="str">
        <f t="shared" si="133"/>
        <v>High</v>
      </c>
      <c r="S1703" t="str">
        <f t="shared" si="134"/>
        <v>Valid</v>
      </c>
    </row>
    <row r="1704" spans="1:19" x14ac:dyDescent="0.25">
      <c r="A1704" s="1">
        <v>45598</v>
      </c>
      <c r="B1704" s="1" t="str">
        <f t="shared" si="130"/>
        <v>2024-11</v>
      </c>
      <c r="C1704" t="s">
        <v>14</v>
      </c>
      <c r="D1704" t="s">
        <v>15</v>
      </c>
      <c r="E1704" t="s">
        <v>22</v>
      </c>
      <c r="F1704" t="s">
        <v>31</v>
      </c>
      <c r="G1704" s="4">
        <v>26259</v>
      </c>
      <c r="H1704" s="4">
        <v>669</v>
      </c>
      <c r="I1704" s="5">
        <v>2.5499999999999998E-2</v>
      </c>
      <c r="J1704" s="2">
        <v>1.41</v>
      </c>
      <c r="K1704" s="6">
        <v>943.29</v>
      </c>
      <c r="L1704" s="4">
        <v>22</v>
      </c>
      <c r="M1704" s="2">
        <v>42.88</v>
      </c>
      <c r="N1704" s="6">
        <v>2731.41</v>
      </c>
      <c r="O1704" s="6">
        <f t="shared" si="131"/>
        <v>1788.12</v>
      </c>
      <c r="P1704" s="6">
        <f t="shared" si="132"/>
        <v>1.8956206468848391</v>
      </c>
      <c r="Q1704" s="3">
        <v>2.9</v>
      </c>
      <c r="R1704" t="str">
        <f t="shared" si="133"/>
        <v>Medium</v>
      </c>
      <c r="S1704" t="str">
        <f t="shared" si="134"/>
        <v>Valid</v>
      </c>
    </row>
    <row r="1705" spans="1:19" x14ac:dyDescent="0.25">
      <c r="A1705" s="1">
        <v>45397</v>
      </c>
      <c r="B1705" s="1" t="str">
        <f t="shared" si="130"/>
        <v>2024-04</v>
      </c>
      <c r="C1705" t="s">
        <v>14</v>
      </c>
      <c r="D1705" t="s">
        <v>21</v>
      </c>
      <c r="E1705" t="s">
        <v>16</v>
      </c>
      <c r="F1705" t="s">
        <v>20</v>
      </c>
      <c r="G1705" s="4">
        <v>99447</v>
      </c>
      <c r="H1705" s="4">
        <v>5917</v>
      </c>
      <c r="I1705" s="5">
        <v>5.9499999999999997E-2</v>
      </c>
      <c r="J1705" s="2">
        <v>1.05</v>
      </c>
      <c r="K1705" s="6">
        <v>6212.85</v>
      </c>
      <c r="L1705" s="4">
        <v>195</v>
      </c>
      <c r="M1705" s="2">
        <v>31.86</v>
      </c>
      <c r="N1705" s="6">
        <v>28481.71</v>
      </c>
      <c r="O1705" s="6">
        <f t="shared" si="131"/>
        <v>22268.86</v>
      </c>
      <c r="P1705" s="6">
        <f t="shared" si="132"/>
        <v>3.5843228148112378</v>
      </c>
      <c r="Q1705" s="3">
        <v>4.58</v>
      </c>
      <c r="R1705" t="str">
        <f t="shared" si="133"/>
        <v>High</v>
      </c>
      <c r="S1705" t="str">
        <f t="shared" si="134"/>
        <v>Valid</v>
      </c>
    </row>
    <row r="1706" spans="1:19" x14ac:dyDescent="0.25">
      <c r="A1706" s="1">
        <v>45613</v>
      </c>
      <c r="B1706" s="1" t="str">
        <f t="shared" si="130"/>
        <v>2024-11</v>
      </c>
      <c r="C1706" t="s">
        <v>28</v>
      </c>
      <c r="D1706" t="s">
        <v>24</v>
      </c>
      <c r="E1706" t="s">
        <v>22</v>
      </c>
      <c r="F1706" t="s">
        <v>17</v>
      </c>
      <c r="G1706" s="4">
        <v>170910</v>
      </c>
      <c r="H1706" s="4">
        <v>3315</v>
      </c>
      <c r="I1706" s="5">
        <v>1.9400000000000001E-2</v>
      </c>
      <c r="J1706" s="2">
        <v>0.5</v>
      </c>
      <c r="K1706" s="6">
        <v>1657.5</v>
      </c>
      <c r="L1706" s="4">
        <v>167</v>
      </c>
      <c r="M1706" s="2">
        <v>9.93</v>
      </c>
      <c r="N1706" s="6">
        <v>41334.160000000003</v>
      </c>
      <c r="O1706" s="6">
        <f t="shared" si="131"/>
        <v>39676.660000000003</v>
      </c>
      <c r="P1706" s="6">
        <f t="shared" si="132"/>
        <v>23.937653092006034</v>
      </c>
      <c r="Q1706" s="3">
        <v>24.94</v>
      </c>
      <c r="R1706" t="str">
        <f t="shared" si="133"/>
        <v>High</v>
      </c>
      <c r="S1706" t="str">
        <f t="shared" si="134"/>
        <v>Valid</v>
      </c>
    </row>
    <row r="1707" spans="1:19" x14ac:dyDescent="0.25">
      <c r="A1707" s="1">
        <v>45355</v>
      </c>
      <c r="B1707" s="1" t="str">
        <f t="shared" si="130"/>
        <v>2024-03</v>
      </c>
      <c r="C1707" t="s">
        <v>28</v>
      </c>
      <c r="D1707" t="s">
        <v>21</v>
      </c>
      <c r="E1707" t="s">
        <v>22</v>
      </c>
      <c r="F1707" t="s">
        <v>23</v>
      </c>
      <c r="G1707" s="4">
        <v>180259</v>
      </c>
      <c r="H1707" s="4">
        <v>2072</v>
      </c>
      <c r="I1707" s="5">
        <v>1.15E-2</v>
      </c>
      <c r="J1707" s="2">
        <v>1.37</v>
      </c>
      <c r="K1707" s="6">
        <v>2838.64</v>
      </c>
      <c r="L1707" s="4">
        <v>136</v>
      </c>
      <c r="M1707" s="2">
        <v>20.87</v>
      </c>
      <c r="N1707" s="6">
        <v>10032.66</v>
      </c>
      <c r="O1707" s="6">
        <f t="shared" si="131"/>
        <v>7194.02</v>
      </c>
      <c r="P1707" s="6">
        <f t="shared" si="132"/>
        <v>2.5343192514725366</v>
      </c>
      <c r="Q1707" s="3">
        <v>3.53</v>
      </c>
      <c r="R1707" t="str">
        <f t="shared" si="133"/>
        <v>High</v>
      </c>
      <c r="S1707" t="str">
        <f t="shared" si="134"/>
        <v>Valid</v>
      </c>
    </row>
    <row r="1708" spans="1:19" x14ac:dyDescent="0.25">
      <c r="A1708" s="1">
        <v>45345</v>
      </c>
      <c r="B1708" s="1" t="str">
        <f t="shared" si="130"/>
        <v>2024-02</v>
      </c>
      <c r="C1708" t="s">
        <v>28</v>
      </c>
      <c r="D1708" t="s">
        <v>21</v>
      </c>
      <c r="E1708" t="s">
        <v>22</v>
      </c>
      <c r="F1708" t="s">
        <v>17</v>
      </c>
      <c r="G1708" s="4">
        <v>146964</v>
      </c>
      <c r="H1708" s="4">
        <v>5246</v>
      </c>
      <c r="I1708" s="5">
        <v>3.5700000000000003E-2</v>
      </c>
      <c r="J1708" s="2">
        <v>1.99</v>
      </c>
      <c r="K1708" s="6">
        <v>10439.540000000001</v>
      </c>
      <c r="L1708" s="4">
        <v>131</v>
      </c>
      <c r="M1708" s="2">
        <v>79.69</v>
      </c>
      <c r="N1708" s="6">
        <v>7261.59</v>
      </c>
      <c r="O1708" s="6">
        <f t="shared" si="131"/>
        <v>-3177.9500000000007</v>
      </c>
      <c r="P1708" s="6">
        <f t="shared" si="132"/>
        <v>-0.30441475390678135</v>
      </c>
      <c r="Q1708" s="3">
        <v>0.7</v>
      </c>
      <c r="R1708" t="str">
        <f t="shared" si="133"/>
        <v>Low</v>
      </c>
      <c r="S1708" t="str">
        <f t="shared" si="134"/>
        <v>Valid</v>
      </c>
    </row>
    <row r="1709" spans="1:19" x14ac:dyDescent="0.25">
      <c r="A1709" s="1">
        <v>45545</v>
      </c>
      <c r="B1709" s="1" t="str">
        <f t="shared" si="130"/>
        <v>2024-09</v>
      </c>
      <c r="C1709" t="s">
        <v>28</v>
      </c>
      <c r="D1709" t="s">
        <v>29</v>
      </c>
      <c r="E1709" t="s">
        <v>19</v>
      </c>
      <c r="F1709" t="s">
        <v>26</v>
      </c>
      <c r="G1709" s="4">
        <v>153057</v>
      </c>
      <c r="H1709" s="4">
        <v>2969</v>
      </c>
      <c r="I1709" s="5">
        <v>1.9400000000000001E-2</v>
      </c>
      <c r="J1709" s="2">
        <v>2.2400000000000002</v>
      </c>
      <c r="K1709" s="6">
        <v>6650.56</v>
      </c>
      <c r="L1709" s="4">
        <v>148</v>
      </c>
      <c r="M1709" s="2">
        <v>44.94</v>
      </c>
      <c r="N1709" s="6">
        <v>28216.02</v>
      </c>
      <c r="O1709" s="6">
        <f t="shared" si="131"/>
        <v>21565.46</v>
      </c>
      <c r="P1709" s="6">
        <f t="shared" si="132"/>
        <v>3.24265325025261</v>
      </c>
      <c r="Q1709" s="3">
        <v>4.24</v>
      </c>
      <c r="R1709" t="str">
        <f t="shared" si="133"/>
        <v>High</v>
      </c>
      <c r="S1709" t="str">
        <f t="shared" si="134"/>
        <v>Valid</v>
      </c>
    </row>
    <row r="1710" spans="1:19" x14ac:dyDescent="0.25">
      <c r="A1710" s="1">
        <v>45634</v>
      </c>
      <c r="B1710" s="1" t="str">
        <f t="shared" si="130"/>
        <v>2024-12</v>
      </c>
      <c r="C1710" t="s">
        <v>14</v>
      </c>
      <c r="D1710" t="s">
        <v>15</v>
      </c>
      <c r="E1710" t="s">
        <v>25</v>
      </c>
      <c r="F1710" t="s">
        <v>20</v>
      </c>
      <c r="G1710" s="4">
        <v>78635</v>
      </c>
      <c r="H1710" s="4">
        <v>2587</v>
      </c>
      <c r="I1710" s="5">
        <v>3.2899999999999999E-2</v>
      </c>
      <c r="J1710" s="2">
        <v>2.35</v>
      </c>
      <c r="K1710" s="6">
        <v>6079.45</v>
      </c>
      <c r="L1710" s="4">
        <v>106</v>
      </c>
      <c r="M1710" s="2">
        <v>57.35</v>
      </c>
      <c r="N1710" s="6">
        <v>21303.72</v>
      </c>
      <c r="O1710" s="6">
        <f t="shared" si="131"/>
        <v>15224.27</v>
      </c>
      <c r="P1710" s="6">
        <f t="shared" si="132"/>
        <v>2.5042183092220514</v>
      </c>
      <c r="Q1710" s="3">
        <v>3.5</v>
      </c>
      <c r="R1710" t="str">
        <f t="shared" si="133"/>
        <v>High</v>
      </c>
      <c r="S1710" t="str">
        <f t="shared" si="134"/>
        <v>Valid</v>
      </c>
    </row>
    <row r="1711" spans="1:19" x14ac:dyDescent="0.25">
      <c r="A1711" s="1">
        <v>45608</v>
      </c>
      <c r="B1711" s="1" t="str">
        <f t="shared" si="130"/>
        <v>2024-11</v>
      </c>
      <c r="C1711" t="s">
        <v>28</v>
      </c>
      <c r="D1711" t="s">
        <v>29</v>
      </c>
      <c r="E1711" t="s">
        <v>22</v>
      </c>
      <c r="F1711" t="s">
        <v>17</v>
      </c>
      <c r="G1711" s="4">
        <v>54031</v>
      </c>
      <c r="H1711" s="4">
        <v>2215</v>
      </c>
      <c r="I1711" s="5">
        <v>4.1000000000000002E-2</v>
      </c>
      <c r="J1711" s="2">
        <v>1.66</v>
      </c>
      <c r="K1711" s="6">
        <v>3676.9</v>
      </c>
      <c r="L1711" s="4">
        <v>157</v>
      </c>
      <c r="M1711" s="2">
        <v>23.42</v>
      </c>
      <c r="N1711" s="6">
        <v>22778.62</v>
      </c>
      <c r="O1711" s="6">
        <f t="shared" si="131"/>
        <v>19101.719999999998</v>
      </c>
      <c r="P1711" s="6">
        <f t="shared" si="132"/>
        <v>5.1950610568685569</v>
      </c>
      <c r="Q1711" s="3">
        <v>6.2</v>
      </c>
      <c r="R1711" t="str">
        <f t="shared" si="133"/>
        <v>High</v>
      </c>
      <c r="S1711" t="str">
        <f t="shared" si="134"/>
        <v>Valid</v>
      </c>
    </row>
    <row r="1712" spans="1:19" x14ac:dyDescent="0.25">
      <c r="A1712" s="1">
        <v>45552</v>
      </c>
      <c r="B1712" s="1" t="str">
        <f t="shared" si="130"/>
        <v>2024-09</v>
      </c>
      <c r="C1712" t="s">
        <v>14</v>
      </c>
      <c r="D1712" t="s">
        <v>21</v>
      </c>
      <c r="E1712" t="s">
        <v>25</v>
      </c>
      <c r="F1712" t="s">
        <v>26</v>
      </c>
      <c r="G1712" s="4">
        <v>162743</v>
      </c>
      <c r="H1712" s="4">
        <v>8723</v>
      </c>
      <c r="I1712" s="5">
        <v>5.3600000000000002E-2</v>
      </c>
      <c r="J1712" s="2">
        <v>1.77</v>
      </c>
      <c r="K1712" s="6">
        <v>15439.71</v>
      </c>
      <c r="L1712" s="4">
        <v>106</v>
      </c>
      <c r="M1712" s="2">
        <v>145.66</v>
      </c>
      <c r="N1712" s="6">
        <v>20056.78</v>
      </c>
      <c r="O1712" s="6">
        <f t="shared" si="131"/>
        <v>4617.07</v>
      </c>
      <c r="P1712" s="6">
        <f t="shared" si="132"/>
        <v>0.2990386477466222</v>
      </c>
      <c r="Q1712" s="3">
        <v>1.3</v>
      </c>
      <c r="R1712" t="str">
        <f t="shared" si="133"/>
        <v>Medium</v>
      </c>
      <c r="S1712" t="str">
        <f t="shared" si="134"/>
        <v>Valid</v>
      </c>
    </row>
    <row r="1713" spans="1:19" x14ac:dyDescent="0.25">
      <c r="A1713" s="1">
        <v>45508</v>
      </c>
      <c r="B1713" s="1" t="str">
        <f t="shared" si="130"/>
        <v>2024-08</v>
      </c>
      <c r="C1713" t="s">
        <v>14</v>
      </c>
      <c r="D1713" t="s">
        <v>29</v>
      </c>
      <c r="E1713" t="s">
        <v>22</v>
      </c>
      <c r="F1713" t="s">
        <v>27</v>
      </c>
      <c r="G1713" s="4">
        <v>144494</v>
      </c>
      <c r="H1713" s="4">
        <v>8409</v>
      </c>
      <c r="I1713" s="5">
        <v>5.8200000000000002E-2</v>
      </c>
      <c r="J1713" s="2">
        <v>3.04</v>
      </c>
      <c r="K1713" s="6">
        <v>25563.360000000001</v>
      </c>
      <c r="L1713" s="4">
        <v>93</v>
      </c>
      <c r="M1713" s="2">
        <v>274.87</v>
      </c>
      <c r="N1713" s="6">
        <v>20233.22</v>
      </c>
      <c r="O1713" s="6">
        <f t="shared" si="131"/>
        <v>-5330.1399999999994</v>
      </c>
      <c r="P1713" s="6">
        <f t="shared" si="132"/>
        <v>-0.20850701942154706</v>
      </c>
      <c r="Q1713" s="3">
        <v>0.79</v>
      </c>
      <c r="R1713" t="str">
        <f t="shared" si="133"/>
        <v>Low</v>
      </c>
      <c r="S1713" t="str">
        <f t="shared" si="134"/>
        <v>Valid</v>
      </c>
    </row>
    <row r="1714" spans="1:19" x14ac:dyDescent="0.25">
      <c r="A1714" s="1">
        <v>45605</v>
      </c>
      <c r="B1714" s="1" t="str">
        <f t="shared" si="130"/>
        <v>2024-11</v>
      </c>
      <c r="C1714" t="s">
        <v>14</v>
      </c>
      <c r="D1714" t="s">
        <v>15</v>
      </c>
      <c r="E1714" t="s">
        <v>16</v>
      </c>
      <c r="F1714" t="s">
        <v>32</v>
      </c>
      <c r="G1714" s="4">
        <v>112549</v>
      </c>
      <c r="H1714" s="4">
        <v>6640</v>
      </c>
      <c r="I1714" s="5">
        <v>5.8999999999999997E-2</v>
      </c>
      <c r="J1714" s="2">
        <v>3.67</v>
      </c>
      <c r="K1714" s="6">
        <v>24368.799999999999</v>
      </c>
      <c r="L1714" s="4">
        <v>374</v>
      </c>
      <c r="M1714" s="2">
        <v>65.16</v>
      </c>
      <c r="N1714" s="6">
        <v>21696.69</v>
      </c>
      <c r="O1714" s="6">
        <f t="shared" si="131"/>
        <v>-2672.1100000000006</v>
      </c>
      <c r="P1714" s="6">
        <f t="shared" si="132"/>
        <v>-0.1096529168444897</v>
      </c>
      <c r="Q1714" s="3">
        <v>0.89</v>
      </c>
      <c r="R1714" t="str">
        <f t="shared" si="133"/>
        <v>Low</v>
      </c>
      <c r="S1714" t="str">
        <f t="shared" si="134"/>
        <v>Valid</v>
      </c>
    </row>
    <row r="1715" spans="1:19" x14ac:dyDescent="0.25">
      <c r="A1715" s="1">
        <v>45649</v>
      </c>
      <c r="B1715" s="1" t="str">
        <f t="shared" si="130"/>
        <v>2024-12</v>
      </c>
      <c r="C1715" t="s">
        <v>14</v>
      </c>
      <c r="D1715" t="s">
        <v>15</v>
      </c>
      <c r="E1715" t="s">
        <v>30</v>
      </c>
      <c r="F1715" t="s">
        <v>23</v>
      </c>
      <c r="G1715" s="4">
        <v>148994</v>
      </c>
      <c r="H1715" s="4">
        <v>7509</v>
      </c>
      <c r="I1715" s="5">
        <v>5.04E-2</v>
      </c>
      <c r="J1715" s="2">
        <v>3.46</v>
      </c>
      <c r="K1715" s="6">
        <v>25981.14</v>
      </c>
      <c r="L1715" s="4">
        <v>588</v>
      </c>
      <c r="M1715" s="2">
        <v>44.19</v>
      </c>
      <c r="N1715" s="6">
        <v>82753.509999999995</v>
      </c>
      <c r="O1715" s="6">
        <f t="shared" si="131"/>
        <v>56772.369999999995</v>
      </c>
      <c r="P1715" s="6">
        <f t="shared" si="132"/>
        <v>2.1851377576195654</v>
      </c>
      <c r="Q1715" s="3">
        <v>3.19</v>
      </c>
      <c r="R1715" t="str">
        <f t="shared" si="133"/>
        <v>High</v>
      </c>
      <c r="S1715" t="str">
        <f t="shared" si="134"/>
        <v>Valid</v>
      </c>
    </row>
    <row r="1716" spans="1:19" x14ac:dyDescent="0.25">
      <c r="A1716" s="1">
        <v>45620</v>
      </c>
      <c r="B1716" s="1" t="str">
        <f t="shared" si="130"/>
        <v>2024-11</v>
      </c>
      <c r="C1716" t="s">
        <v>14</v>
      </c>
      <c r="D1716" t="s">
        <v>29</v>
      </c>
      <c r="E1716" t="s">
        <v>16</v>
      </c>
      <c r="F1716" t="s">
        <v>27</v>
      </c>
      <c r="G1716" s="4">
        <v>87373</v>
      </c>
      <c r="H1716" s="4">
        <v>3643</v>
      </c>
      <c r="I1716" s="5">
        <v>4.1700000000000001E-2</v>
      </c>
      <c r="J1716" s="2">
        <v>1.05</v>
      </c>
      <c r="K1716" s="6">
        <v>3825.15</v>
      </c>
      <c r="L1716" s="4">
        <v>289</v>
      </c>
      <c r="M1716" s="2">
        <v>13.24</v>
      </c>
      <c r="N1716" s="6">
        <v>35842.03</v>
      </c>
      <c r="O1716" s="6">
        <f t="shared" si="131"/>
        <v>32016.879999999997</v>
      </c>
      <c r="P1716" s="6">
        <f t="shared" si="132"/>
        <v>8.3700979046573334</v>
      </c>
      <c r="Q1716" s="3">
        <v>9.3699999999999992</v>
      </c>
      <c r="R1716" t="str">
        <f t="shared" si="133"/>
        <v>High</v>
      </c>
      <c r="S1716" t="str">
        <f t="shared" si="134"/>
        <v>Valid</v>
      </c>
    </row>
    <row r="1717" spans="1:19" x14ac:dyDescent="0.25">
      <c r="A1717" s="1">
        <v>45383</v>
      </c>
      <c r="B1717" s="1" t="str">
        <f t="shared" si="130"/>
        <v>2024-04</v>
      </c>
      <c r="C1717" t="s">
        <v>18</v>
      </c>
      <c r="D1717" t="s">
        <v>24</v>
      </c>
      <c r="E1717" t="s">
        <v>30</v>
      </c>
      <c r="F1717" t="s">
        <v>32</v>
      </c>
      <c r="G1717" s="4">
        <v>41200</v>
      </c>
      <c r="H1717" s="4">
        <v>1763</v>
      </c>
      <c r="I1717" s="5">
        <v>4.2799999999999998E-2</v>
      </c>
      <c r="J1717" s="2">
        <v>1.78</v>
      </c>
      <c r="K1717" s="6">
        <v>3138.14</v>
      </c>
      <c r="L1717" s="4">
        <v>101</v>
      </c>
      <c r="M1717" s="2">
        <v>31.07</v>
      </c>
      <c r="N1717" s="6">
        <v>27614.2</v>
      </c>
      <c r="O1717" s="6">
        <f t="shared" si="131"/>
        <v>24476.06</v>
      </c>
      <c r="P1717" s="6">
        <f t="shared" si="132"/>
        <v>7.7995436787396359</v>
      </c>
      <c r="Q1717" s="3">
        <v>8.8000000000000007</v>
      </c>
      <c r="R1717" t="str">
        <f t="shared" si="133"/>
        <v>High</v>
      </c>
      <c r="S1717" t="str">
        <f t="shared" si="134"/>
        <v>Valid</v>
      </c>
    </row>
    <row r="1718" spans="1:19" x14ac:dyDescent="0.25">
      <c r="A1718" s="1">
        <v>45649</v>
      </c>
      <c r="B1718" s="1" t="str">
        <f t="shared" si="130"/>
        <v>2024-12</v>
      </c>
      <c r="C1718" t="s">
        <v>14</v>
      </c>
      <c r="D1718" t="s">
        <v>15</v>
      </c>
      <c r="E1718" t="s">
        <v>16</v>
      </c>
      <c r="F1718" t="s">
        <v>31</v>
      </c>
      <c r="G1718" s="4">
        <v>51986</v>
      </c>
      <c r="H1718" s="4">
        <v>1996</v>
      </c>
      <c r="I1718" s="5">
        <v>3.8399999999999997E-2</v>
      </c>
      <c r="J1718" s="2">
        <v>1.53</v>
      </c>
      <c r="K1718" s="6">
        <v>3053.88</v>
      </c>
      <c r="L1718" s="4">
        <v>82</v>
      </c>
      <c r="M1718" s="2">
        <v>37.24</v>
      </c>
      <c r="N1718" s="6">
        <v>20819.66</v>
      </c>
      <c r="O1718" s="6">
        <f t="shared" si="131"/>
        <v>17765.78</v>
      </c>
      <c r="P1718" s="6">
        <f t="shared" si="132"/>
        <v>5.8174453482127646</v>
      </c>
      <c r="Q1718" s="3">
        <v>6.82</v>
      </c>
      <c r="R1718" t="str">
        <f t="shared" si="133"/>
        <v>High</v>
      </c>
      <c r="S1718" t="str">
        <f t="shared" si="134"/>
        <v>Valid</v>
      </c>
    </row>
    <row r="1719" spans="1:19" x14ac:dyDescent="0.25">
      <c r="A1719" s="1">
        <v>45580</v>
      </c>
      <c r="B1719" s="1" t="str">
        <f t="shared" si="130"/>
        <v>2024-10</v>
      </c>
      <c r="C1719" t="s">
        <v>28</v>
      </c>
      <c r="D1719" t="s">
        <v>15</v>
      </c>
      <c r="E1719" t="s">
        <v>16</v>
      </c>
      <c r="F1719" t="s">
        <v>26</v>
      </c>
      <c r="G1719" s="4">
        <v>190392</v>
      </c>
      <c r="H1719" s="4">
        <v>6016</v>
      </c>
      <c r="I1719" s="5">
        <v>3.1600000000000003E-2</v>
      </c>
      <c r="J1719" s="2">
        <v>2.29</v>
      </c>
      <c r="K1719" s="6">
        <v>13776.64</v>
      </c>
      <c r="L1719" s="4">
        <v>165</v>
      </c>
      <c r="M1719" s="2">
        <v>83.49</v>
      </c>
      <c r="N1719" s="6">
        <v>35908.75</v>
      </c>
      <c r="O1719" s="6">
        <f t="shared" si="131"/>
        <v>22132.11</v>
      </c>
      <c r="P1719" s="6">
        <f t="shared" si="132"/>
        <v>1.6064954880144942</v>
      </c>
      <c r="Q1719" s="3">
        <v>2.61</v>
      </c>
      <c r="R1719" t="str">
        <f t="shared" si="133"/>
        <v>Medium</v>
      </c>
      <c r="S1719" t="str">
        <f t="shared" si="134"/>
        <v>Valid</v>
      </c>
    </row>
    <row r="1720" spans="1:19" x14ac:dyDescent="0.25">
      <c r="A1720" s="1">
        <v>45632</v>
      </c>
      <c r="B1720" s="1" t="str">
        <f t="shared" si="130"/>
        <v>2024-12</v>
      </c>
      <c r="C1720" t="s">
        <v>18</v>
      </c>
      <c r="D1720" t="s">
        <v>24</v>
      </c>
      <c r="E1720" t="s">
        <v>30</v>
      </c>
      <c r="F1720" t="s">
        <v>26</v>
      </c>
      <c r="G1720" s="4">
        <v>137817</v>
      </c>
      <c r="H1720" s="4">
        <v>8654</v>
      </c>
      <c r="I1720" s="5">
        <v>6.2799999999999995E-2</v>
      </c>
      <c r="J1720" s="2">
        <v>1.52</v>
      </c>
      <c r="K1720" s="6">
        <v>13154.08</v>
      </c>
      <c r="L1720" s="4">
        <v>392</v>
      </c>
      <c r="M1720" s="2">
        <v>33.56</v>
      </c>
      <c r="N1720" s="6">
        <v>54000.95</v>
      </c>
      <c r="O1720" s="6">
        <f t="shared" si="131"/>
        <v>40846.869999999995</v>
      </c>
      <c r="P1720" s="6">
        <f t="shared" si="132"/>
        <v>3.1052623976743332</v>
      </c>
      <c r="Q1720" s="3">
        <v>4.1100000000000003</v>
      </c>
      <c r="R1720" t="str">
        <f t="shared" si="133"/>
        <v>High</v>
      </c>
      <c r="S1720" t="str">
        <f t="shared" si="134"/>
        <v>Valid</v>
      </c>
    </row>
    <row r="1721" spans="1:19" x14ac:dyDescent="0.25">
      <c r="A1721" s="1">
        <v>45311</v>
      </c>
      <c r="B1721" s="1" t="str">
        <f t="shared" si="130"/>
        <v>2024-01</v>
      </c>
      <c r="C1721" t="s">
        <v>18</v>
      </c>
      <c r="D1721" t="s">
        <v>21</v>
      </c>
      <c r="E1721" t="s">
        <v>16</v>
      </c>
      <c r="F1721" t="s">
        <v>23</v>
      </c>
      <c r="G1721" s="4">
        <v>153145</v>
      </c>
      <c r="H1721" s="4">
        <v>7197</v>
      </c>
      <c r="I1721" s="5">
        <v>4.7E-2</v>
      </c>
      <c r="J1721" s="2">
        <v>1.02</v>
      </c>
      <c r="K1721" s="6">
        <v>7340.94</v>
      </c>
      <c r="L1721" s="4">
        <v>89</v>
      </c>
      <c r="M1721" s="2">
        <v>82.48</v>
      </c>
      <c r="N1721" s="6">
        <v>6214.05</v>
      </c>
      <c r="O1721" s="6">
        <f t="shared" si="131"/>
        <v>-1126.8899999999994</v>
      </c>
      <c r="P1721" s="6">
        <f t="shared" si="132"/>
        <v>-0.15350758894637465</v>
      </c>
      <c r="Q1721" s="3">
        <v>0.85</v>
      </c>
      <c r="R1721" t="str">
        <f t="shared" si="133"/>
        <v>Low</v>
      </c>
      <c r="S1721" t="str">
        <f t="shared" si="134"/>
        <v>Valid</v>
      </c>
    </row>
    <row r="1722" spans="1:19" x14ac:dyDescent="0.25">
      <c r="A1722" s="1">
        <v>45358</v>
      </c>
      <c r="B1722" s="1" t="str">
        <f t="shared" si="130"/>
        <v>2024-03</v>
      </c>
      <c r="C1722" t="s">
        <v>14</v>
      </c>
      <c r="D1722" t="s">
        <v>24</v>
      </c>
      <c r="E1722" t="s">
        <v>30</v>
      </c>
      <c r="F1722" t="s">
        <v>23</v>
      </c>
      <c r="G1722" s="4">
        <v>20718</v>
      </c>
      <c r="H1722" s="4">
        <v>426</v>
      </c>
      <c r="I1722" s="5">
        <v>2.06E-2</v>
      </c>
      <c r="J1722" s="2">
        <v>2.65</v>
      </c>
      <c r="K1722" s="6">
        <v>1128.9000000000001</v>
      </c>
      <c r="L1722" s="4">
        <v>22</v>
      </c>
      <c r="M1722" s="2">
        <v>51.31</v>
      </c>
      <c r="N1722" s="6">
        <v>1505.14</v>
      </c>
      <c r="O1722" s="6">
        <f t="shared" si="131"/>
        <v>376.24</v>
      </c>
      <c r="P1722" s="6">
        <f t="shared" si="132"/>
        <v>0.33328018425015499</v>
      </c>
      <c r="Q1722" s="3">
        <v>1.33</v>
      </c>
      <c r="R1722" t="str">
        <f t="shared" si="133"/>
        <v>Medium</v>
      </c>
      <c r="S1722" t="str">
        <f t="shared" si="134"/>
        <v>Valid</v>
      </c>
    </row>
    <row r="1723" spans="1:19" x14ac:dyDescent="0.25">
      <c r="A1723" s="1">
        <v>45313</v>
      </c>
      <c r="B1723" s="1" t="str">
        <f t="shared" si="130"/>
        <v>2024-01</v>
      </c>
      <c r="C1723" t="s">
        <v>18</v>
      </c>
      <c r="D1723" t="s">
        <v>24</v>
      </c>
      <c r="E1723" t="s">
        <v>16</v>
      </c>
      <c r="F1723" t="s">
        <v>26</v>
      </c>
      <c r="G1723" s="4">
        <v>5059</v>
      </c>
      <c r="H1723" s="4">
        <v>415</v>
      </c>
      <c r="I1723" s="5">
        <v>8.2199999999999995E-2</v>
      </c>
      <c r="J1723" s="2">
        <v>0.73</v>
      </c>
      <c r="K1723" s="6">
        <v>302.95</v>
      </c>
      <c r="L1723" s="4">
        <v>4</v>
      </c>
      <c r="M1723" s="2">
        <v>75.739999999999995</v>
      </c>
      <c r="N1723" s="6">
        <v>798.87</v>
      </c>
      <c r="O1723" s="6">
        <f t="shared" si="131"/>
        <v>495.92</v>
      </c>
      <c r="P1723" s="6">
        <f t="shared" si="132"/>
        <v>1.636969796996204</v>
      </c>
      <c r="Q1723" s="3">
        <v>2.64</v>
      </c>
      <c r="R1723" t="str">
        <f t="shared" si="133"/>
        <v>Medium</v>
      </c>
      <c r="S1723" t="str">
        <f t="shared" si="134"/>
        <v>Valid</v>
      </c>
    </row>
    <row r="1724" spans="1:19" x14ac:dyDescent="0.25">
      <c r="A1724" s="1">
        <v>45350</v>
      </c>
      <c r="B1724" s="1" t="str">
        <f t="shared" si="130"/>
        <v>2024-02</v>
      </c>
      <c r="C1724" t="s">
        <v>18</v>
      </c>
      <c r="D1724" t="s">
        <v>15</v>
      </c>
      <c r="E1724" t="s">
        <v>25</v>
      </c>
      <c r="F1724" t="s">
        <v>23</v>
      </c>
      <c r="G1724" s="4">
        <v>96045</v>
      </c>
      <c r="H1724" s="4">
        <v>5820</v>
      </c>
      <c r="I1724" s="5">
        <v>6.0600000000000001E-2</v>
      </c>
      <c r="J1724" s="2">
        <v>0.31</v>
      </c>
      <c r="K1724" s="6">
        <v>1804.2</v>
      </c>
      <c r="L1724" s="4">
        <v>235</v>
      </c>
      <c r="M1724" s="2">
        <v>7.68</v>
      </c>
      <c r="N1724" s="6">
        <v>47063.54</v>
      </c>
      <c r="O1724" s="6">
        <f t="shared" si="131"/>
        <v>45259.340000000004</v>
      </c>
      <c r="P1724" s="6">
        <f t="shared" si="132"/>
        <v>25.085544839818205</v>
      </c>
      <c r="Q1724" s="3">
        <v>26.09</v>
      </c>
      <c r="R1724" t="str">
        <f t="shared" si="133"/>
        <v>High</v>
      </c>
      <c r="S1724" t="str">
        <f t="shared" si="134"/>
        <v>Valid</v>
      </c>
    </row>
    <row r="1725" spans="1:19" x14ac:dyDescent="0.25">
      <c r="A1725" s="1">
        <v>45431</v>
      </c>
      <c r="B1725" s="1" t="str">
        <f t="shared" si="130"/>
        <v>2024-05</v>
      </c>
      <c r="C1725" t="s">
        <v>14</v>
      </c>
      <c r="D1725" t="s">
        <v>29</v>
      </c>
      <c r="E1725" t="s">
        <v>30</v>
      </c>
      <c r="F1725" t="s">
        <v>17</v>
      </c>
      <c r="G1725" s="4">
        <v>12644</v>
      </c>
      <c r="H1725" s="4">
        <v>572</v>
      </c>
      <c r="I1725" s="5">
        <v>4.53E-2</v>
      </c>
      <c r="J1725" s="2">
        <v>2.2200000000000002</v>
      </c>
      <c r="K1725" s="6">
        <v>1269.8399999999999</v>
      </c>
      <c r="L1725" s="4">
        <v>36</v>
      </c>
      <c r="M1725" s="2">
        <v>35.270000000000003</v>
      </c>
      <c r="N1725" s="6">
        <v>7362.94</v>
      </c>
      <c r="O1725" s="6">
        <f t="shared" si="131"/>
        <v>6093.0999999999995</v>
      </c>
      <c r="P1725" s="6">
        <f t="shared" si="132"/>
        <v>4.7983210483210481</v>
      </c>
      <c r="Q1725" s="3">
        <v>5.8</v>
      </c>
      <c r="R1725" t="str">
        <f t="shared" si="133"/>
        <v>High</v>
      </c>
      <c r="S1725" t="str">
        <f t="shared" si="134"/>
        <v>Valid</v>
      </c>
    </row>
    <row r="1726" spans="1:19" x14ac:dyDescent="0.25">
      <c r="A1726" s="1">
        <v>45489</v>
      </c>
      <c r="B1726" s="1" t="str">
        <f t="shared" si="130"/>
        <v>2024-07</v>
      </c>
      <c r="C1726" t="s">
        <v>14</v>
      </c>
      <c r="D1726" t="s">
        <v>21</v>
      </c>
      <c r="E1726" t="s">
        <v>19</v>
      </c>
      <c r="F1726" t="s">
        <v>27</v>
      </c>
      <c r="G1726" s="4">
        <v>91901</v>
      </c>
      <c r="H1726" s="4">
        <v>3326</v>
      </c>
      <c r="I1726" s="5">
        <v>3.6200000000000003E-2</v>
      </c>
      <c r="J1726" s="2">
        <v>2.58</v>
      </c>
      <c r="K1726" s="6">
        <v>8581.08</v>
      </c>
      <c r="L1726" s="4">
        <v>261</v>
      </c>
      <c r="M1726" s="2">
        <v>32.880000000000003</v>
      </c>
      <c r="N1726" s="6">
        <v>77117.41</v>
      </c>
      <c r="O1726" s="6">
        <f t="shared" si="131"/>
        <v>68536.33</v>
      </c>
      <c r="P1726" s="6">
        <f t="shared" si="132"/>
        <v>7.9869119038629171</v>
      </c>
      <c r="Q1726" s="3">
        <v>8.99</v>
      </c>
      <c r="R1726" t="str">
        <f t="shared" si="133"/>
        <v>High</v>
      </c>
      <c r="S1726" t="str">
        <f t="shared" si="134"/>
        <v>Valid</v>
      </c>
    </row>
    <row r="1727" spans="1:19" x14ac:dyDescent="0.25">
      <c r="A1727" s="1">
        <v>45381</v>
      </c>
      <c r="B1727" s="1" t="str">
        <f t="shared" si="130"/>
        <v>2024-03</v>
      </c>
      <c r="C1727" t="s">
        <v>14</v>
      </c>
      <c r="D1727" t="s">
        <v>15</v>
      </c>
      <c r="E1727" t="s">
        <v>16</v>
      </c>
      <c r="F1727" t="s">
        <v>27</v>
      </c>
      <c r="G1727" s="4">
        <v>120431</v>
      </c>
      <c r="H1727" s="4">
        <v>6262</v>
      </c>
      <c r="I1727" s="5">
        <v>5.1999999999999998E-2</v>
      </c>
      <c r="J1727" s="2">
        <v>2.77</v>
      </c>
      <c r="K1727" s="6">
        <v>17345.740000000002</v>
      </c>
      <c r="L1727" s="4">
        <v>188</v>
      </c>
      <c r="M1727" s="2">
        <v>92.26</v>
      </c>
      <c r="N1727" s="6">
        <v>8830.89</v>
      </c>
      <c r="O1727" s="6">
        <f t="shared" si="131"/>
        <v>-8514.8500000000022</v>
      </c>
      <c r="P1727" s="6">
        <f t="shared" si="132"/>
        <v>-0.49088998220888824</v>
      </c>
      <c r="Q1727" s="3">
        <v>0.51</v>
      </c>
      <c r="R1727" t="str">
        <f t="shared" si="133"/>
        <v>Low</v>
      </c>
      <c r="S1727" t="str">
        <f t="shared" si="134"/>
        <v>Valid</v>
      </c>
    </row>
    <row r="1728" spans="1:19" x14ac:dyDescent="0.25">
      <c r="A1728" s="1">
        <v>45314</v>
      </c>
      <c r="B1728" s="1" t="str">
        <f t="shared" si="130"/>
        <v>2024-01</v>
      </c>
      <c r="C1728" t="s">
        <v>14</v>
      </c>
      <c r="D1728" t="s">
        <v>15</v>
      </c>
      <c r="E1728" t="s">
        <v>16</v>
      </c>
      <c r="F1728" t="s">
        <v>26</v>
      </c>
      <c r="G1728" s="4">
        <v>7948</v>
      </c>
      <c r="H1728" s="4">
        <v>289</v>
      </c>
      <c r="I1728" s="5">
        <v>3.6400000000000002E-2</v>
      </c>
      <c r="J1728" s="2">
        <v>2.0699999999999998</v>
      </c>
      <c r="K1728" s="6">
        <v>598.23</v>
      </c>
      <c r="L1728" s="4">
        <v>6</v>
      </c>
      <c r="M1728" s="2">
        <v>99.7</v>
      </c>
      <c r="N1728" s="6">
        <v>1368.08</v>
      </c>
      <c r="O1728" s="6">
        <f t="shared" si="131"/>
        <v>769.84999999999991</v>
      </c>
      <c r="P1728" s="6">
        <f t="shared" si="132"/>
        <v>1.2868796282366313</v>
      </c>
      <c r="Q1728" s="3">
        <v>2.29</v>
      </c>
      <c r="R1728" t="str">
        <f t="shared" si="133"/>
        <v>Medium</v>
      </c>
      <c r="S1728" t="str">
        <f t="shared" si="134"/>
        <v>Valid</v>
      </c>
    </row>
    <row r="1729" spans="1:19" x14ac:dyDescent="0.25">
      <c r="A1729" s="1">
        <v>45518</v>
      </c>
      <c r="B1729" s="1" t="str">
        <f t="shared" si="130"/>
        <v>2024-08</v>
      </c>
      <c r="C1729" t="s">
        <v>28</v>
      </c>
      <c r="D1729" t="s">
        <v>21</v>
      </c>
      <c r="E1729" t="s">
        <v>30</v>
      </c>
      <c r="F1729" t="s">
        <v>17</v>
      </c>
      <c r="G1729" s="4">
        <v>108924</v>
      </c>
      <c r="H1729" s="4">
        <v>2134</v>
      </c>
      <c r="I1729" s="5">
        <v>1.9599999999999999E-2</v>
      </c>
      <c r="J1729" s="2">
        <v>0.41</v>
      </c>
      <c r="K1729" s="6">
        <v>874.94</v>
      </c>
      <c r="L1729" s="4">
        <v>85</v>
      </c>
      <c r="M1729" s="2">
        <v>10.29</v>
      </c>
      <c r="N1729" s="6">
        <v>7418.36</v>
      </c>
      <c r="O1729" s="6">
        <f t="shared" si="131"/>
        <v>6543.42</v>
      </c>
      <c r="P1729" s="6">
        <f t="shared" si="132"/>
        <v>7.4787071113447778</v>
      </c>
      <c r="Q1729" s="3">
        <v>8.48</v>
      </c>
      <c r="R1729" t="str">
        <f t="shared" si="133"/>
        <v>High</v>
      </c>
      <c r="S1729" t="str">
        <f t="shared" si="134"/>
        <v>Valid</v>
      </c>
    </row>
    <row r="1730" spans="1:19" x14ac:dyDescent="0.25">
      <c r="A1730" s="1">
        <v>45381</v>
      </c>
      <c r="B1730" s="1" t="str">
        <f t="shared" si="130"/>
        <v>2024-03</v>
      </c>
      <c r="C1730" t="s">
        <v>14</v>
      </c>
      <c r="D1730" t="s">
        <v>15</v>
      </c>
      <c r="E1730" t="s">
        <v>25</v>
      </c>
      <c r="F1730" t="s">
        <v>26</v>
      </c>
      <c r="G1730" s="4">
        <v>66402</v>
      </c>
      <c r="H1730" s="4">
        <v>2695</v>
      </c>
      <c r="I1730" s="5">
        <v>4.0599999999999997E-2</v>
      </c>
      <c r="J1730" s="2">
        <v>1.86</v>
      </c>
      <c r="K1730" s="6">
        <v>5012.7</v>
      </c>
      <c r="L1730" s="4">
        <v>199</v>
      </c>
      <c r="M1730" s="2">
        <v>25.19</v>
      </c>
      <c r="N1730" s="6">
        <v>14266.46</v>
      </c>
      <c r="O1730" s="6">
        <f t="shared" si="131"/>
        <v>9253.7599999999984</v>
      </c>
      <c r="P1730" s="6">
        <f t="shared" si="132"/>
        <v>1.8460629999800504</v>
      </c>
      <c r="Q1730" s="3">
        <v>2.85</v>
      </c>
      <c r="R1730" t="str">
        <f t="shared" si="133"/>
        <v>Medium</v>
      </c>
      <c r="S1730" t="str">
        <f t="shared" si="134"/>
        <v>Valid</v>
      </c>
    </row>
    <row r="1731" spans="1:19" x14ac:dyDescent="0.25">
      <c r="A1731" s="1">
        <v>45533</v>
      </c>
      <c r="B1731" s="1" t="str">
        <f t="shared" ref="B1731:B1794" si="135">TEXT(A1731, "yyyy-mm")</f>
        <v>2024-08</v>
      </c>
      <c r="C1731" t="s">
        <v>14</v>
      </c>
      <c r="D1731" t="s">
        <v>29</v>
      </c>
      <c r="E1731" t="s">
        <v>19</v>
      </c>
      <c r="F1731" t="s">
        <v>27</v>
      </c>
      <c r="G1731" s="4">
        <v>96676</v>
      </c>
      <c r="H1731" s="4">
        <v>5326</v>
      </c>
      <c r="I1731" s="5">
        <v>5.5100000000000003E-2</v>
      </c>
      <c r="J1731" s="2">
        <v>1.67</v>
      </c>
      <c r="K1731" s="6">
        <v>8894.42</v>
      </c>
      <c r="L1731" s="4">
        <v>355</v>
      </c>
      <c r="M1731" s="2">
        <v>25.05</v>
      </c>
      <c r="N1731" s="6">
        <v>14113.5</v>
      </c>
      <c r="O1731" s="6">
        <f t="shared" ref="O1731:O1794" si="136">N1731-K1731</f>
        <v>5219.08</v>
      </c>
      <c r="P1731" s="6">
        <f t="shared" ref="P1731:P1794" si="137">IFERROR(O1731/K1731, "")</f>
        <v>0.58678137528922625</v>
      </c>
      <c r="Q1731" s="3">
        <v>1.59</v>
      </c>
      <c r="R1731" t="str">
        <f t="shared" ref="R1731:R1794" si="138">IF(Q1731 &gt;= 3, "High", IF(Q1731&gt;=1, "Medium", "Low"))</f>
        <v>Medium</v>
      </c>
      <c r="S1731" t="str">
        <f t="shared" ref="S1731:S1794" si="139">IF(OR(G1731=0, H1731&gt;G1731, L1731&gt;H1731), "Invalid", "Valid")</f>
        <v>Valid</v>
      </c>
    </row>
    <row r="1732" spans="1:19" x14ac:dyDescent="0.25">
      <c r="A1732" s="1">
        <v>45392</v>
      </c>
      <c r="B1732" s="1" t="str">
        <f t="shared" si="135"/>
        <v>2024-04</v>
      </c>
      <c r="C1732" t="s">
        <v>28</v>
      </c>
      <c r="D1732" t="s">
        <v>15</v>
      </c>
      <c r="E1732" t="s">
        <v>16</v>
      </c>
      <c r="F1732" t="s">
        <v>23</v>
      </c>
      <c r="G1732" s="4">
        <v>10108</v>
      </c>
      <c r="H1732" s="4">
        <v>320</v>
      </c>
      <c r="I1732" s="5">
        <v>3.1699999999999999E-2</v>
      </c>
      <c r="J1732" s="2">
        <v>0.51</v>
      </c>
      <c r="K1732" s="6">
        <v>163.19999999999999</v>
      </c>
      <c r="L1732" s="4">
        <v>8</v>
      </c>
      <c r="M1732" s="2">
        <v>20.399999999999999</v>
      </c>
      <c r="N1732" s="6">
        <v>624.20000000000005</v>
      </c>
      <c r="O1732" s="6">
        <f t="shared" si="136"/>
        <v>461.00000000000006</v>
      </c>
      <c r="P1732" s="6">
        <f t="shared" si="137"/>
        <v>2.8247549019607847</v>
      </c>
      <c r="Q1732" s="3">
        <v>3.82</v>
      </c>
      <c r="R1732" t="str">
        <f t="shared" si="138"/>
        <v>High</v>
      </c>
      <c r="S1732" t="str">
        <f t="shared" si="139"/>
        <v>Valid</v>
      </c>
    </row>
    <row r="1733" spans="1:19" x14ac:dyDescent="0.25">
      <c r="A1733" s="1">
        <v>45381</v>
      </c>
      <c r="B1733" s="1" t="str">
        <f t="shared" si="135"/>
        <v>2024-03</v>
      </c>
      <c r="C1733" t="s">
        <v>14</v>
      </c>
      <c r="D1733" t="s">
        <v>15</v>
      </c>
      <c r="E1733" t="s">
        <v>25</v>
      </c>
      <c r="F1733" t="s">
        <v>20</v>
      </c>
      <c r="G1733" s="4">
        <v>23936</v>
      </c>
      <c r="H1733" s="4">
        <v>1211</v>
      </c>
      <c r="I1733" s="5">
        <v>5.0599999999999999E-2</v>
      </c>
      <c r="J1733" s="2">
        <v>2.7</v>
      </c>
      <c r="K1733" s="6">
        <v>3269.7</v>
      </c>
      <c r="L1733" s="4">
        <v>49</v>
      </c>
      <c r="M1733" s="2">
        <v>66.73</v>
      </c>
      <c r="N1733" s="6">
        <v>7236.18</v>
      </c>
      <c r="O1733" s="6">
        <f t="shared" si="136"/>
        <v>3966.4800000000005</v>
      </c>
      <c r="P1733" s="6">
        <f t="shared" si="137"/>
        <v>1.2131021194605012</v>
      </c>
      <c r="Q1733" s="3">
        <v>2.21</v>
      </c>
      <c r="R1733" t="str">
        <f t="shared" si="138"/>
        <v>Medium</v>
      </c>
      <c r="S1733" t="str">
        <f t="shared" si="139"/>
        <v>Valid</v>
      </c>
    </row>
    <row r="1734" spans="1:19" x14ac:dyDescent="0.25">
      <c r="A1734" s="1">
        <v>45433</v>
      </c>
      <c r="B1734" s="1" t="str">
        <f t="shared" si="135"/>
        <v>2024-05</v>
      </c>
      <c r="C1734" t="s">
        <v>28</v>
      </c>
      <c r="D1734" t="s">
        <v>29</v>
      </c>
      <c r="E1734" t="s">
        <v>25</v>
      </c>
      <c r="F1734" t="s">
        <v>31</v>
      </c>
      <c r="G1734" s="4">
        <v>157455</v>
      </c>
      <c r="H1734" s="4">
        <v>3810</v>
      </c>
      <c r="I1734" s="5">
        <v>2.4199999999999999E-2</v>
      </c>
      <c r="J1734" s="2">
        <v>1.24</v>
      </c>
      <c r="K1734" s="6">
        <v>4724.3999999999996</v>
      </c>
      <c r="L1734" s="4">
        <v>244</v>
      </c>
      <c r="M1734" s="2">
        <v>19.36</v>
      </c>
      <c r="N1734" s="6">
        <v>55928.06</v>
      </c>
      <c r="O1734" s="6">
        <f t="shared" si="136"/>
        <v>51203.659999999996</v>
      </c>
      <c r="P1734" s="6">
        <f t="shared" si="137"/>
        <v>10.838129709592753</v>
      </c>
      <c r="Q1734" s="3">
        <v>11.84</v>
      </c>
      <c r="R1734" t="str">
        <f t="shared" si="138"/>
        <v>High</v>
      </c>
      <c r="S1734" t="str">
        <f t="shared" si="139"/>
        <v>Valid</v>
      </c>
    </row>
    <row r="1735" spans="1:19" x14ac:dyDescent="0.25">
      <c r="A1735" s="1">
        <v>45380</v>
      </c>
      <c r="B1735" s="1" t="str">
        <f t="shared" si="135"/>
        <v>2024-03</v>
      </c>
      <c r="C1735" t="s">
        <v>14</v>
      </c>
      <c r="D1735" t="s">
        <v>24</v>
      </c>
      <c r="E1735" t="s">
        <v>16</v>
      </c>
      <c r="F1735" t="s">
        <v>32</v>
      </c>
      <c r="G1735" s="4">
        <v>165805</v>
      </c>
      <c r="H1735" s="4">
        <v>9832</v>
      </c>
      <c r="I1735" s="5">
        <v>5.9299999999999999E-2</v>
      </c>
      <c r="J1735" s="2">
        <v>2.76</v>
      </c>
      <c r="K1735" s="6">
        <v>27136.32</v>
      </c>
      <c r="L1735" s="4">
        <v>509</v>
      </c>
      <c r="M1735" s="2">
        <v>53.31</v>
      </c>
      <c r="N1735" s="6">
        <v>143237.84</v>
      </c>
      <c r="O1735" s="6">
        <f t="shared" si="136"/>
        <v>116101.51999999999</v>
      </c>
      <c r="P1735" s="6">
        <f t="shared" si="137"/>
        <v>4.2784548531267319</v>
      </c>
      <c r="Q1735" s="3">
        <v>5.28</v>
      </c>
      <c r="R1735" t="str">
        <f t="shared" si="138"/>
        <v>High</v>
      </c>
      <c r="S1735" t="str">
        <f t="shared" si="139"/>
        <v>Valid</v>
      </c>
    </row>
    <row r="1736" spans="1:19" x14ac:dyDescent="0.25">
      <c r="A1736" s="1">
        <v>45592</v>
      </c>
      <c r="B1736" s="1" t="str">
        <f t="shared" si="135"/>
        <v>2024-10</v>
      </c>
      <c r="C1736" t="s">
        <v>28</v>
      </c>
      <c r="D1736" t="s">
        <v>15</v>
      </c>
      <c r="E1736" t="s">
        <v>16</v>
      </c>
      <c r="F1736" t="s">
        <v>23</v>
      </c>
      <c r="G1736" s="4">
        <v>69385</v>
      </c>
      <c r="H1736" s="4">
        <v>2650</v>
      </c>
      <c r="I1736" s="5">
        <v>3.8199999999999998E-2</v>
      </c>
      <c r="J1736" s="2">
        <v>1.7</v>
      </c>
      <c r="K1736" s="6">
        <v>4505</v>
      </c>
      <c r="L1736" s="4">
        <v>160</v>
      </c>
      <c r="M1736" s="2">
        <v>28.16</v>
      </c>
      <c r="N1736" s="6">
        <v>32080.73</v>
      </c>
      <c r="O1736" s="6">
        <f t="shared" si="136"/>
        <v>27575.73</v>
      </c>
      <c r="P1736" s="6">
        <f t="shared" si="137"/>
        <v>6.121138734739179</v>
      </c>
      <c r="Q1736" s="3">
        <v>7.12</v>
      </c>
      <c r="R1736" t="str">
        <f t="shared" si="138"/>
        <v>High</v>
      </c>
      <c r="S1736" t="str">
        <f t="shared" si="139"/>
        <v>Valid</v>
      </c>
    </row>
    <row r="1737" spans="1:19" x14ac:dyDescent="0.25">
      <c r="A1737" s="1">
        <v>45409</v>
      </c>
      <c r="B1737" s="1" t="str">
        <f t="shared" si="135"/>
        <v>2024-04</v>
      </c>
      <c r="C1737" t="s">
        <v>18</v>
      </c>
      <c r="D1737" t="s">
        <v>21</v>
      </c>
      <c r="E1737" t="s">
        <v>22</v>
      </c>
      <c r="F1737" t="s">
        <v>32</v>
      </c>
      <c r="G1737" s="4">
        <v>89944</v>
      </c>
      <c r="H1737" s="4">
        <v>2644</v>
      </c>
      <c r="I1737" s="5">
        <v>2.9399999999999999E-2</v>
      </c>
      <c r="J1737" s="2">
        <v>0.31</v>
      </c>
      <c r="K1737" s="6">
        <v>819.64</v>
      </c>
      <c r="L1737" s="4">
        <v>80</v>
      </c>
      <c r="M1737" s="2">
        <v>10.25</v>
      </c>
      <c r="N1737" s="6">
        <v>12715.09</v>
      </c>
      <c r="O1737" s="6">
        <f t="shared" si="136"/>
        <v>11895.45</v>
      </c>
      <c r="P1737" s="6">
        <f t="shared" si="137"/>
        <v>14.513017910302086</v>
      </c>
      <c r="Q1737" s="3">
        <v>15.51</v>
      </c>
      <c r="R1737" t="str">
        <f t="shared" si="138"/>
        <v>High</v>
      </c>
      <c r="S1737" t="str">
        <f t="shared" si="139"/>
        <v>Valid</v>
      </c>
    </row>
    <row r="1738" spans="1:19" x14ac:dyDescent="0.25">
      <c r="A1738" s="1">
        <v>45385</v>
      </c>
      <c r="B1738" s="1" t="str">
        <f t="shared" si="135"/>
        <v>2024-04</v>
      </c>
      <c r="C1738" t="s">
        <v>28</v>
      </c>
      <c r="D1738" t="s">
        <v>15</v>
      </c>
      <c r="E1738" t="s">
        <v>25</v>
      </c>
      <c r="F1738" t="s">
        <v>31</v>
      </c>
      <c r="G1738" s="4">
        <v>62603</v>
      </c>
      <c r="H1738" s="4">
        <v>1396</v>
      </c>
      <c r="I1738" s="5">
        <v>2.23E-2</v>
      </c>
      <c r="J1738" s="2">
        <v>1.5</v>
      </c>
      <c r="K1738" s="6">
        <v>2094</v>
      </c>
      <c r="L1738" s="4">
        <v>17</v>
      </c>
      <c r="M1738" s="2">
        <v>123.18</v>
      </c>
      <c r="N1738" s="6">
        <v>2988.24</v>
      </c>
      <c r="O1738" s="6">
        <f t="shared" si="136"/>
        <v>894.23999999999978</v>
      </c>
      <c r="P1738" s="6">
        <f t="shared" si="137"/>
        <v>0.42704871060171912</v>
      </c>
      <c r="Q1738" s="3">
        <v>1.43</v>
      </c>
      <c r="R1738" t="str">
        <f t="shared" si="138"/>
        <v>Medium</v>
      </c>
      <c r="S1738" t="str">
        <f t="shared" si="139"/>
        <v>Valid</v>
      </c>
    </row>
    <row r="1739" spans="1:19" x14ac:dyDescent="0.25">
      <c r="A1739" s="1">
        <v>45301</v>
      </c>
      <c r="B1739" s="1" t="str">
        <f t="shared" si="135"/>
        <v>2024-01</v>
      </c>
      <c r="C1739" t="s">
        <v>28</v>
      </c>
      <c r="D1739" t="s">
        <v>24</v>
      </c>
      <c r="E1739" t="s">
        <v>19</v>
      </c>
      <c r="F1739" t="s">
        <v>23</v>
      </c>
      <c r="G1739" s="4">
        <v>62284</v>
      </c>
      <c r="H1739" s="4">
        <v>1413</v>
      </c>
      <c r="I1739" s="5">
        <v>2.2700000000000001E-2</v>
      </c>
      <c r="J1739" s="2">
        <v>1.06</v>
      </c>
      <c r="K1739" s="6">
        <v>1497.78</v>
      </c>
      <c r="L1739" s="4">
        <v>88</v>
      </c>
      <c r="M1739" s="2">
        <v>17.02</v>
      </c>
      <c r="N1739" s="6">
        <v>10561.64</v>
      </c>
      <c r="O1739" s="6">
        <f t="shared" si="136"/>
        <v>9063.8599999999988</v>
      </c>
      <c r="P1739" s="6">
        <f t="shared" si="137"/>
        <v>6.0515295971370957</v>
      </c>
      <c r="Q1739" s="3">
        <v>7.05</v>
      </c>
      <c r="R1739" t="str">
        <f t="shared" si="138"/>
        <v>High</v>
      </c>
      <c r="S1739" t="str">
        <f t="shared" si="139"/>
        <v>Valid</v>
      </c>
    </row>
    <row r="1740" spans="1:19" x14ac:dyDescent="0.25">
      <c r="A1740" s="1">
        <v>45605</v>
      </c>
      <c r="B1740" s="1" t="str">
        <f t="shared" si="135"/>
        <v>2024-11</v>
      </c>
      <c r="C1740" t="s">
        <v>28</v>
      </c>
      <c r="D1740" t="s">
        <v>21</v>
      </c>
      <c r="E1740" t="s">
        <v>19</v>
      </c>
      <c r="F1740" t="s">
        <v>23</v>
      </c>
      <c r="G1740" s="4">
        <v>172812</v>
      </c>
      <c r="H1740" s="4">
        <v>2972</v>
      </c>
      <c r="I1740" s="5">
        <v>1.72E-2</v>
      </c>
      <c r="J1740" s="2">
        <v>0.99</v>
      </c>
      <c r="K1740" s="6">
        <v>2942.28</v>
      </c>
      <c r="L1740" s="4">
        <v>178</v>
      </c>
      <c r="M1740" s="2">
        <v>16.53</v>
      </c>
      <c r="N1740" s="6">
        <v>47180.83</v>
      </c>
      <c r="O1740" s="6">
        <f t="shared" si="136"/>
        <v>44238.55</v>
      </c>
      <c r="P1740" s="6">
        <f t="shared" si="137"/>
        <v>15.035465693271885</v>
      </c>
      <c r="Q1740" s="3">
        <v>16.04</v>
      </c>
      <c r="R1740" t="str">
        <f t="shared" si="138"/>
        <v>High</v>
      </c>
      <c r="S1740" t="str">
        <f t="shared" si="139"/>
        <v>Valid</v>
      </c>
    </row>
    <row r="1741" spans="1:19" x14ac:dyDescent="0.25">
      <c r="A1741" s="1">
        <v>45310</v>
      </c>
      <c r="B1741" s="1" t="str">
        <f t="shared" si="135"/>
        <v>2024-01</v>
      </c>
      <c r="C1741" t="s">
        <v>14</v>
      </c>
      <c r="D1741" t="s">
        <v>15</v>
      </c>
      <c r="E1741" t="s">
        <v>22</v>
      </c>
      <c r="F1741" t="s">
        <v>17</v>
      </c>
      <c r="G1741" s="4">
        <v>82764</v>
      </c>
      <c r="H1741" s="4">
        <v>2276</v>
      </c>
      <c r="I1741" s="5">
        <v>2.75E-2</v>
      </c>
      <c r="J1741" s="2">
        <v>0.91</v>
      </c>
      <c r="K1741" s="6">
        <v>2071.16</v>
      </c>
      <c r="L1741" s="4">
        <v>130</v>
      </c>
      <c r="M1741" s="2">
        <v>15.93</v>
      </c>
      <c r="N1741" s="6">
        <v>22792.2</v>
      </c>
      <c r="O1741" s="6">
        <f t="shared" si="136"/>
        <v>20721.04</v>
      </c>
      <c r="P1741" s="6">
        <f t="shared" si="137"/>
        <v>10.004557832325847</v>
      </c>
      <c r="Q1741" s="3">
        <v>11</v>
      </c>
      <c r="R1741" t="str">
        <f t="shared" si="138"/>
        <v>High</v>
      </c>
      <c r="S1741" t="str">
        <f t="shared" si="139"/>
        <v>Valid</v>
      </c>
    </row>
    <row r="1742" spans="1:19" x14ac:dyDescent="0.25">
      <c r="A1742" s="1">
        <v>45396</v>
      </c>
      <c r="B1742" s="1" t="str">
        <f t="shared" si="135"/>
        <v>2024-04</v>
      </c>
      <c r="C1742" t="s">
        <v>28</v>
      </c>
      <c r="D1742" t="s">
        <v>15</v>
      </c>
      <c r="E1742" t="s">
        <v>30</v>
      </c>
      <c r="F1742" t="s">
        <v>31</v>
      </c>
      <c r="G1742" s="4">
        <v>133260</v>
      </c>
      <c r="H1742" s="4">
        <v>2611</v>
      </c>
      <c r="I1742" s="5">
        <v>1.9599999999999999E-2</v>
      </c>
      <c r="J1742" s="2">
        <v>2.08</v>
      </c>
      <c r="K1742" s="6">
        <v>5430.88</v>
      </c>
      <c r="L1742" s="4">
        <v>108</v>
      </c>
      <c r="M1742" s="2">
        <v>50.29</v>
      </c>
      <c r="N1742" s="6">
        <v>16755.509999999998</v>
      </c>
      <c r="O1742" s="6">
        <f t="shared" si="136"/>
        <v>11324.629999999997</v>
      </c>
      <c r="P1742" s="6">
        <f t="shared" si="137"/>
        <v>2.0852292814424178</v>
      </c>
      <c r="Q1742" s="3">
        <v>3.09</v>
      </c>
      <c r="R1742" t="str">
        <f t="shared" si="138"/>
        <v>High</v>
      </c>
      <c r="S1742" t="str">
        <f t="shared" si="139"/>
        <v>Valid</v>
      </c>
    </row>
    <row r="1743" spans="1:19" x14ac:dyDescent="0.25">
      <c r="A1743" s="1">
        <v>45481</v>
      </c>
      <c r="B1743" s="1" t="str">
        <f t="shared" si="135"/>
        <v>2024-07</v>
      </c>
      <c r="C1743" t="s">
        <v>14</v>
      </c>
      <c r="D1743" t="s">
        <v>15</v>
      </c>
      <c r="E1743" t="s">
        <v>16</v>
      </c>
      <c r="F1743" t="s">
        <v>32</v>
      </c>
      <c r="G1743" s="4">
        <v>188420</v>
      </c>
      <c r="H1743" s="4">
        <v>9364</v>
      </c>
      <c r="I1743" s="5">
        <v>4.9700000000000001E-2</v>
      </c>
      <c r="J1743" s="2">
        <v>2.65</v>
      </c>
      <c r="K1743" s="6">
        <v>24814.6</v>
      </c>
      <c r="L1743" s="4">
        <v>324</v>
      </c>
      <c r="M1743" s="2">
        <v>76.59</v>
      </c>
      <c r="N1743" s="6">
        <v>68719.44</v>
      </c>
      <c r="O1743" s="6">
        <f t="shared" si="136"/>
        <v>43904.840000000004</v>
      </c>
      <c r="P1743" s="6">
        <f t="shared" si="137"/>
        <v>1.7693148388448738</v>
      </c>
      <c r="Q1743" s="3">
        <v>2.77</v>
      </c>
      <c r="R1743" t="str">
        <f t="shared" si="138"/>
        <v>Medium</v>
      </c>
      <c r="S1743" t="str">
        <f t="shared" si="139"/>
        <v>Valid</v>
      </c>
    </row>
    <row r="1744" spans="1:19" x14ac:dyDescent="0.25">
      <c r="A1744" s="1">
        <v>45342</v>
      </c>
      <c r="B1744" s="1" t="str">
        <f t="shared" si="135"/>
        <v>2024-02</v>
      </c>
      <c r="C1744" t="s">
        <v>14</v>
      </c>
      <c r="D1744" t="s">
        <v>24</v>
      </c>
      <c r="E1744" t="s">
        <v>16</v>
      </c>
      <c r="F1744" t="s">
        <v>20</v>
      </c>
      <c r="G1744" s="4">
        <v>89431</v>
      </c>
      <c r="H1744" s="4">
        <v>3300</v>
      </c>
      <c r="I1744" s="5">
        <v>3.6900000000000002E-2</v>
      </c>
      <c r="J1744" s="2">
        <v>1.47</v>
      </c>
      <c r="K1744" s="6">
        <v>4851</v>
      </c>
      <c r="L1744" s="4">
        <v>56</v>
      </c>
      <c r="M1744" s="2">
        <v>86.62</v>
      </c>
      <c r="N1744" s="6">
        <v>9891.8799999999992</v>
      </c>
      <c r="O1744" s="6">
        <f t="shared" si="136"/>
        <v>5040.8799999999992</v>
      </c>
      <c r="P1744" s="6">
        <f t="shared" si="137"/>
        <v>1.0391424448567304</v>
      </c>
      <c r="Q1744" s="3">
        <v>2.04</v>
      </c>
      <c r="R1744" t="str">
        <f t="shared" si="138"/>
        <v>Medium</v>
      </c>
      <c r="S1744" t="str">
        <f t="shared" si="139"/>
        <v>Valid</v>
      </c>
    </row>
    <row r="1745" spans="1:19" x14ac:dyDescent="0.25">
      <c r="A1745" s="1">
        <v>45295</v>
      </c>
      <c r="B1745" s="1" t="str">
        <f t="shared" si="135"/>
        <v>2024-01</v>
      </c>
      <c r="C1745" t="s">
        <v>14</v>
      </c>
      <c r="D1745" t="s">
        <v>29</v>
      </c>
      <c r="E1745" t="s">
        <v>30</v>
      </c>
      <c r="F1745" t="s">
        <v>23</v>
      </c>
      <c r="G1745" s="4">
        <v>52897</v>
      </c>
      <c r="H1745" s="4">
        <v>1883</v>
      </c>
      <c r="I1745" s="5">
        <v>3.56E-2</v>
      </c>
      <c r="J1745" s="2">
        <v>2.77</v>
      </c>
      <c r="K1745" s="6">
        <v>5215.91</v>
      </c>
      <c r="L1745" s="4">
        <v>108</v>
      </c>
      <c r="M1745" s="2">
        <v>48.3</v>
      </c>
      <c r="N1745" s="6">
        <v>5473.28</v>
      </c>
      <c r="O1745" s="6">
        <f t="shared" si="136"/>
        <v>257.36999999999989</v>
      </c>
      <c r="P1745" s="6">
        <f t="shared" si="137"/>
        <v>4.9343259373723837E-2</v>
      </c>
      <c r="Q1745" s="3">
        <v>1.05</v>
      </c>
      <c r="R1745" t="str">
        <f t="shared" si="138"/>
        <v>Medium</v>
      </c>
      <c r="S1745" t="str">
        <f t="shared" si="139"/>
        <v>Valid</v>
      </c>
    </row>
    <row r="1746" spans="1:19" x14ac:dyDescent="0.25">
      <c r="A1746" s="1">
        <v>45452</v>
      </c>
      <c r="B1746" s="1" t="str">
        <f t="shared" si="135"/>
        <v>2024-06</v>
      </c>
      <c r="C1746" t="s">
        <v>14</v>
      </c>
      <c r="D1746" t="s">
        <v>24</v>
      </c>
      <c r="E1746" t="s">
        <v>25</v>
      </c>
      <c r="F1746" t="s">
        <v>20</v>
      </c>
      <c r="G1746" s="4">
        <v>83334</v>
      </c>
      <c r="H1746" s="4">
        <v>3341</v>
      </c>
      <c r="I1746" s="5">
        <v>4.0099999999999997E-2</v>
      </c>
      <c r="J1746" s="2">
        <v>1.73</v>
      </c>
      <c r="K1746" s="6">
        <v>5779.93</v>
      </c>
      <c r="L1746" s="4">
        <v>256</v>
      </c>
      <c r="M1746" s="2">
        <v>22.58</v>
      </c>
      <c r="N1746" s="6">
        <v>32514.9</v>
      </c>
      <c r="O1746" s="6">
        <f t="shared" si="136"/>
        <v>26734.97</v>
      </c>
      <c r="P1746" s="6">
        <f t="shared" si="137"/>
        <v>4.6254833536046283</v>
      </c>
      <c r="Q1746" s="3">
        <v>5.63</v>
      </c>
      <c r="R1746" t="str">
        <f t="shared" si="138"/>
        <v>High</v>
      </c>
      <c r="S1746" t="str">
        <f t="shared" si="139"/>
        <v>Valid</v>
      </c>
    </row>
    <row r="1747" spans="1:19" x14ac:dyDescent="0.25">
      <c r="A1747" s="1">
        <v>45582</v>
      </c>
      <c r="B1747" s="1" t="str">
        <f t="shared" si="135"/>
        <v>2024-10</v>
      </c>
      <c r="C1747" t="s">
        <v>18</v>
      </c>
      <c r="D1747" t="s">
        <v>24</v>
      </c>
      <c r="E1747" t="s">
        <v>25</v>
      </c>
      <c r="F1747" t="s">
        <v>23</v>
      </c>
      <c r="G1747" s="4">
        <v>180721</v>
      </c>
      <c r="H1747" s="4">
        <v>9379</v>
      </c>
      <c r="I1747" s="5">
        <v>5.1900000000000002E-2</v>
      </c>
      <c r="J1747" s="2">
        <v>1.3</v>
      </c>
      <c r="K1747" s="6">
        <v>12192.7</v>
      </c>
      <c r="L1747" s="4">
        <v>286</v>
      </c>
      <c r="M1747" s="2">
        <v>42.63</v>
      </c>
      <c r="N1747" s="6">
        <v>52558.42</v>
      </c>
      <c r="O1747" s="6">
        <f t="shared" si="136"/>
        <v>40365.72</v>
      </c>
      <c r="P1747" s="6">
        <f t="shared" si="137"/>
        <v>3.310646534401732</v>
      </c>
      <c r="Q1747" s="3">
        <v>4.3099999999999996</v>
      </c>
      <c r="R1747" t="str">
        <f t="shared" si="138"/>
        <v>High</v>
      </c>
      <c r="S1747" t="str">
        <f t="shared" si="139"/>
        <v>Valid</v>
      </c>
    </row>
    <row r="1748" spans="1:19" x14ac:dyDescent="0.25">
      <c r="A1748" s="1">
        <v>45635</v>
      </c>
      <c r="B1748" s="1" t="str">
        <f t="shared" si="135"/>
        <v>2024-12</v>
      </c>
      <c r="C1748" t="s">
        <v>18</v>
      </c>
      <c r="D1748" t="s">
        <v>29</v>
      </c>
      <c r="E1748" t="s">
        <v>22</v>
      </c>
      <c r="F1748" t="s">
        <v>32</v>
      </c>
      <c r="G1748" s="4">
        <v>195759</v>
      </c>
      <c r="H1748" s="4">
        <v>7262</v>
      </c>
      <c r="I1748" s="5">
        <v>3.7100000000000001E-2</v>
      </c>
      <c r="J1748" s="2">
        <v>0.47</v>
      </c>
      <c r="K1748" s="6">
        <v>3413.14</v>
      </c>
      <c r="L1748" s="4">
        <v>75</v>
      </c>
      <c r="M1748" s="2">
        <v>45.51</v>
      </c>
      <c r="N1748" s="6">
        <v>16681.830000000002</v>
      </c>
      <c r="O1748" s="6">
        <f t="shared" si="136"/>
        <v>13268.690000000002</v>
      </c>
      <c r="P1748" s="6">
        <f t="shared" si="137"/>
        <v>3.8875317156635831</v>
      </c>
      <c r="Q1748" s="3">
        <v>4.8899999999999997</v>
      </c>
      <c r="R1748" t="str">
        <f t="shared" si="138"/>
        <v>High</v>
      </c>
      <c r="S1748" t="str">
        <f t="shared" si="139"/>
        <v>Valid</v>
      </c>
    </row>
    <row r="1749" spans="1:19" x14ac:dyDescent="0.25">
      <c r="A1749" s="1">
        <v>45483</v>
      </c>
      <c r="B1749" s="1" t="str">
        <f t="shared" si="135"/>
        <v>2024-07</v>
      </c>
      <c r="C1749" t="s">
        <v>14</v>
      </c>
      <c r="D1749" t="s">
        <v>21</v>
      </c>
      <c r="E1749" t="s">
        <v>25</v>
      </c>
      <c r="F1749" t="s">
        <v>23</v>
      </c>
      <c r="G1749" s="4">
        <v>158514</v>
      </c>
      <c r="H1749" s="4">
        <v>4565</v>
      </c>
      <c r="I1749" s="5">
        <v>2.8799999999999999E-2</v>
      </c>
      <c r="J1749" s="2">
        <v>2.14</v>
      </c>
      <c r="K1749" s="6">
        <v>9769.1</v>
      </c>
      <c r="L1749" s="4">
        <v>235</v>
      </c>
      <c r="M1749" s="2">
        <v>41.57</v>
      </c>
      <c r="N1749" s="6">
        <v>15388.32</v>
      </c>
      <c r="O1749" s="6">
        <f t="shared" si="136"/>
        <v>5619.2199999999993</v>
      </c>
      <c r="P1749" s="6">
        <f t="shared" si="137"/>
        <v>0.57520344760520403</v>
      </c>
      <c r="Q1749" s="3">
        <v>1.58</v>
      </c>
      <c r="R1749" t="str">
        <f t="shared" si="138"/>
        <v>Medium</v>
      </c>
      <c r="S1749" t="str">
        <f t="shared" si="139"/>
        <v>Valid</v>
      </c>
    </row>
    <row r="1750" spans="1:19" x14ac:dyDescent="0.25">
      <c r="A1750" s="1">
        <v>45429</v>
      </c>
      <c r="B1750" s="1" t="str">
        <f t="shared" si="135"/>
        <v>2024-05</v>
      </c>
      <c r="C1750" t="s">
        <v>28</v>
      </c>
      <c r="D1750" t="s">
        <v>21</v>
      </c>
      <c r="E1750" t="s">
        <v>25</v>
      </c>
      <c r="F1750" t="s">
        <v>23</v>
      </c>
      <c r="G1750" s="4">
        <v>82948</v>
      </c>
      <c r="H1750" s="4">
        <v>2347</v>
      </c>
      <c r="I1750" s="5">
        <v>2.8299999999999999E-2</v>
      </c>
      <c r="J1750" s="2">
        <v>2.31</v>
      </c>
      <c r="K1750" s="6">
        <v>5421.57</v>
      </c>
      <c r="L1750" s="4">
        <v>65</v>
      </c>
      <c r="M1750" s="2">
        <v>83.41</v>
      </c>
      <c r="N1750" s="6">
        <v>10510.94</v>
      </c>
      <c r="O1750" s="6">
        <f t="shared" si="136"/>
        <v>5089.3700000000008</v>
      </c>
      <c r="P1750" s="6">
        <f t="shared" si="137"/>
        <v>0.93872623612717365</v>
      </c>
      <c r="Q1750" s="3">
        <v>1.94</v>
      </c>
      <c r="R1750" t="str">
        <f t="shared" si="138"/>
        <v>Medium</v>
      </c>
      <c r="S1750" t="str">
        <f t="shared" si="139"/>
        <v>Valid</v>
      </c>
    </row>
    <row r="1751" spans="1:19" x14ac:dyDescent="0.25">
      <c r="A1751" s="1">
        <v>45324</v>
      </c>
      <c r="B1751" s="1" t="str">
        <f t="shared" si="135"/>
        <v>2024-02</v>
      </c>
      <c r="C1751" t="s">
        <v>14</v>
      </c>
      <c r="D1751" t="s">
        <v>21</v>
      </c>
      <c r="E1751" t="s">
        <v>25</v>
      </c>
      <c r="F1751" t="s">
        <v>27</v>
      </c>
      <c r="G1751" s="4">
        <v>44420</v>
      </c>
      <c r="H1751" s="4">
        <v>1066</v>
      </c>
      <c r="I1751" s="5">
        <v>2.4E-2</v>
      </c>
      <c r="J1751" s="2">
        <v>3.64</v>
      </c>
      <c r="K1751" s="6">
        <v>3880.24</v>
      </c>
      <c r="L1751" s="4">
        <v>44</v>
      </c>
      <c r="M1751" s="2">
        <v>88.19</v>
      </c>
      <c r="N1751" s="6">
        <v>2655.91</v>
      </c>
      <c r="O1751" s="6">
        <f t="shared" si="136"/>
        <v>-1224.33</v>
      </c>
      <c r="P1751" s="6">
        <f t="shared" si="137"/>
        <v>-0.31552945178648745</v>
      </c>
      <c r="Q1751" s="3">
        <v>0.68</v>
      </c>
      <c r="R1751" t="str">
        <f t="shared" si="138"/>
        <v>Low</v>
      </c>
      <c r="S1751" t="str">
        <f t="shared" si="139"/>
        <v>Valid</v>
      </c>
    </row>
    <row r="1752" spans="1:19" x14ac:dyDescent="0.25">
      <c r="A1752" s="1">
        <v>45347</v>
      </c>
      <c r="B1752" s="1" t="str">
        <f t="shared" si="135"/>
        <v>2024-02</v>
      </c>
      <c r="C1752" t="s">
        <v>18</v>
      </c>
      <c r="D1752" t="s">
        <v>15</v>
      </c>
      <c r="E1752" t="s">
        <v>16</v>
      </c>
      <c r="F1752" t="s">
        <v>17</v>
      </c>
      <c r="G1752" s="4">
        <v>57006</v>
      </c>
      <c r="H1752" s="4">
        <v>2981</v>
      </c>
      <c r="I1752" s="5">
        <v>5.2299999999999999E-2</v>
      </c>
      <c r="J1752" s="2">
        <v>1.1000000000000001</v>
      </c>
      <c r="K1752" s="6">
        <v>3279.1</v>
      </c>
      <c r="L1752" s="4">
        <v>192</v>
      </c>
      <c r="M1752" s="2">
        <v>17.079999999999998</v>
      </c>
      <c r="N1752" s="6">
        <v>40566.370000000003</v>
      </c>
      <c r="O1752" s="6">
        <f t="shared" si="136"/>
        <v>37287.270000000004</v>
      </c>
      <c r="P1752" s="6">
        <f t="shared" si="137"/>
        <v>11.371190265621665</v>
      </c>
      <c r="Q1752" s="3">
        <v>12.37</v>
      </c>
      <c r="R1752" t="str">
        <f t="shared" si="138"/>
        <v>High</v>
      </c>
      <c r="S1752" t="str">
        <f t="shared" si="139"/>
        <v>Valid</v>
      </c>
    </row>
    <row r="1753" spans="1:19" x14ac:dyDescent="0.25">
      <c r="A1753" s="1">
        <v>45519</v>
      </c>
      <c r="B1753" s="1" t="str">
        <f t="shared" si="135"/>
        <v>2024-08</v>
      </c>
      <c r="C1753" t="s">
        <v>28</v>
      </c>
      <c r="D1753" t="s">
        <v>21</v>
      </c>
      <c r="E1753" t="s">
        <v>25</v>
      </c>
      <c r="F1753" t="s">
        <v>23</v>
      </c>
      <c r="G1753" s="4">
        <v>37588</v>
      </c>
      <c r="H1753" s="4">
        <v>1191</v>
      </c>
      <c r="I1753" s="5">
        <v>3.1699999999999999E-2</v>
      </c>
      <c r="J1753" s="2">
        <v>1.96</v>
      </c>
      <c r="K1753" s="6">
        <v>2334.36</v>
      </c>
      <c r="L1753" s="4">
        <v>48</v>
      </c>
      <c r="M1753" s="2">
        <v>48.63</v>
      </c>
      <c r="N1753" s="6">
        <v>13381.03</v>
      </c>
      <c r="O1753" s="6">
        <f t="shared" si="136"/>
        <v>11046.67</v>
      </c>
      <c r="P1753" s="6">
        <f t="shared" si="137"/>
        <v>4.7322049726691686</v>
      </c>
      <c r="Q1753" s="3">
        <v>5.73</v>
      </c>
      <c r="R1753" t="str">
        <f t="shared" si="138"/>
        <v>High</v>
      </c>
      <c r="S1753" t="str">
        <f t="shared" si="139"/>
        <v>Valid</v>
      </c>
    </row>
    <row r="1754" spans="1:19" x14ac:dyDescent="0.25">
      <c r="A1754" s="1">
        <v>45324</v>
      </c>
      <c r="B1754" s="1" t="str">
        <f t="shared" si="135"/>
        <v>2024-02</v>
      </c>
      <c r="C1754" t="s">
        <v>18</v>
      </c>
      <c r="D1754" t="s">
        <v>24</v>
      </c>
      <c r="E1754" t="s">
        <v>22</v>
      </c>
      <c r="F1754" t="s">
        <v>32</v>
      </c>
      <c r="G1754" s="4">
        <v>196605</v>
      </c>
      <c r="H1754" s="4">
        <v>14922</v>
      </c>
      <c r="I1754" s="5">
        <v>7.5899999999999995E-2</v>
      </c>
      <c r="J1754" s="2">
        <v>1.76</v>
      </c>
      <c r="K1754" s="6">
        <v>26262.720000000001</v>
      </c>
      <c r="L1754" s="4">
        <v>757</v>
      </c>
      <c r="M1754" s="2">
        <v>34.69</v>
      </c>
      <c r="N1754" s="6">
        <v>181823.28</v>
      </c>
      <c r="O1754" s="6">
        <f t="shared" si="136"/>
        <v>155560.56</v>
      </c>
      <c r="P1754" s="6">
        <f t="shared" si="137"/>
        <v>5.9232463354900018</v>
      </c>
      <c r="Q1754" s="3">
        <v>6.92</v>
      </c>
      <c r="R1754" t="str">
        <f t="shared" si="138"/>
        <v>High</v>
      </c>
      <c r="S1754" t="str">
        <f t="shared" si="139"/>
        <v>Valid</v>
      </c>
    </row>
    <row r="1755" spans="1:19" x14ac:dyDescent="0.25">
      <c r="A1755" s="1">
        <v>45383</v>
      </c>
      <c r="B1755" s="1" t="str">
        <f t="shared" si="135"/>
        <v>2024-04</v>
      </c>
      <c r="C1755" t="s">
        <v>28</v>
      </c>
      <c r="D1755" t="s">
        <v>21</v>
      </c>
      <c r="E1755" t="s">
        <v>16</v>
      </c>
      <c r="F1755" t="s">
        <v>26</v>
      </c>
      <c r="G1755" s="4">
        <v>59376</v>
      </c>
      <c r="H1755" s="4">
        <v>564</v>
      </c>
      <c r="I1755" s="5">
        <v>9.4999999999999998E-3</v>
      </c>
      <c r="J1755" s="2">
        <v>0.64</v>
      </c>
      <c r="K1755" s="6">
        <v>360.96</v>
      </c>
      <c r="L1755" s="4">
        <v>25</v>
      </c>
      <c r="M1755" s="2">
        <v>14.44</v>
      </c>
      <c r="N1755" s="6">
        <v>4065.83</v>
      </c>
      <c r="O1755" s="6">
        <f t="shared" si="136"/>
        <v>3704.87</v>
      </c>
      <c r="P1755" s="6">
        <f t="shared" si="137"/>
        <v>10.263935062056738</v>
      </c>
      <c r="Q1755" s="3">
        <v>11.26</v>
      </c>
      <c r="R1755" t="str">
        <f t="shared" si="138"/>
        <v>High</v>
      </c>
      <c r="S1755" t="str">
        <f t="shared" si="139"/>
        <v>Valid</v>
      </c>
    </row>
    <row r="1756" spans="1:19" x14ac:dyDescent="0.25">
      <c r="A1756" s="1">
        <v>45433</v>
      </c>
      <c r="B1756" s="1" t="str">
        <f t="shared" si="135"/>
        <v>2024-05</v>
      </c>
      <c r="C1756" t="s">
        <v>28</v>
      </c>
      <c r="D1756" t="s">
        <v>21</v>
      </c>
      <c r="E1756" t="s">
        <v>30</v>
      </c>
      <c r="F1756" t="s">
        <v>31</v>
      </c>
      <c r="G1756" s="4">
        <v>15865</v>
      </c>
      <c r="H1756" s="4">
        <v>528</v>
      </c>
      <c r="I1756" s="5">
        <v>3.3300000000000003E-2</v>
      </c>
      <c r="J1756" s="2">
        <v>1.88</v>
      </c>
      <c r="K1756" s="6">
        <v>992.64</v>
      </c>
      <c r="L1756" s="4">
        <v>39</v>
      </c>
      <c r="M1756" s="2">
        <v>25.45</v>
      </c>
      <c r="N1756" s="6">
        <v>3165.22</v>
      </c>
      <c r="O1756" s="6">
        <f t="shared" si="136"/>
        <v>2172.58</v>
      </c>
      <c r="P1756" s="6">
        <f t="shared" si="137"/>
        <v>2.1886887491940681</v>
      </c>
      <c r="Q1756" s="3">
        <v>3.19</v>
      </c>
      <c r="R1756" t="str">
        <f t="shared" si="138"/>
        <v>High</v>
      </c>
      <c r="S1756" t="str">
        <f t="shared" si="139"/>
        <v>Valid</v>
      </c>
    </row>
    <row r="1757" spans="1:19" x14ac:dyDescent="0.25">
      <c r="A1757" s="1">
        <v>45622</v>
      </c>
      <c r="B1757" s="1" t="str">
        <f t="shared" si="135"/>
        <v>2024-11</v>
      </c>
      <c r="C1757" t="s">
        <v>14</v>
      </c>
      <c r="D1757" t="s">
        <v>21</v>
      </c>
      <c r="E1757" t="s">
        <v>19</v>
      </c>
      <c r="F1757" t="s">
        <v>17</v>
      </c>
      <c r="G1757" s="4">
        <v>80511</v>
      </c>
      <c r="H1757" s="4">
        <v>3622</v>
      </c>
      <c r="I1757" s="5">
        <v>4.4999999999999998E-2</v>
      </c>
      <c r="J1757" s="2">
        <v>3.32</v>
      </c>
      <c r="K1757" s="6">
        <v>12025.04</v>
      </c>
      <c r="L1757" s="4">
        <v>140</v>
      </c>
      <c r="M1757" s="2">
        <v>85.89</v>
      </c>
      <c r="N1757" s="6">
        <v>31780.44</v>
      </c>
      <c r="O1757" s="6">
        <f t="shared" si="136"/>
        <v>19755.399999999998</v>
      </c>
      <c r="P1757" s="6">
        <f t="shared" si="137"/>
        <v>1.6428552420615645</v>
      </c>
      <c r="Q1757" s="3">
        <v>2.64</v>
      </c>
      <c r="R1757" t="str">
        <f t="shared" si="138"/>
        <v>Medium</v>
      </c>
      <c r="S1757" t="str">
        <f t="shared" si="139"/>
        <v>Valid</v>
      </c>
    </row>
    <row r="1758" spans="1:19" x14ac:dyDescent="0.25">
      <c r="A1758" s="1">
        <v>45469</v>
      </c>
      <c r="B1758" s="1" t="str">
        <f t="shared" si="135"/>
        <v>2024-06</v>
      </c>
      <c r="C1758" t="s">
        <v>14</v>
      </c>
      <c r="D1758" t="s">
        <v>24</v>
      </c>
      <c r="E1758" t="s">
        <v>30</v>
      </c>
      <c r="F1758" t="s">
        <v>20</v>
      </c>
      <c r="G1758" s="4">
        <v>143944</v>
      </c>
      <c r="H1758" s="4">
        <v>7873</v>
      </c>
      <c r="I1758" s="5">
        <v>5.4699999999999999E-2</v>
      </c>
      <c r="J1758" s="2">
        <v>2.11</v>
      </c>
      <c r="K1758" s="6">
        <v>16612.03</v>
      </c>
      <c r="L1758" s="4">
        <v>513</v>
      </c>
      <c r="M1758" s="2">
        <v>32.380000000000003</v>
      </c>
      <c r="N1758" s="6">
        <v>65899.820000000007</v>
      </c>
      <c r="O1758" s="6">
        <f t="shared" si="136"/>
        <v>49287.790000000008</v>
      </c>
      <c r="P1758" s="6">
        <f t="shared" si="137"/>
        <v>2.9669937990721191</v>
      </c>
      <c r="Q1758" s="3">
        <v>3.97</v>
      </c>
      <c r="R1758" t="str">
        <f t="shared" si="138"/>
        <v>High</v>
      </c>
      <c r="S1758" t="str">
        <f t="shared" si="139"/>
        <v>Valid</v>
      </c>
    </row>
    <row r="1759" spans="1:19" x14ac:dyDescent="0.25">
      <c r="A1759" s="1">
        <v>45481</v>
      </c>
      <c r="B1759" s="1" t="str">
        <f t="shared" si="135"/>
        <v>2024-07</v>
      </c>
      <c r="C1759" t="s">
        <v>28</v>
      </c>
      <c r="D1759" t="s">
        <v>15</v>
      </c>
      <c r="E1759" t="s">
        <v>25</v>
      </c>
      <c r="F1759" t="s">
        <v>20</v>
      </c>
      <c r="G1759" s="4">
        <v>44612</v>
      </c>
      <c r="H1759" s="4">
        <v>811</v>
      </c>
      <c r="I1759" s="5">
        <v>1.8200000000000001E-2</v>
      </c>
      <c r="J1759" s="2">
        <v>2</v>
      </c>
      <c r="K1759" s="6">
        <v>1622</v>
      </c>
      <c r="L1759" s="4">
        <v>23</v>
      </c>
      <c r="M1759" s="2">
        <v>70.52</v>
      </c>
      <c r="N1759" s="6">
        <v>1008.1</v>
      </c>
      <c r="O1759" s="6">
        <f t="shared" si="136"/>
        <v>-613.9</v>
      </c>
      <c r="P1759" s="6">
        <f t="shared" si="137"/>
        <v>-0.37848335388409371</v>
      </c>
      <c r="Q1759" s="3">
        <v>0.62</v>
      </c>
      <c r="R1759" t="str">
        <f t="shared" si="138"/>
        <v>Low</v>
      </c>
      <c r="S1759" t="str">
        <f t="shared" si="139"/>
        <v>Valid</v>
      </c>
    </row>
    <row r="1760" spans="1:19" x14ac:dyDescent="0.25">
      <c r="A1760" s="1">
        <v>45609</v>
      </c>
      <c r="B1760" s="1" t="str">
        <f t="shared" si="135"/>
        <v>2024-11</v>
      </c>
      <c r="C1760" t="s">
        <v>14</v>
      </c>
      <c r="D1760" t="s">
        <v>29</v>
      </c>
      <c r="E1760" t="s">
        <v>30</v>
      </c>
      <c r="F1760" t="s">
        <v>32</v>
      </c>
      <c r="G1760" s="4">
        <v>17299</v>
      </c>
      <c r="H1760" s="4">
        <v>479</v>
      </c>
      <c r="I1760" s="5">
        <v>2.7699999999999999E-2</v>
      </c>
      <c r="J1760" s="2">
        <v>1.94</v>
      </c>
      <c r="K1760" s="6">
        <v>929.26</v>
      </c>
      <c r="L1760" s="4">
        <v>30</v>
      </c>
      <c r="M1760" s="2">
        <v>30.98</v>
      </c>
      <c r="N1760" s="6">
        <v>3163.73</v>
      </c>
      <c r="O1760" s="6">
        <f t="shared" si="136"/>
        <v>2234.4700000000003</v>
      </c>
      <c r="P1760" s="6">
        <f t="shared" si="137"/>
        <v>2.4045692271269616</v>
      </c>
      <c r="Q1760" s="3">
        <v>3.4</v>
      </c>
      <c r="R1760" t="str">
        <f t="shared" si="138"/>
        <v>High</v>
      </c>
      <c r="S1760" t="str">
        <f t="shared" si="139"/>
        <v>Valid</v>
      </c>
    </row>
    <row r="1761" spans="1:19" x14ac:dyDescent="0.25">
      <c r="A1761" s="1">
        <v>45594</v>
      </c>
      <c r="B1761" s="1" t="str">
        <f t="shared" si="135"/>
        <v>2024-10</v>
      </c>
      <c r="C1761" t="s">
        <v>18</v>
      </c>
      <c r="D1761" t="s">
        <v>24</v>
      </c>
      <c r="E1761" t="s">
        <v>22</v>
      </c>
      <c r="F1761" t="s">
        <v>17</v>
      </c>
      <c r="G1761" s="4">
        <v>71514</v>
      </c>
      <c r="H1761" s="4">
        <v>3354</v>
      </c>
      <c r="I1761" s="5">
        <v>4.6899999999999997E-2</v>
      </c>
      <c r="J1761" s="2">
        <v>1.31</v>
      </c>
      <c r="K1761" s="6">
        <v>4393.74</v>
      </c>
      <c r="L1761" s="4">
        <v>165</v>
      </c>
      <c r="M1761" s="2">
        <v>26.63</v>
      </c>
      <c r="N1761" s="6">
        <v>17363.87</v>
      </c>
      <c r="O1761" s="6">
        <f t="shared" si="136"/>
        <v>12970.13</v>
      </c>
      <c r="P1761" s="6">
        <f t="shared" si="137"/>
        <v>2.9519566474119996</v>
      </c>
      <c r="Q1761" s="3">
        <v>3.95</v>
      </c>
      <c r="R1761" t="str">
        <f t="shared" si="138"/>
        <v>High</v>
      </c>
      <c r="S1761" t="str">
        <f t="shared" si="139"/>
        <v>Valid</v>
      </c>
    </row>
    <row r="1762" spans="1:19" x14ac:dyDescent="0.25">
      <c r="A1762" s="1">
        <v>45365</v>
      </c>
      <c r="B1762" s="1" t="str">
        <f t="shared" si="135"/>
        <v>2024-03</v>
      </c>
      <c r="C1762" t="s">
        <v>14</v>
      </c>
      <c r="D1762" t="s">
        <v>21</v>
      </c>
      <c r="E1762" t="s">
        <v>30</v>
      </c>
      <c r="F1762" t="s">
        <v>31</v>
      </c>
      <c r="G1762" s="4">
        <v>37135</v>
      </c>
      <c r="H1762" s="4">
        <v>1006</v>
      </c>
      <c r="I1762" s="5">
        <v>2.7099999999999999E-2</v>
      </c>
      <c r="J1762" s="2">
        <v>1.92</v>
      </c>
      <c r="K1762" s="6">
        <v>1931.52</v>
      </c>
      <c r="L1762" s="4">
        <v>62</v>
      </c>
      <c r="M1762" s="2">
        <v>31.15</v>
      </c>
      <c r="N1762" s="6">
        <v>17772.87</v>
      </c>
      <c r="O1762" s="6">
        <f t="shared" si="136"/>
        <v>15841.349999999999</v>
      </c>
      <c r="P1762" s="6">
        <f t="shared" si="137"/>
        <v>8.2014941600397613</v>
      </c>
      <c r="Q1762" s="3">
        <v>9.1999999999999993</v>
      </c>
      <c r="R1762" t="str">
        <f t="shared" si="138"/>
        <v>High</v>
      </c>
      <c r="S1762" t="str">
        <f t="shared" si="139"/>
        <v>Valid</v>
      </c>
    </row>
    <row r="1763" spans="1:19" x14ac:dyDescent="0.25">
      <c r="A1763" s="1">
        <v>45619</v>
      </c>
      <c r="B1763" s="1" t="str">
        <f t="shared" si="135"/>
        <v>2024-11</v>
      </c>
      <c r="C1763" t="s">
        <v>14</v>
      </c>
      <c r="D1763" t="s">
        <v>29</v>
      </c>
      <c r="E1763" t="s">
        <v>19</v>
      </c>
      <c r="F1763" t="s">
        <v>17</v>
      </c>
      <c r="G1763" s="4">
        <v>80542</v>
      </c>
      <c r="H1763" s="4">
        <v>4236</v>
      </c>
      <c r="I1763" s="5">
        <v>5.2600000000000001E-2</v>
      </c>
      <c r="J1763" s="2">
        <v>2.15</v>
      </c>
      <c r="K1763" s="6">
        <v>9107.4</v>
      </c>
      <c r="L1763" s="4">
        <v>104</v>
      </c>
      <c r="M1763" s="2">
        <v>87.57</v>
      </c>
      <c r="N1763" s="6">
        <v>15932.35</v>
      </c>
      <c r="O1763" s="6">
        <f t="shared" si="136"/>
        <v>6824.9500000000007</v>
      </c>
      <c r="P1763" s="6">
        <f t="shared" si="137"/>
        <v>0.74938511540066333</v>
      </c>
      <c r="Q1763" s="3">
        <v>1.75</v>
      </c>
      <c r="R1763" t="str">
        <f t="shared" si="138"/>
        <v>Medium</v>
      </c>
      <c r="S1763" t="str">
        <f t="shared" si="139"/>
        <v>Valid</v>
      </c>
    </row>
    <row r="1764" spans="1:19" x14ac:dyDescent="0.25">
      <c r="A1764" s="1">
        <v>45385</v>
      </c>
      <c r="B1764" s="1" t="str">
        <f t="shared" si="135"/>
        <v>2024-04</v>
      </c>
      <c r="C1764" t="s">
        <v>14</v>
      </c>
      <c r="D1764" t="s">
        <v>24</v>
      </c>
      <c r="E1764" t="s">
        <v>30</v>
      </c>
      <c r="F1764" t="s">
        <v>32</v>
      </c>
      <c r="G1764" s="4">
        <v>112992</v>
      </c>
      <c r="H1764" s="4">
        <v>2802</v>
      </c>
      <c r="I1764" s="5">
        <v>2.4799999999999999E-2</v>
      </c>
      <c r="J1764" s="2">
        <v>3</v>
      </c>
      <c r="K1764" s="6">
        <v>8406</v>
      </c>
      <c r="L1764" s="4">
        <v>124</v>
      </c>
      <c r="M1764" s="2">
        <v>67.790000000000006</v>
      </c>
      <c r="N1764" s="6">
        <v>7395.68</v>
      </c>
      <c r="O1764" s="6">
        <f t="shared" si="136"/>
        <v>-1010.3199999999997</v>
      </c>
      <c r="P1764" s="6">
        <f t="shared" si="137"/>
        <v>-0.12019034023316676</v>
      </c>
      <c r="Q1764" s="3">
        <v>0.88</v>
      </c>
      <c r="R1764" t="str">
        <f t="shared" si="138"/>
        <v>Low</v>
      </c>
      <c r="S1764" t="str">
        <f t="shared" si="139"/>
        <v>Valid</v>
      </c>
    </row>
    <row r="1765" spans="1:19" x14ac:dyDescent="0.25">
      <c r="A1765" s="1">
        <v>45452</v>
      </c>
      <c r="B1765" s="1" t="str">
        <f t="shared" si="135"/>
        <v>2024-06</v>
      </c>
      <c r="C1765" t="s">
        <v>28</v>
      </c>
      <c r="D1765" t="s">
        <v>15</v>
      </c>
      <c r="E1765" t="s">
        <v>25</v>
      </c>
      <c r="F1765" t="s">
        <v>20</v>
      </c>
      <c r="G1765" s="4">
        <v>119863</v>
      </c>
      <c r="H1765" s="4">
        <v>1114</v>
      </c>
      <c r="I1765" s="5">
        <v>9.2999999999999992E-3</v>
      </c>
      <c r="J1765" s="2">
        <v>1.23</v>
      </c>
      <c r="K1765" s="6">
        <v>1370.22</v>
      </c>
      <c r="L1765" s="4">
        <v>75</v>
      </c>
      <c r="M1765" s="2">
        <v>18.27</v>
      </c>
      <c r="N1765" s="6">
        <v>21180.36</v>
      </c>
      <c r="O1765" s="6">
        <f t="shared" si="136"/>
        <v>19810.14</v>
      </c>
      <c r="P1765" s="6">
        <f t="shared" si="137"/>
        <v>14.457634540438761</v>
      </c>
      <c r="Q1765" s="3">
        <v>15.46</v>
      </c>
      <c r="R1765" t="str">
        <f t="shared" si="138"/>
        <v>High</v>
      </c>
      <c r="S1765" t="str">
        <f t="shared" si="139"/>
        <v>Valid</v>
      </c>
    </row>
    <row r="1766" spans="1:19" x14ac:dyDescent="0.25">
      <c r="A1766" s="1">
        <v>45329</v>
      </c>
      <c r="B1766" s="1" t="str">
        <f t="shared" si="135"/>
        <v>2024-02</v>
      </c>
      <c r="C1766" t="s">
        <v>18</v>
      </c>
      <c r="D1766" t="s">
        <v>15</v>
      </c>
      <c r="E1766" t="s">
        <v>16</v>
      </c>
      <c r="F1766" t="s">
        <v>26</v>
      </c>
      <c r="G1766" s="4">
        <v>108806</v>
      </c>
      <c r="H1766" s="4">
        <v>5070</v>
      </c>
      <c r="I1766" s="5">
        <v>4.6600000000000003E-2</v>
      </c>
      <c r="J1766" s="2">
        <v>0.36</v>
      </c>
      <c r="K1766" s="6">
        <v>1825.2</v>
      </c>
      <c r="L1766" s="4">
        <v>279</v>
      </c>
      <c r="M1766" s="2">
        <v>6.54</v>
      </c>
      <c r="N1766" s="6">
        <v>26787.94</v>
      </c>
      <c r="O1766" s="6">
        <f t="shared" si="136"/>
        <v>24962.739999999998</v>
      </c>
      <c r="P1766" s="6">
        <f t="shared" si="137"/>
        <v>13.676714880561033</v>
      </c>
      <c r="Q1766" s="3">
        <v>14.68</v>
      </c>
      <c r="R1766" t="str">
        <f t="shared" si="138"/>
        <v>High</v>
      </c>
      <c r="S1766" t="str">
        <f t="shared" si="139"/>
        <v>Valid</v>
      </c>
    </row>
    <row r="1767" spans="1:19" x14ac:dyDescent="0.25">
      <c r="A1767" s="1">
        <v>45626</v>
      </c>
      <c r="B1767" s="1" t="str">
        <f t="shared" si="135"/>
        <v>2024-11</v>
      </c>
      <c r="C1767" t="s">
        <v>18</v>
      </c>
      <c r="D1767" t="s">
        <v>24</v>
      </c>
      <c r="E1767" t="s">
        <v>22</v>
      </c>
      <c r="F1767" t="s">
        <v>20</v>
      </c>
      <c r="G1767" s="4">
        <v>7234</v>
      </c>
      <c r="H1767" s="4">
        <v>496</v>
      </c>
      <c r="I1767" s="5">
        <v>6.8699999999999997E-2</v>
      </c>
      <c r="J1767" s="2">
        <v>0.71</v>
      </c>
      <c r="K1767" s="6">
        <v>352.16</v>
      </c>
      <c r="L1767" s="4">
        <v>10</v>
      </c>
      <c r="M1767" s="2">
        <v>35.22</v>
      </c>
      <c r="N1767" s="6">
        <v>399.8</v>
      </c>
      <c r="O1767" s="6">
        <f t="shared" si="136"/>
        <v>47.639999999999986</v>
      </c>
      <c r="P1767" s="6">
        <f t="shared" si="137"/>
        <v>0.13527941844616079</v>
      </c>
      <c r="Q1767" s="3">
        <v>1.1399999999999999</v>
      </c>
      <c r="R1767" t="str">
        <f t="shared" si="138"/>
        <v>Medium</v>
      </c>
      <c r="S1767" t="str">
        <f t="shared" si="139"/>
        <v>Valid</v>
      </c>
    </row>
    <row r="1768" spans="1:19" x14ac:dyDescent="0.25">
      <c r="A1768" s="1">
        <v>45415</v>
      </c>
      <c r="B1768" s="1" t="str">
        <f t="shared" si="135"/>
        <v>2024-05</v>
      </c>
      <c r="C1768" t="s">
        <v>28</v>
      </c>
      <c r="D1768" t="s">
        <v>24</v>
      </c>
      <c r="E1768" t="s">
        <v>16</v>
      </c>
      <c r="F1768" t="s">
        <v>32</v>
      </c>
      <c r="G1768" s="4">
        <v>143541</v>
      </c>
      <c r="H1768" s="4">
        <v>1980</v>
      </c>
      <c r="I1768" s="5">
        <v>1.38E-2</v>
      </c>
      <c r="J1768" s="2">
        <v>1.41</v>
      </c>
      <c r="K1768" s="6">
        <v>2791.8</v>
      </c>
      <c r="L1768" s="4">
        <v>152</v>
      </c>
      <c r="M1768" s="2">
        <v>18.37</v>
      </c>
      <c r="N1768" s="6">
        <v>42063.3</v>
      </c>
      <c r="O1768" s="6">
        <f t="shared" si="136"/>
        <v>39271.5</v>
      </c>
      <c r="P1768" s="6">
        <f t="shared" si="137"/>
        <v>14.066731141199226</v>
      </c>
      <c r="Q1768" s="3">
        <v>15.07</v>
      </c>
      <c r="R1768" t="str">
        <f t="shared" si="138"/>
        <v>High</v>
      </c>
      <c r="S1768" t="str">
        <f t="shared" si="139"/>
        <v>Valid</v>
      </c>
    </row>
    <row r="1769" spans="1:19" x14ac:dyDescent="0.25">
      <c r="A1769" s="1">
        <v>45372</v>
      </c>
      <c r="B1769" s="1" t="str">
        <f t="shared" si="135"/>
        <v>2024-03</v>
      </c>
      <c r="C1769" t="s">
        <v>18</v>
      </c>
      <c r="D1769" t="s">
        <v>21</v>
      </c>
      <c r="E1769" t="s">
        <v>19</v>
      </c>
      <c r="F1769" t="s">
        <v>31</v>
      </c>
      <c r="G1769" s="4">
        <v>5497</v>
      </c>
      <c r="H1769" s="4">
        <v>231</v>
      </c>
      <c r="I1769" s="5">
        <v>4.2200000000000001E-2</v>
      </c>
      <c r="J1769" s="2">
        <v>1.38</v>
      </c>
      <c r="K1769" s="6">
        <v>318.77999999999997</v>
      </c>
      <c r="L1769" s="4">
        <v>18</v>
      </c>
      <c r="M1769" s="2">
        <v>17.71</v>
      </c>
      <c r="N1769" s="6">
        <v>4467.32</v>
      </c>
      <c r="O1769" s="6">
        <f t="shared" si="136"/>
        <v>4148.54</v>
      </c>
      <c r="P1769" s="6">
        <f t="shared" si="137"/>
        <v>13.013802622498275</v>
      </c>
      <c r="Q1769" s="3">
        <v>14.01</v>
      </c>
      <c r="R1769" t="str">
        <f t="shared" si="138"/>
        <v>High</v>
      </c>
      <c r="S1769" t="str">
        <f t="shared" si="139"/>
        <v>Valid</v>
      </c>
    </row>
    <row r="1770" spans="1:19" x14ac:dyDescent="0.25">
      <c r="A1770" s="1">
        <v>45354</v>
      </c>
      <c r="B1770" s="1" t="str">
        <f t="shared" si="135"/>
        <v>2024-03</v>
      </c>
      <c r="C1770" t="s">
        <v>28</v>
      </c>
      <c r="D1770" t="s">
        <v>29</v>
      </c>
      <c r="E1770" t="s">
        <v>19</v>
      </c>
      <c r="F1770" t="s">
        <v>20</v>
      </c>
      <c r="G1770" s="4">
        <v>160478</v>
      </c>
      <c r="H1770" s="4">
        <v>4413</v>
      </c>
      <c r="I1770" s="5">
        <v>2.75E-2</v>
      </c>
      <c r="J1770" s="2">
        <v>1.02</v>
      </c>
      <c r="K1770" s="6">
        <v>4501.26</v>
      </c>
      <c r="L1770" s="4">
        <v>82</v>
      </c>
      <c r="M1770" s="2">
        <v>54.89</v>
      </c>
      <c r="N1770" s="6">
        <v>13362.88</v>
      </c>
      <c r="O1770" s="6">
        <f t="shared" si="136"/>
        <v>8861.619999999999</v>
      </c>
      <c r="P1770" s="6">
        <f t="shared" si="137"/>
        <v>1.9686976535458958</v>
      </c>
      <c r="Q1770" s="3">
        <v>2.97</v>
      </c>
      <c r="R1770" t="str">
        <f t="shared" si="138"/>
        <v>Medium</v>
      </c>
      <c r="S1770" t="str">
        <f t="shared" si="139"/>
        <v>Valid</v>
      </c>
    </row>
    <row r="1771" spans="1:19" x14ac:dyDescent="0.25">
      <c r="A1771" s="1">
        <v>45579</v>
      </c>
      <c r="B1771" s="1" t="str">
        <f t="shared" si="135"/>
        <v>2024-10</v>
      </c>
      <c r="C1771" t="s">
        <v>14</v>
      </c>
      <c r="D1771" t="s">
        <v>21</v>
      </c>
      <c r="E1771" t="s">
        <v>30</v>
      </c>
      <c r="F1771" t="s">
        <v>20</v>
      </c>
      <c r="G1771" s="4">
        <v>116011</v>
      </c>
      <c r="H1771" s="4">
        <v>2726</v>
      </c>
      <c r="I1771" s="5">
        <v>2.35E-2</v>
      </c>
      <c r="J1771" s="2">
        <v>1.96</v>
      </c>
      <c r="K1771" s="6">
        <v>5342.96</v>
      </c>
      <c r="L1771" s="4">
        <v>127</v>
      </c>
      <c r="M1771" s="2">
        <v>42.07</v>
      </c>
      <c r="N1771" s="6">
        <v>4188.78</v>
      </c>
      <c r="O1771" s="6">
        <f t="shared" si="136"/>
        <v>-1154.1800000000003</v>
      </c>
      <c r="P1771" s="6">
        <f t="shared" si="137"/>
        <v>-0.21601883600101821</v>
      </c>
      <c r="Q1771" s="3">
        <v>0.78</v>
      </c>
      <c r="R1771" t="str">
        <f t="shared" si="138"/>
        <v>Low</v>
      </c>
      <c r="S1771" t="str">
        <f t="shared" si="139"/>
        <v>Valid</v>
      </c>
    </row>
    <row r="1772" spans="1:19" x14ac:dyDescent="0.25">
      <c r="A1772" s="1">
        <v>45552</v>
      </c>
      <c r="B1772" s="1" t="str">
        <f t="shared" si="135"/>
        <v>2024-09</v>
      </c>
      <c r="C1772" t="s">
        <v>28</v>
      </c>
      <c r="D1772" t="s">
        <v>15</v>
      </c>
      <c r="E1772" t="s">
        <v>19</v>
      </c>
      <c r="F1772" t="s">
        <v>26</v>
      </c>
      <c r="G1772" s="4">
        <v>166243</v>
      </c>
      <c r="H1772" s="4">
        <v>1895</v>
      </c>
      <c r="I1772" s="5">
        <v>1.14E-2</v>
      </c>
      <c r="J1772" s="2">
        <v>0.92</v>
      </c>
      <c r="K1772" s="6">
        <v>1743.4</v>
      </c>
      <c r="L1772" s="4">
        <v>51</v>
      </c>
      <c r="M1772" s="2">
        <v>34.18</v>
      </c>
      <c r="N1772" s="6">
        <v>5887.21</v>
      </c>
      <c r="O1772" s="6">
        <f t="shared" si="136"/>
        <v>4143.8099999999995</v>
      </c>
      <c r="P1772" s="6">
        <f t="shared" si="137"/>
        <v>2.3768555695766889</v>
      </c>
      <c r="Q1772" s="3">
        <v>3.38</v>
      </c>
      <c r="R1772" t="str">
        <f t="shared" si="138"/>
        <v>High</v>
      </c>
      <c r="S1772" t="str">
        <f t="shared" si="139"/>
        <v>Valid</v>
      </c>
    </row>
    <row r="1773" spans="1:19" x14ac:dyDescent="0.25">
      <c r="A1773" s="1">
        <v>45307</v>
      </c>
      <c r="B1773" s="1" t="str">
        <f t="shared" si="135"/>
        <v>2024-01</v>
      </c>
      <c r="C1773" t="s">
        <v>18</v>
      </c>
      <c r="D1773" t="s">
        <v>21</v>
      </c>
      <c r="E1773" t="s">
        <v>30</v>
      </c>
      <c r="F1773" t="s">
        <v>32</v>
      </c>
      <c r="G1773" s="4">
        <v>62868</v>
      </c>
      <c r="H1773" s="4">
        <v>2715</v>
      </c>
      <c r="I1773" s="5">
        <v>4.3200000000000002E-2</v>
      </c>
      <c r="J1773" s="2">
        <v>1.6</v>
      </c>
      <c r="K1773" s="6">
        <v>4344</v>
      </c>
      <c r="L1773" s="4">
        <v>180</v>
      </c>
      <c r="M1773" s="2">
        <v>24.13</v>
      </c>
      <c r="N1773" s="6">
        <v>35590.01</v>
      </c>
      <c r="O1773" s="6">
        <f t="shared" si="136"/>
        <v>31246.010000000002</v>
      </c>
      <c r="P1773" s="6">
        <f t="shared" si="137"/>
        <v>7.1929120626151022</v>
      </c>
      <c r="Q1773" s="3">
        <v>8.19</v>
      </c>
      <c r="R1773" t="str">
        <f t="shared" si="138"/>
        <v>High</v>
      </c>
      <c r="S1773" t="str">
        <f t="shared" si="139"/>
        <v>Valid</v>
      </c>
    </row>
    <row r="1774" spans="1:19" x14ac:dyDescent="0.25">
      <c r="A1774" s="1">
        <v>45641</v>
      </c>
      <c r="B1774" s="1" t="str">
        <f t="shared" si="135"/>
        <v>2024-12</v>
      </c>
      <c r="C1774" t="s">
        <v>14</v>
      </c>
      <c r="D1774" t="s">
        <v>21</v>
      </c>
      <c r="E1774" t="s">
        <v>19</v>
      </c>
      <c r="F1774" t="s">
        <v>17</v>
      </c>
      <c r="G1774" s="4">
        <v>132953</v>
      </c>
      <c r="H1774" s="4">
        <v>8163</v>
      </c>
      <c r="I1774" s="5">
        <v>6.1400000000000003E-2</v>
      </c>
      <c r="J1774" s="2">
        <v>2.76</v>
      </c>
      <c r="K1774" s="6">
        <v>22529.88</v>
      </c>
      <c r="L1774" s="4">
        <v>130</v>
      </c>
      <c r="M1774" s="2">
        <v>173.31</v>
      </c>
      <c r="N1774" s="6">
        <v>16572.400000000001</v>
      </c>
      <c r="O1774" s="6">
        <f t="shared" si="136"/>
        <v>-5957.48</v>
      </c>
      <c r="P1774" s="6">
        <f t="shared" si="137"/>
        <v>-0.2644257315174337</v>
      </c>
      <c r="Q1774" s="3">
        <v>0.74</v>
      </c>
      <c r="R1774" t="str">
        <f t="shared" si="138"/>
        <v>Low</v>
      </c>
      <c r="S1774" t="str">
        <f t="shared" si="139"/>
        <v>Valid</v>
      </c>
    </row>
    <row r="1775" spans="1:19" x14ac:dyDescent="0.25">
      <c r="A1775" s="1">
        <v>45362</v>
      </c>
      <c r="B1775" s="1" t="str">
        <f t="shared" si="135"/>
        <v>2024-03</v>
      </c>
      <c r="C1775" t="s">
        <v>28</v>
      </c>
      <c r="D1775" t="s">
        <v>29</v>
      </c>
      <c r="E1775" t="s">
        <v>22</v>
      </c>
      <c r="F1775" t="s">
        <v>17</v>
      </c>
      <c r="G1775" s="4">
        <v>107326</v>
      </c>
      <c r="H1775" s="4">
        <v>2436</v>
      </c>
      <c r="I1775" s="5">
        <v>2.2700000000000001E-2</v>
      </c>
      <c r="J1775" s="2">
        <v>0.77</v>
      </c>
      <c r="K1775" s="6">
        <v>1875.72</v>
      </c>
      <c r="L1775" s="4">
        <v>84</v>
      </c>
      <c r="M1775" s="2">
        <v>22.33</v>
      </c>
      <c r="N1775" s="6">
        <v>5936.35</v>
      </c>
      <c r="O1775" s="6">
        <f t="shared" si="136"/>
        <v>4060.63</v>
      </c>
      <c r="P1775" s="6">
        <f t="shared" si="137"/>
        <v>2.1648380355276906</v>
      </c>
      <c r="Q1775" s="3">
        <v>3.16</v>
      </c>
      <c r="R1775" t="str">
        <f t="shared" si="138"/>
        <v>High</v>
      </c>
      <c r="S1775" t="str">
        <f t="shared" si="139"/>
        <v>Valid</v>
      </c>
    </row>
    <row r="1776" spans="1:19" x14ac:dyDescent="0.25">
      <c r="A1776" s="1">
        <v>45379</v>
      </c>
      <c r="B1776" s="1" t="str">
        <f t="shared" si="135"/>
        <v>2024-03</v>
      </c>
      <c r="C1776" t="s">
        <v>18</v>
      </c>
      <c r="D1776" t="s">
        <v>15</v>
      </c>
      <c r="E1776" t="s">
        <v>30</v>
      </c>
      <c r="F1776" t="s">
        <v>32</v>
      </c>
      <c r="G1776" s="4">
        <v>24854</v>
      </c>
      <c r="H1776" s="4">
        <v>1106</v>
      </c>
      <c r="I1776" s="5">
        <v>4.4499999999999998E-2</v>
      </c>
      <c r="J1776" s="2">
        <v>1.1399999999999999</v>
      </c>
      <c r="K1776" s="6">
        <v>1260.8399999999999</v>
      </c>
      <c r="L1776" s="4">
        <v>38</v>
      </c>
      <c r="M1776" s="2">
        <v>33.18</v>
      </c>
      <c r="N1776" s="6">
        <v>8735.32</v>
      </c>
      <c r="O1776" s="6">
        <f t="shared" si="136"/>
        <v>7474.48</v>
      </c>
      <c r="P1776" s="6">
        <f t="shared" si="137"/>
        <v>5.9281748675486181</v>
      </c>
      <c r="Q1776" s="3">
        <v>6.93</v>
      </c>
      <c r="R1776" t="str">
        <f t="shared" si="138"/>
        <v>High</v>
      </c>
      <c r="S1776" t="str">
        <f t="shared" si="139"/>
        <v>Valid</v>
      </c>
    </row>
    <row r="1777" spans="1:19" x14ac:dyDescent="0.25">
      <c r="A1777" s="1">
        <v>45387</v>
      </c>
      <c r="B1777" s="1" t="str">
        <f t="shared" si="135"/>
        <v>2024-04</v>
      </c>
      <c r="C1777" t="s">
        <v>14</v>
      </c>
      <c r="D1777" t="s">
        <v>29</v>
      </c>
      <c r="E1777" t="s">
        <v>22</v>
      </c>
      <c r="F1777" t="s">
        <v>31</v>
      </c>
      <c r="G1777" s="4">
        <v>175949</v>
      </c>
      <c r="H1777" s="4">
        <v>7108</v>
      </c>
      <c r="I1777" s="5">
        <v>4.0399999999999998E-2</v>
      </c>
      <c r="J1777" s="2">
        <v>2.44</v>
      </c>
      <c r="K1777" s="6">
        <v>17343.52</v>
      </c>
      <c r="L1777" s="4">
        <v>75</v>
      </c>
      <c r="M1777" s="2">
        <v>231.25</v>
      </c>
      <c r="N1777" s="6">
        <v>22062.99</v>
      </c>
      <c r="O1777" s="6">
        <f t="shared" si="136"/>
        <v>4719.4700000000012</v>
      </c>
      <c r="P1777" s="6">
        <f t="shared" si="137"/>
        <v>0.27211719420279162</v>
      </c>
      <c r="Q1777" s="3">
        <v>1.27</v>
      </c>
      <c r="R1777" t="str">
        <f t="shared" si="138"/>
        <v>Medium</v>
      </c>
      <c r="S1777" t="str">
        <f t="shared" si="139"/>
        <v>Valid</v>
      </c>
    </row>
    <row r="1778" spans="1:19" x14ac:dyDescent="0.25">
      <c r="A1778" s="1">
        <v>45653</v>
      </c>
      <c r="B1778" s="1" t="str">
        <f t="shared" si="135"/>
        <v>2024-12</v>
      </c>
      <c r="C1778" t="s">
        <v>18</v>
      </c>
      <c r="D1778" t="s">
        <v>24</v>
      </c>
      <c r="E1778" t="s">
        <v>19</v>
      </c>
      <c r="F1778" t="s">
        <v>23</v>
      </c>
      <c r="G1778" s="4">
        <v>131956</v>
      </c>
      <c r="H1778" s="4">
        <v>7772</v>
      </c>
      <c r="I1778" s="5">
        <v>5.8900000000000001E-2</v>
      </c>
      <c r="J1778" s="2">
        <v>0.28999999999999998</v>
      </c>
      <c r="K1778" s="6">
        <v>2253.88</v>
      </c>
      <c r="L1778" s="4">
        <v>211</v>
      </c>
      <c r="M1778" s="2">
        <v>10.68</v>
      </c>
      <c r="N1778" s="6">
        <v>23120.58</v>
      </c>
      <c r="O1778" s="6">
        <f t="shared" si="136"/>
        <v>20866.7</v>
      </c>
      <c r="P1778" s="6">
        <f t="shared" si="137"/>
        <v>9.2581237687898206</v>
      </c>
      <c r="Q1778" s="3">
        <v>10.26</v>
      </c>
      <c r="R1778" t="str">
        <f t="shared" si="138"/>
        <v>High</v>
      </c>
      <c r="S1778" t="str">
        <f t="shared" si="139"/>
        <v>Valid</v>
      </c>
    </row>
    <row r="1779" spans="1:19" x14ac:dyDescent="0.25">
      <c r="A1779" s="1">
        <v>45607</v>
      </c>
      <c r="B1779" s="1" t="str">
        <f t="shared" si="135"/>
        <v>2024-11</v>
      </c>
      <c r="C1779" t="s">
        <v>14</v>
      </c>
      <c r="D1779" t="s">
        <v>21</v>
      </c>
      <c r="E1779" t="s">
        <v>22</v>
      </c>
      <c r="F1779" t="s">
        <v>17</v>
      </c>
      <c r="G1779" s="4">
        <v>90096</v>
      </c>
      <c r="H1779" s="4">
        <v>4784</v>
      </c>
      <c r="I1779" s="5">
        <v>5.3100000000000001E-2</v>
      </c>
      <c r="J1779" s="2">
        <v>3.17</v>
      </c>
      <c r="K1779" s="6">
        <v>15165.28</v>
      </c>
      <c r="L1779" s="4">
        <v>310</v>
      </c>
      <c r="M1779" s="2">
        <v>48.92</v>
      </c>
      <c r="N1779" s="6">
        <v>81015.37</v>
      </c>
      <c r="O1779" s="6">
        <f t="shared" si="136"/>
        <v>65850.09</v>
      </c>
      <c r="P1779" s="6">
        <f t="shared" si="137"/>
        <v>4.3421611734171739</v>
      </c>
      <c r="Q1779" s="3">
        <v>5.34</v>
      </c>
      <c r="R1779" t="str">
        <f t="shared" si="138"/>
        <v>High</v>
      </c>
      <c r="S1779" t="str">
        <f t="shared" si="139"/>
        <v>Valid</v>
      </c>
    </row>
    <row r="1780" spans="1:19" x14ac:dyDescent="0.25">
      <c r="A1780" s="1">
        <v>45335</v>
      </c>
      <c r="B1780" s="1" t="str">
        <f t="shared" si="135"/>
        <v>2024-02</v>
      </c>
      <c r="C1780" t="s">
        <v>14</v>
      </c>
      <c r="D1780" t="s">
        <v>21</v>
      </c>
      <c r="E1780" t="s">
        <v>30</v>
      </c>
      <c r="F1780" t="s">
        <v>20</v>
      </c>
      <c r="G1780" s="4">
        <v>48766</v>
      </c>
      <c r="H1780" s="4">
        <v>1731</v>
      </c>
      <c r="I1780" s="5">
        <v>3.5499999999999997E-2</v>
      </c>
      <c r="J1780" s="2">
        <v>1.04</v>
      </c>
      <c r="K1780" s="6">
        <v>1800.24</v>
      </c>
      <c r="L1780" s="4">
        <v>44</v>
      </c>
      <c r="M1780" s="2">
        <v>40.909999999999997</v>
      </c>
      <c r="N1780" s="6">
        <v>12477.84</v>
      </c>
      <c r="O1780" s="6">
        <f t="shared" si="136"/>
        <v>10677.6</v>
      </c>
      <c r="P1780" s="6">
        <f t="shared" si="137"/>
        <v>5.9312091721103855</v>
      </c>
      <c r="Q1780" s="3">
        <v>6.93</v>
      </c>
      <c r="R1780" t="str">
        <f t="shared" si="138"/>
        <v>High</v>
      </c>
      <c r="S1780" t="str">
        <f t="shared" si="139"/>
        <v>Valid</v>
      </c>
    </row>
    <row r="1781" spans="1:19" x14ac:dyDescent="0.25">
      <c r="A1781" s="1">
        <v>45406</v>
      </c>
      <c r="B1781" s="1" t="str">
        <f t="shared" si="135"/>
        <v>2024-04</v>
      </c>
      <c r="C1781" t="s">
        <v>28</v>
      </c>
      <c r="D1781" t="s">
        <v>29</v>
      </c>
      <c r="E1781" t="s">
        <v>16</v>
      </c>
      <c r="F1781" t="s">
        <v>23</v>
      </c>
      <c r="G1781" s="4">
        <v>68989</v>
      </c>
      <c r="H1781" s="4">
        <v>2952</v>
      </c>
      <c r="I1781" s="5">
        <v>4.2799999999999998E-2</v>
      </c>
      <c r="J1781" s="2">
        <v>1.79</v>
      </c>
      <c r="K1781" s="6">
        <v>5284.08</v>
      </c>
      <c r="L1781" s="4">
        <v>169</v>
      </c>
      <c r="M1781" s="2">
        <v>31.27</v>
      </c>
      <c r="N1781" s="6">
        <v>14776.11</v>
      </c>
      <c r="O1781" s="6">
        <f t="shared" si="136"/>
        <v>9492.0300000000007</v>
      </c>
      <c r="P1781" s="6">
        <f t="shared" si="137"/>
        <v>1.7963448698732798</v>
      </c>
      <c r="Q1781" s="3">
        <v>2.8</v>
      </c>
      <c r="R1781" t="str">
        <f t="shared" si="138"/>
        <v>Medium</v>
      </c>
      <c r="S1781" t="str">
        <f t="shared" si="139"/>
        <v>Valid</v>
      </c>
    </row>
    <row r="1782" spans="1:19" x14ac:dyDescent="0.25">
      <c r="A1782" s="1">
        <v>45578</v>
      </c>
      <c r="B1782" s="1" t="str">
        <f t="shared" si="135"/>
        <v>2024-10</v>
      </c>
      <c r="C1782" t="s">
        <v>14</v>
      </c>
      <c r="D1782" t="s">
        <v>15</v>
      </c>
      <c r="E1782" t="s">
        <v>30</v>
      </c>
      <c r="F1782" t="s">
        <v>31</v>
      </c>
      <c r="G1782" s="4">
        <v>197557</v>
      </c>
      <c r="H1782" s="4">
        <v>4326</v>
      </c>
      <c r="I1782" s="5">
        <v>2.1899999999999999E-2</v>
      </c>
      <c r="J1782" s="2">
        <v>1.18</v>
      </c>
      <c r="K1782" s="6">
        <v>5104.68</v>
      </c>
      <c r="L1782" s="4">
        <v>259</v>
      </c>
      <c r="M1782" s="2">
        <v>19.71</v>
      </c>
      <c r="N1782" s="6">
        <v>39016.050000000003</v>
      </c>
      <c r="O1782" s="6">
        <f t="shared" si="136"/>
        <v>33911.370000000003</v>
      </c>
      <c r="P1782" s="6">
        <f t="shared" si="137"/>
        <v>6.6431921295752137</v>
      </c>
      <c r="Q1782" s="3">
        <v>7.64</v>
      </c>
      <c r="R1782" t="str">
        <f t="shared" si="138"/>
        <v>High</v>
      </c>
      <c r="S1782" t="str">
        <f t="shared" si="139"/>
        <v>Valid</v>
      </c>
    </row>
    <row r="1783" spans="1:19" x14ac:dyDescent="0.25">
      <c r="A1783" s="1">
        <v>45426</v>
      </c>
      <c r="B1783" s="1" t="str">
        <f t="shared" si="135"/>
        <v>2024-05</v>
      </c>
      <c r="C1783" t="s">
        <v>14</v>
      </c>
      <c r="D1783" t="s">
        <v>21</v>
      </c>
      <c r="E1783" t="s">
        <v>30</v>
      </c>
      <c r="F1783" t="s">
        <v>27</v>
      </c>
      <c r="G1783" s="4">
        <v>96178</v>
      </c>
      <c r="H1783" s="4">
        <v>4328</v>
      </c>
      <c r="I1783" s="5">
        <v>4.4999999999999998E-2</v>
      </c>
      <c r="J1783" s="2">
        <v>3.36</v>
      </c>
      <c r="K1783" s="6">
        <v>14542.08</v>
      </c>
      <c r="L1783" s="4">
        <v>275</v>
      </c>
      <c r="M1783" s="2">
        <v>52.88</v>
      </c>
      <c r="N1783" s="6">
        <v>37193.1</v>
      </c>
      <c r="O1783" s="6">
        <f t="shared" si="136"/>
        <v>22651.019999999997</v>
      </c>
      <c r="P1783" s="6">
        <f t="shared" si="137"/>
        <v>1.5576189926062844</v>
      </c>
      <c r="Q1783" s="3">
        <v>2.56</v>
      </c>
      <c r="R1783" t="str">
        <f t="shared" si="138"/>
        <v>Medium</v>
      </c>
      <c r="S1783" t="str">
        <f t="shared" si="139"/>
        <v>Valid</v>
      </c>
    </row>
    <row r="1784" spans="1:19" x14ac:dyDescent="0.25">
      <c r="A1784" s="1">
        <v>45545</v>
      </c>
      <c r="B1784" s="1" t="str">
        <f t="shared" si="135"/>
        <v>2024-09</v>
      </c>
      <c r="C1784" t="s">
        <v>18</v>
      </c>
      <c r="D1784" t="s">
        <v>24</v>
      </c>
      <c r="E1784" t="s">
        <v>22</v>
      </c>
      <c r="F1784" t="s">
        <v>31</v>
      </c>
      <c r="G1784" s="4">
        <v>144940</v>
      </c>
      <c r="H1784" s="4">
        <v>5333</v>
      </c>
      <c r="I1784" s="5">
        <v>3.6799999999999999E-2</v>
      </c>
      <c r="J1784" s="2">
        <v>1.31</v>
      </c>
      <c r="K1784" s="6">
        <v>6986.23</v>
      </c>
      <c r="L1784" s="4">
        <v>148</v>
      </c>
      <c r="M1784" s="2">
        <v>47.2</v>
      </c>
      <c r="N1784" s="6">
        <v>32610.09</v>
      </c>
      <c r="O1784" s="6">
        <f t="shared" si="136"/>
        <v>25623.86</v>
      </c>
      <c r="P1784" s="6">
        <f t="shared" si="137"/>
        <v>3.6677664491435298</v>
      </c>
      <c r="Q1784" s="3">
        <v>4.67</v>
      </c>
      <c r="R1784" t="str">
        <f t="shared" si="138"/>
        <v>High</v>
      </c>
      <c r="S1784" t="str">
        <f t="shared" si="139"/>
        <v>Valid</v>
      </c>
    </row>
    <row r="1785" spans="1:19" x14ac:dyDescent="0.25">
      <c r="A1785" s="1">
        <v>45394</v>
      </c>
      <c r="B1785" s="1" t="str">
        <f t="shared" si="135"/>
        <v>2024-04</v>
      </c>
      <c r="C1785" t="s">
        <v>18</v>
      </c>
      <c r="D1785" t="s">
        <v>24</v>
      </c>
      <c r="E1785" t="s">
        <v>25</v>
      </c>
      <c r="F1785" t="s">
        <v>17</v>
      </c>
      <c r="G1785" s="4">
        <v>152322</v>
      </c>
      <c r="H1785" s="4">
        <v>13678</v>
      </c>
      <c r="I1785" s="5">
        <v>8.9800000000000005E-2</v>
      </c>
      <c r="J1785" s="2">
        <v>0.41</v>
      </c>
      <c r="K1785" s="6">
        <v>5607.98</v>
      </c>
      <c r="L1785" s="4">
        <v>813</v>
      </c>
      <c r="M1785" s="2">
        <v>6.9</v>
      </c>
      <c r="N1785" s="6">
        <v>103237.84</v>
      </c>
      <c r="O1785" s="6">
        <f t="shared" si="136"/>
        <v>97629.86</v>
      </c>
      <c r="P1785" s="6">
        <f t="shared" si="137"/>
        <v>17.40909561018406</v>
      </c>
      <c r="Q1785" s="3">
        <v>18.41</v>
      </c>
      <c r="R1785" t="str">
        <f t="shared" si="138"/>
        <v>High</v>
      </c>
      <c r="S1785" t="str">
        <f t="shared" si="139"/>
        <v>Valid</v>
      </c>
    </row>
    <row r="1786" spans="1:19" x14ac:dyDescent="0.25">
      <c r="A1786" s="1">
        <v>45526</v>
      </c>
      <c r="B1786" s="1" t="str">
        <f t="shared" si="135"/>
        <v>2024-08</v>
      </c>
      <c r="C1786" t="s">
        <v>14</v>
      </c>
      <c r="D1786" t="s">
        <v>29</v>
      </c>
      <c r="E1786" t="s">
        <v>19</v>
      </c>
      <c r="F1786" t="s">
        <v>32</v>
      </c>
      <c r="G1786" s="4">
        <v>89124</v>
      </c>
      <c r="H1786" s="4">
        <v>2664</v>
      </c>
      <c r="I1786" s="5">
        <v>2.9899999999999999E-2</v>
      </c>
      <c r="J1786" s="2">
        <v>1.24</v>
      </c>
      <c r="K1786" s="6">
        <v>3303.36</v>
      </c>
      <c r="L1786" s="4">
        <v>198</v>
      </c>
      <c r="M1786" s="2">
        <v>16.68</v>
      </c>
      <c r="N1786" s="6">
        <v>52262.98</v>
      </c>
      <c r="O1786" s="6">
        <f t="shared" si="136"/>
        <v>48959.62</v>
      </c>
      <c r="P1786" s="6">
        <f t="shared" si="137"/>
        <v>14.821157851399787</v>
      </c>
      <c r="Q1786" s="3">
        <v>15.82</v>
      </c>
      <c r="R1786" t="str">
        <f t="shared" si="138"/>
        <v>High</v>
      </c>
      <c r="S1786" t="str">
        <f t="shared" si="139"/>
        <v>Valid</v>
      </c>
    </row>
    <row r="1787" spans="1:19" x14ac:dyDescent="0.25">
      <c r="A1787" s="1">
        <v>45639</v>
      </c>
      <c r="B1787" s="1" t="str">
        <f t="shared" si="135"/>
        <v>2024-12</v>
      </c>
      <c r="C1787" t="s">
        <v>14</v>
      </c>
      <c r="D1787" t="s">
        <v>21</v>
      </c>
      <c r="E1787" t="s">
        <v>16</v>
      </c>
      <c r="F1787" t="s">
        <v>31</v>
      </c>
      <c r="G1787" s="4">
        <v>126404</v>
      </c>
      <c r="H1787" s="4">
        <v>2073</v>
      </c>
      <c r="I1787" s="5">
        <v>1.6400000000000001E-2</v>
      </c>
      <c r="J1787" s="2">
        <v>0.92</v>
      </c>
      <c r="K1787" s="6">
        <v>1907.16</v>
      </c>
      <c r="L1787" s="4">
        <v>24</v>
      </c>
      <c r="M1787" s="2">
        <v>79.47</v>
      </c>
      <c r="N1787" s="6">
        <v>3807.61</v>
      </c>
      <c r="O1787" s="6">
        <f t="shared" si="136"/>
        <v>1900.45</v>
      </c>
      <c r="P1787" s="6">
        <f t="shared" si="137"/>
        <v>0.9964816795654271</v>
      </c>
      <c r="Q1787" s="3">
        <v>2</v>
      </c>
      <c r="R1787" t="str">
        <f t="shared" si="138"/>
        <v>Medium</v>
      </c>
      <c r="S1787" t="str">
        <f t="shared" si="139"/>
        <v>Valid</v>
      </c>
    </row>
    <row r="1788" spans="1:19" x14ac:dyDescent="0.25">
      <c r="A1788" s="1">
        <v>45616</v>
      </c>
      <c r="B1788" s="1" t="str">
        <f t="shared" si="135"/>
        <v>2024-11</v>
      </c>
      <c r="C1788" t="s">
        <v>28</v>
      </c>
      <c r="D1788" t="s">
        <v>15</v>
      </c>
      <c r="E1788" t="s">
        <v>22</v>
      </c>
      <c r="F1788" t="s">
        <v>27</v>
      </c>
      <c r="G1788" s="4">
        <v>84654</v>
      </c>
      <c r="H1788" s="4">
        <v>2937</v>
      </c>
      <c r="I1788" s="5">
        <v>3.4700000000000002E-2</v>
      </c>
      <c r="J1788" s="2">
        <v>1.84</v>
      </c>
      <c r="K1788" s="6">
        <v>5404.08</v>
      </c>
      <c r="L1788" s="4">
        <v>104</v>
      </c>
      <c r="M1788" s="2">
        <v>51.96</v>
      </c>
      <c r="N1788" s="6">
        <v>30747.279999999999</v>
      </c>
      <c r="O1788" s="6">
        <f t="shared" si="136"/>
        <v>25343.199999999997</v>
      </c>
      <c r="P1788" s="6">
        <f t="shared" si="137"/>
        <v>4.6896419001939273</v>
      </c>
      <c r="Q1788" s="3">
        <v>5.69</v>
      </c>
      <c r="R1788" t="str">
        <f t="shared" si="138"/>
        <v>High</v>
      </c>
      <c r="S1788" t="str">
        <f t="shared" si="139"/>
        <v>Valid</v>
      </c>
    </row>
    <row r="1789" spans="1:19" x14ac:dyDescent="0.25">
      <c r="A1789" s="1">
        <v>45463</v>
      </c>
      <c r="B1789" s="1" t="str">
        <f t="shared" si="135"/>
        <v>2024-06</v>
      </c>
      <c r="C1789" t="s">
        <v>28</v>
      </c>
      <c r="D1789" t="s">
        <v>21</v>
      </c>
      <c r="E1789" t="s">
        <v>19</v>
      </c>
      <c r="F1789" t="s">
        <v>26</v>
      </c>
      <c r="G1789" s="4">
        <v>95987</v>
      </c>
      <c r="H1789" s="4">
        <v>1919</v>
      </c>
      <c r="I1789" s="5">
        <v>0.02</v>
      </c>
      <c r="J1789" s="2">
        <v>1.71</v>
      </c>
      <c r="K1789" s="6">
        <v>3281.49</v>
      </c>
      <c r="L1789" s="4">
        <v>124</v>
      </c>
      <c r="M1789" s="2">
        <v>26.46</v>
      </c>
      <c r="N1789" s="6">
        <v>28533.79</v>
      </c>
      <c r="O1789" s="6">
        <f t="shared" si="136"/>
        <v>25252.300000000003</v>
      </c>
      <c r="P1789" s="6">
        <f t="shared" si="137"/>
        <v>7.695376185818029</v>
      </c>
      <c r="Q1789" s="3">
        <v>8.6999999999999993</v>
      </c>
      <c r="R1789" t="str">
        <f t="shared" si="138"/>
        <v>High</v>
      </c>
      <c r="S1789" t="str">
        <f t="shared" si="139"/>
        <v>Valid</v>
      </c>
    </row>
    <row r="1790" spans="1:19" x14ac:dyDescent="0.25">
      <c r="A1790" s="1">
        <v>45444</v>
      </c>
      <c r="B1790" s="1" t="str">
        <f t="shared" si="135"/>
        <v>2024-06</v>
      </c>
      <c r="C1790" t="s">
        <v>14</v>
      </c>
      <c r="D1790" t="s">
        <v>24</v>
      </c>
      <c r="E1790" t="s">
        <v>25</v>
      </c>
      <c r="F1790" t="s">
        <v>17</v>
      </c>
      <c r="G1790" s="4">
        <v>154088</v>
      </c>
      <c r="H1790" s="4">
        <v>9106</v>
      </c>
      <c r="I1790" s="5">
        <v>5.91E-2</v>
      </c>
      <c r="J1790" s="2">
        <v>3.24</v>
      </c>
      <c r="K1790" s="6">
        <v>29503.439999999999</v>
      </c>
      <c r="L1790" s="4">
        <v>294</v>
      </c>
      <c r="M1790" s="2">
        <v>100.35</v>
      </c>
      <c r="N1790" s="6">
        <v>42565.78</v>
      </c>
      <c r="O1790" s="6">
        <f t="shared" si="136"/>
        <v>13062.34</v>
      </c>
      <c r="P1790" s="6">
        <f t="shared" si="137"/>
        <v>0.44273955850572005</v>
      </c>
      <c r="Q1790" s="3">
        <v>1.44</v>
      </c>
      <c r="R1790" t="str">
        <f t="shared" si="138"/>
        <v>Medium</v>
      </c>
      <c r="S1790" t="str">
        <f t="shared" si="139"/>
        <v>Valid</v>
      </c>
    </row>
    <row r="1791" spans="1:19" x14ac:dyDescent="0.25">
      <c r="A1791" s="1">
        <v>45351</v>
      </c>
      <c r="B1791" s="1" t="str">
        <f t="shared" si="135"/>
        <v>2024-02</v>
      </c>
      <c r="C1791" t="s">
        <v>18</v>
      </c>
      <c r="D1791" t="s">
        <v>15</v>
      </c>
      <c r="E1791" t="s">
        <v>19</v>
      </c>
      <c r="F1791" t="s">
        <v>32</v>
      </c>
      <c r="G1791" s="4">
        <v>71883</v>
      </c>
      <c r="H1791" s="4">
        <v>2077</v>
      </c>
      <c r="I1791" s="5">
        <v>2.8899999999999999E-2</v>
      </c>
      <c r="J1791" s="2">
        <v>1.71</v>
      </c>
      <c r="K1791" s="6">
        <v>3551.67</v>
      </c>
      <c r="L1791" s="4">
        <v>87</v>
      </c>
      <c r="M1791" s="2">
        <v>40.82</v>
      </c>
      <c r="N1791" s="6">
        <v>12811.32</v>
      </c>
      <c r="O1791" s="6">
        <f t="shared" si="136"/>
        <v>9259.65</v>
      </c>
      <c r="P1791" s="6">
        <f t="shared" si="137"/>
        <v>2.6071256620125181</v>
      </c>
      <c r="Q1791" s="3">
        <v>3.61</v>
      </c>
      <c r="R1791" t="str">
        <f t="shared" si="138"/>
        <v>High</v>
      </c>
      <c r="S1791" t="str">
        <f t="shared" si="139"/>
        <v>Valid</v>
      </c>
    </row>
    <row r="1792" spans="1:19" x14ac:dyDescent="0.25">
      <c r="A1792" s="1">
        <v>45495</v>
      </c>
      <c r="B1792" s="1" t="str">
        <f t="shared" si="135"/>
        <v>2024-07</v>
      </c>
      <c r="C1792" t="s">
        <v>28</v>
      </c>
      <c r="D1792" t="s">
        <v>24</v>
      </c>
      <c r="E1792" t="s">
        <v>30</v>
      </c>
      <c r="F1792" t="s">
        <v>17</v>
      </c>
      <c r="G1792" s="4">
        <v>133716</v>
      </c>
      <c r="H1792" s="4">
        <v>1617</v>
      </c>
      <c r="I1792" s="5">
        <v>1.21E-2</v>
      </c>
      <c r="J1792" s="2">
        <v>0.85</v>
      </c>
      <c r="K1792" s="6">
        <v>1374.45</v>
      </c>
      <c r="L1792" s="4">
        <v>48</v>
      </c>
      <c r="M1792" s="2">
        <v>28.63</v>
      </c>
      <c r="N1792" s="6">
        <v>3570.09</v>
      </c>
      <c r="O1792" s="6">
        <f t="shared" si="136"/>
        <v>2195.6400000000003</v>
      </c>
      <c r="P1792" s="6">
        <f t="shared" si="137"/>
        <v>1.5974680781403472</v>
      </c>
      <c r="Q1792" s="3">
        <v>2.6</v>
      </c>
      <c r="R1792" t="str">
        <f t="shared" si="138"/>
        <v>Medium</v>
      </c>
      <c r="S1792" t="str">
        <f t="shared" si="139"/>
        <v>Valid</v>
      </c>
    </row>
    <row r="1793" spans="1:19" x14ac:dyDescent="0.25">
      <c r="A1793" s="1">
        <v>45652</v>
      </c>
      <c r="B1793" s="1" t="str">
        <f t="shared" si="135"/>
        <v>2024-12</v>
      </c>
      <c r="C1793" t="s">
        <v>18</v>
      </c>
      <c r="D1793" t="s">
        <v>29</v>
      </c>
      <c r="E1793" t="s">
        <v>16</v>
      </c>
      <c r="F1793" t="s">
        <v>26</v>
      </c>
      <c r="G1793" s="4">
        <v>43319</v>
      </c>
      <c r="H1793" s="4">
        <v>2534</v>
      </c>
      <c r="I1793" s="5">
        <v>5.8500000000000003E-2</v>
      </c>
      <c r="J1793" s="2">
        <v>1.66</v>
      </c>
      <c r="K1793" s="6">
        <v>4206.4399999999996</v>
      </c>
      <c r="L1793" s="4">
        <v>111</v>
      </c>
      <c r="M1793" s="2">
        <v>37.9</v>
      </c>
      <c r="N1793" s="6">
        <v>10456.870000000001</v>
      </c>
      <c r="O1793" s="6">
        <f t="shared" si="136"/>
        <v>6250.4300000000012</v>
      </c>
      <c r="P1793" s="6">
        <f t="shared" si="137"/>
        <v>1.4859192095929104</v>
      </c>
      <c r="Q1793" s="3">
        <v>2.4900000000000002</v>
      </c>
      <c r="R1793" t="str">
        <f t="shared" si="138"/>
        <v>Medium</v>
      </c>
      <c r="S1793" t="str">
        <f t="shared" si="139"/>
        <v>Valid</v>
      </c>
    </row>
    <row r="1794" spans="1:19" x14ac:dyDescent="0.25">
      <c r="A1794" s="1">
        <v>45538</v>
      </c>
      <c r="B1794" s="1" t="str">
        <f t="shared" si="135"/>
        <v>2024-09</v>
      </c>
      <c r="C1794" t="s">
        <v>14</v>
      </c>
      <c r="D1794" t="s">
        <v>15</v>
      </c>
      <c r="E1794" t="s">
        <v>30</v>
      </c>
      <c r="F1794" t="s">
        <v>31</v>
      </c>
      <c r="G1794" s="4">
        <v>144911</v>
      </c>
      <c r="H1794" s="4">
        <v>7897</v>
      </c>
      <c r="I1794" s="5">
        <v>5.45E-2</v>
      </c>
      <c r="J1794" s="2">
        <v>1.63</v>
      </c>
      <c r="K1794" s="6">
        <v>12872.11</v>
      </c>
      <c r="L1794" s="4">
        <v>555</v>
      </c>
      <c r="M1794" s="2">
        <v>23.19</v>
      </c>
      <c r="N1794" s="6">
        <v>21004.5</v>
      </c>
      <c r="O1794" s="6">
        <f t="shared" si="136"/>
        <v>8132.3899999999994</v>
      </c>
      <c r="P1794" s="6">
        <f t="shared" si="137"/>
        <v>0.63178375573235457</v>
      </c>
      <c r="Q1794" s="3">
        <v>1.63</v>
      </c>
      <c r="R1794" t="str">
        <f t="shared" si="138"/>
        <v>Medium</v>
      </c>
      <c r="S1794" t="str">
        <f t="shared" si="139"/>
        <v>Valid</v>
      </c>
    </row>
    <row r="1795" spans="1:19" x14ac:dyDescent="0.25">
      <c r="A1795" s="1">
        <v>45587</v>
      </c>
      <c r="B1795" s="1" t="str">
        <f t="shared" ref="B1795:B1801" si="140">TEXT(A1795, "yyyy-mm")</f>
        <v>2024-10</v>
      </c>
      <c r="C1795" t="s">
        <v>14</v>
      </c>
      <c r="D1795" t="s">
        <v>15</v>
      </c>
      <c r="E1795" t="s">
        <v>16</v>
      </c>
      <c r="F1795" t="s">
        <v>17</v>
      </c>
      <c r="G1795" s="4">
        <v>180634</v>
      </c>
      <c r="H1795" s="4">
        <v>7821</v>
      </c>
      <c r="I1795" s="5">
        <v>4.3299999999999998E-2</v>
      </c>
      <c r="J1795" s="2">
        <v>2.21</v>
      </c>
      <c r="K1795" s="6">
        <v>17284.41</v>
      </c>
      <c r="L1795" s="4">
        <v>581</v>
      </c>
      <c r="M1795" s="2">
        <v>29.75</v>
      </c>
      <c r="N1795" s="6">
        <v>136556.31</v>
      </c>
      <c r="O1795" s="6">
        <f t="shared" ref="O1795:O1801" si="141">N1795-K1795</f>
        <v>119271.9</v>
      </c>
      <c r="P1795" s="6">
        <f t="shared" ref="P1795:P1801" si="142">IFERROR(O1795/K1795, "")</f>
        <v>6.9005479504362599</v>
      </c>
      <c r="Q1795" s="3">
        <v>7.9</v>
      </c>
      <c r="R1795" t="str">
        <f t="shared" ref="R1795:R1801" si="143">IF(Q1795 &gt;= 3, "High", IF(Q1795&gt;=1, "Medium", "Low"))</f>
        <v>High</v>
      </c>
      <c r="S1795" t="str">
        <f t="shared" ref="S1795:S1801" si="144">IF(OR(G1795=0, H1795&gt;G1795, L1795&gt;H1795), "Invalid", "Valid")</f>
        <v>Valid</v>
      </c>
    </row>
    <row r="1796" spans="1:19" x14ac:dyDescent="0.25">
      <c r="A1796" s="1">
        <v>45325</v>
      </c>
      <c r="B1796" s="1" t="str">
        <f t="shared" si="140"/>
        <v>2024-02</v>
      </c>
      <c r="C1796" t="s">
        <v>28</v>
      </c>
      <c r="D1796" t="s">
        <v>29</v>
      </c>
      <c r="E1796" t="s">
        <v>19</v>
      </c>
      <c r="F1796" t="s">
        <v>32</v>
      </c>
      <c r="G1796" s="4">
        <v>76095</v>
      </c>
      <c r="H1796" s="4">
        <v>2031</v>
      </c>
      <c r="I1796" s="5">
        <v>2.6700000000000002E-2</v>
      </c>
      <c r="J1796" s="2">
        <v>1.49</v>
      </c>
      <c r="K1796" s="6">
        <v>3026.19</v>
      </c>
      <c r="L1796" s="4">
        <v>135</v>
      </c>
      <c r="M1796" s="2">
        <v>22.42</v>
      </c>
      <c r="N1796" s="6">
        <v>33172.870000000003</v>
      </c>
      <c r="O1796" s="6">
        <f t="shared" si="141"/>
        <v>30146.680000000004</v>
      </c>
      <c r="P1796" s="6">
        <f t="shared" si="142"/>
        <v>9.9619257217821762</v>
      </c>
      <c r="Q1796" s="3">
        <v>10.96</v>
      </c>
      <c r="R1796" t="str">
        <f t="shared" si="143"/>
        <v>High</v>
      </c>
      <c r="S1796" t="str">
        <f t="shared" si="144"/>
        <v>Valid</v>
      </c>
    </row>
    <row r="1797" spans="1:19" x14ac:dyDescent="0.25">
      <c r="A1797" s="1">
        <v>45484</v>
      </c>
      <c r="B1797" s="1" t="str">
        <f t="shared" si="140"/>
        <v>2024-07</v>
      </c>
      <c r="C1797" t="s">
        <v>18</v>
      </c>
      <c r="D1797" t="s">
        <v>21</v>
      </c>
      <c r="E1797" t="s">
        <v>30</v>
      </c>
      <c r="F1797" t="s">
        <v>26</v>
      </c>
      <c r="G1797" s="4">
        <v>180128</v>
      </c>
      <c r="H1797" s="4">
        <v>10555</v>
      </c>
      <c r="I1797" s="5">
        <v>5.8599999999999999E-2</v>
      </c>
      <c r="J1797" s="2">
        <v>0.84</v>
      </c>
      <c r="K1797" s="6">
        <v>8866.2000000000007</v>
      </c>
      <c r="L1797" s="4">
        <v>707</v>
      </c>
      <c r="M1797" s="2">
        <v>12.54</v>
      </c>
      <c r="N1797" s="6">
        <v>200566.9</v>
      </c>
      <c r="O1797" s="6">
        <f t="shared" si="141"/>
        <v>191700.69999999998</v>
      </c>
      <c r="P1797" s="6">
        <f t="shared" si="142"/>
        <v>21.621517673862531</v>
      </c>
      <c r="Q1797" s="3">
        <v>22.62</v>
      </c>
      <c r="R1797" t="str">
        <f t="shared" si="143"/>
        <v>High</v>
      </c>
      <c r="S1797" t="str">
        <f t="shared" si="144"/>
        <v>Valid</v>
      </c>
    </row>
    <row r="1798" spans="1:19" x14ac:dyDescent="0.25">
      <c r="A1798" s="1">
        <v>45466</v>
      </c>
      <c r="B1798" s="1" t="str">
        <f t="shared" si="140"/>
        <v>2024-06</v>
      </c>
      <c r="C1798" t="s">
        <v>28</v>
      </c>
      <c r="D1798" t="s">
        <v>29</v>
      </c>
      <c r="E1798" t="s">
        <v>19</v>
      </c>
      <c r="F1798" t="s">
        <v>32</v>
      </c>
      <c r="G1798" s="4">
        <v>169849</v>
      </c>
      <c r="H1798" s="4">
        <v>5927</v>
      </c>
      <c r="I1798" s="5">
        <v>3.49E-2</v>
      </c>
      <c r="J1798" s="2">
        <v>0.94</v>
      </c>
      <c r="K1798" s="6">
        <v>5571.38</v>
      </c>
      <c r="L1798" s="4">
        <v>437</v>
      </c>
      <c r="M1798" s="2">
        <v>12.75</v>
      </c>
      <c r="N1798" s="6">
        <v>105321.92</v>
      </c>
      <c r="O1798" s="6">
        <f t="shared" si="141"/>
        <v>99750.54</v>
      </c>
      <c r="P1798" s="6">
        <f t="shared" si="142"/>
        <v>17.904099163941428</v>
      </c>
      <c r="Q1798" s="3">
        <v>18.899999999999999</v>
      </c>
      <c r="R1798" t="str">
        <f t="shared" si="143"/>
        <v>High</v>
      </c>
      <c r="S1798" t="str">
        <f t="shared" si="144"/>
        <v>Valid</v>
      </c>
    </row>
    <row r="1799" spans="1:19" x14ac:dyDescent="0.25">
      <c r="A1799" s="1">
        <v>45352</v>
      </c>
      <c r="B1799" s="1" t="str">
        <f t="shared" si="140"/>
        <v>2024-03</v>
      </c>
      <c r="C1799" t="s">
        <v>28</v>
      </c>
      <c r="D1799" t="s">
        <v>21</v>
      </c>
      <c r="E1799" t="s">
        <v>16</v>
      </c>
      <c r="F1799" t="s">
        <v>32</v>
      </c>
      <c r="G1799" s="4">
        <v>122974</v>
      </c>
      <c r="H1799" s="4">
        <v>2939</v>
      </c>
      <c r="I1799" s="5">
        <v>2.3900000000000001E-2</v>
      </c>
      <c r="J1799" s="2">
        <v>1.85</v>
      </c>
      <c r="K1799" s="6">
        <v>5437.15</v>
      </c>
      <c r="L1799" s="4">
        <v>91</v>
      </c>
      <c r="M1799" s="2">
        <v>59.75</v>
      </c>
      <c r="N1799" s="6">
        <v>26004.98</v>
      </c>
      <c r="O1799" s="6">
        <f t="shared" si="141"/>
        <v>20567.830000000002</v>
      </c>
      <c r="P1799" s="6">
        <f t="shared" si="142"/>
        <v>3.7828329179809281</v>
      </c>
      <c r="Q1799" s="3">
        <v>4.78</v>
      </c>
      <c r="R1799" t="str">
        <f t="shared" si="143"/>
        <v>High</v>
      </c>
      <c r="S1799" t="str">
        <f t="shared" si="144"/>
        <v>Valid</v>
      </c>
    </row>
    <row r="1800" spans="1:19" x14ac:dyDescent="0.25">
      <c r="A1800" s="1">
        <v>45506</v>
      </c>
      <c r="B1800" s="1" t="str">
        <f t="shared" si="140"/>
        <v>2024-08</v>
      </c>
      <c r="C1800" t="s">
        <v>14</v>
      </c>
      <c r="D1800" t="s">
        <v>15</v>
      </c>
      <c r="E1800" t="s">
        <v>30</v>
      </c>
      <c r="F1800" t="s">
        <v>23</v>
      </c>
      <c r="G1800" s="4">
        <v>28553</v>
      </c>
      <c r="H1800" s="4">
        <v>850</v>
      </c>
      <c r="I1800" s="5">
        <v>2.98E-2</v>
      </c>
      <c r="J1800" s="2">
        <v>2.06</v>
      </c>
      <c r="K1800" s="6">
        <v>1751</v>
      </c>
      <c r="L1800" s="4">
        <v>51</v>
      </c>
      <c r="M1800" s="2">
        <v>34.33</v>
      </c>
      <c r="N1800" s="6">
        <v>13010.72</v>
      </c>
      <c r="O1800" s="6">
        <f t="shared" si="141"/>
        <v>11259.72</v>
      </c>
      <c r="P1800" s="6">
        <f t="shared" si="142"/>
        <v>6.4304511707595653</v>
      </c>
      <c r="Q1800" s="3">
        <v>7.43</v>
      </c>
      <c r="R1800" t="str">
        <f t="shared" si="143"/>
        <v>High</v>
      </c>
      <c r="S1800" t="str">
        <f t="shared" si="144"/>
        <v>Valid</v>
      </c>
    </row>
    <row r="1801" spans="1:19" x14ac:dyDescent="0.25">
      <c r="A1801" s="1">
        <v>45320</v>
      </c>
      <c r="B1801" s="1" t="str">
        <f t="shared" si="140"/>
        <v>2024-01</v>
      </c>
      <c r="C1801" t="s">
        <v>28</v>
      </c>
      <c r="D1801" t="s">
        <v>29</v>
      </c>
      <c r="E1801" t="s">
        <v>19</v>
      </c>
      <c r="F1801" t="s">
        <v>20</v>
      </c>
      <c r="G1801" s="4">
        <v>77447</v>
      </c>
      <c r="H1801" s="4">
        <v>906</v>
      </c>
      <c r="I1801" s="5">
        <v>1.17E-2</v>
      </c>
      <c r="J1801" s="2">
        <v>1.1499999999999999</v>
      </c>
      <c r="K1801" s="6">
        <v>1041.9000000000001</v>
      </c>
      <c r="L1801" s="4">
        <v>29</v>
      </c>
      <c r="M1801" s="2">
        <v>35.93</v>
      </c>
      <c r="N1801" s="6">
        <v>8284.1299999999992</v>
      </c>
      <c r="O1801" s="6">
        <f t="shared" si="141"/>
        <v>7242.23</v>
      </c>
      <c r="P1801" s="6">
        <f t="shared" si="142"/>
        <v>6.9509837796333613</v>
      </c>
      <c r="Q1801" s="3">
        <v>7.95</v>
      </c>
      <c r="R1801" t="str">
        <f t="shared" si="143"/>
        <v>High</v>
      </c>
      <c r="S1801" t="str">
        <f t="shared" si="144"/>
        <v>Valid</v>
      </c>
    </row>
  </sheetData>
  <autoFilter ref="A1:S1" xr:uid="{531A1C99-5D2E-4539-9919-BD8D4037960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6B32-DE98-4066-BA19-29B42CC8E405}">
  <dimension ref="A1:I49"/>
  <sheetViews>
    <sheetView workbookViewId="0">
      <selection activeCell="I24" sqref="I24"/>
    </sheetView>
  </sheetViews>
  <sheetFormatPr defaultRowHeight="15" x14ac:dyDescent="0.25"/>
  <cols>
    <col min="1" max="1" width="13.42578125" bestFit="1" customWidth="1"/>
    <col min="2" max="2" width="16.42578125" bestFit="1" customWidth="1"/>
    <col min="3" max="3" width="15.28515625" bestFit="1" customWidth="1"/>
    <col min="4" max="5" width="16" bestFit="1" customWidth="1"/>
    <col min="6" max="7" width="13.42578125" bestFit="1" customWidth="1"/>
    <col min="8" max="9" width="14.7109375" bestFit="1" customWidth="1"/>
    <col min="10" max="10" width="16" bestFit="1" customWidth="1"/>
    <col min="11" max="12" width="16.85546875" bestFit="1" customWidth="1"/>
    <col min="13" max="13" width="16.42578125" bestFit="1" customWidth="1"/>
    <col min="14" max="14" width="16.7109375" bestFit="1" customWidth="1"/>
    <col min="15" max="15" width="16.42578125" bestFit="1" customWidth="1"/>
    <col min="16" max="16" width="17.85546875" bestFit="1" customWidth="1"/>
  </cols>
  <sheetData>
    <row r="1" spans="1:9" x14ac:dyDescent="0.25">
      <c r="A1" s="7" t="s">
        <v>33</v>
      </c>
      <c r="B1" t="s">
        <v>39</v>
      </c>
      <c r="C1" t="s">
        <v>40</v>
      </c>
      <c r="D1" t="s">
        <v>38</v>
      </c>
      <c r="E1" t="s">
        <v>41</v>
      </c>
      <c r="G1" s="7" t="s">
        <v>33</v>
      </c>
      <c r="H1" t="s">
        <v>39</v>
      </c>
      <c r="I1" t="s">
        <v>40</v>
      </c>
    </row>
    <row r="2" spans="1:9" x14ac:dyDescent="0.25">
      <c r="A2" s="8" t="s">
        <v>14</v>
      </c>
      <c r="B2" s="6">
        <v>6349268.910000002</v>
      </c>
      <c r="C2" s="6">
        <v>22033744.950000033</v>
      </c>
      <c r="D2" s="3">
        <v>4.1130277777777788</v>
      </c>
      <c r="E2" s="4">
        <v>131098</v>
      </c>
      <c r="G2" s="8" t="s">
        <v>14</v>
      </c>
      <c r="H2" s="6">
        <v>6349268.910000002</v>
      </c>
      <c r="I2" s="6">
        <v>22033744.950000033</v>
      </c>
    </row>
    <row r="3" spans="1:9" x14ac:dyDescent="0.25">
      <c r="A3" s="8" t="s">
        <v>28</v>
      </c>
      <c r="B3" s="6">
        <v>2106061.6699999971</v>
      </c>
      <c r="C3" s="6">
        <v>11926045.789999984</v>
      </c>
      <c r="D3" s="3">
        <v>6.9157301587301516</v>
      </c>
      <c r="E3" s="4">
        <v>73262</v>
      </c>
      <c r="G3" s="8" t="s">
        <v>28</v>
      </c>
      <c r="H3" s="6">
        <v>2106061.6699999971</v>
      </c>
      <c r="I3" s="6">
        <v>11926045.789999984</v>
      </c>
    </row>
    <row r="4" spans="1:9" x14ac:dyDescent="0.25">
      <c r="A4" s="8" t="s">
        <v>18</v>
      </c>
      <c r="B4" s="6">
        <v>2653418.5099999993</v>
      </c>
      <c r="C4" s="6">
        <v>20223540.07</v>
      </c>
      <c r="D4" s="3">
        <v>9.538600000000006</v>
      </c>
      <c r="E4" s="4">
        <v>122452</v>
      </c>
      <c r="G4" s="8" t="s">
        <v>18</v>
      </c>
      <c r="H4" s="6">
        <v>2653418.5099999993</v>
      </c>
      <c r="I4" s="6">
        <v>20223540.07</v>
      </c>
    </row>
    <row r="5" spans="1:9" x14ac:dyDescent="0.25">
      <c r="A5" s="8" t="s">
        <v>34</v>
      </c>
      <c r="B5" s="6">
        <v>11108749.090000004</v>
      </c>
      <c r="C5" s="6">
        <v>54183330.809999973</v>
      </c>
      <c r="D5" s="3">
        <v>6.4503666666666666</v>
      </c>
      <c r="E5" s="4">
        <v>326812</v>
      </c>
      <c r="G5" s="8" t="s">
        <v>34</v>
      </c>
      <c r="H5" s="6">
        <v>11108749.089999998</v>
      </c>
      <c r="I5" s="6">
        <v>54183330.810000017</v>
      </c>
    </row>
    <row r="8" spans="1:9" x14ac:dyDescent="0.25">
      <c r="A8" s="7" t="s">
        <v>33</v>
      </c>
      <c r="B8" t="s">
        <v>38</v>
      </c>
      <c r="C8" t="s">
        <v>37</v>
      </c>
      <c r="D8" t="s">
        <v>47</v>
      </c>
      <c r="F8" s="7" t="s">
        <v>33</v>
      </c>
      <c r="G8" t="s">
        <v>38</v>
      </c>
    </row>
    <row r="9" spans="1:9" x14ac:dyDescent="0.25">
      <c r="A9" s="8" t="s">
        <v>19</v>
      </c>
      <c r="B9" s="3">
        <v>6.8289516129032277</v>
      </c>
      <c r="C9" s="2">
        <v>48.038736559139785</v>
      </c>
      <c r="D9" s="6">
        <v>9252955.9100000039</v>
      </c>
      <c r="F9" s="8" t="s">
        <v>19</v>
      </c>
      <c r="G9" s="3">
        <v>6.8289516129032277</v>
      </c>
    </row>
    <row r="10" spans="1:9" x14ac:dyDescent="0.25">
      <c r="A10" s="8" t="s">
        <v>25</v>
      </c>
      <c r="B10" s="3">
        <v>6.6479729729729709</v>
      </c>
      <c r="C10" s="2">
        <v>45.772918918918911</v>
      </c>
      <c r="D10" s="6">
        <v>9534429.5799999982</v>
      </c>
      <c r="F10" s="8" t="s">
        <v>25</v>
      </c>
      <c r="G10" s="3">
        <v>6.6479729729729709</v>
      </c>
    </row>
    <row r="11" spans="1:9" x14ac:dyDescent="0.25">
      <c r="A11" s="8" t="s">
        <v>22</v>
      </c>
      <c r="B11" s="3">
        <v>6.587988505747127</v>
      </c>
      <c r="C11" s="2">
        <v>47.559367816091964</v>
      </c>
      <c r="D11" s="6">
        <v>8672130.120000001</v>
      </c>
      <c r="F11" s="8" t="s">
        <v>22</v>
      </c>
      <c r="G11" s="3">
        <v>6.587988505747127</v>
      </c>
    </row>
    <row r="12" spans="1:9" x14ac:dyDescent="0.25">
      <c r="A12" s="8" t="s">
        <v>30</v>
      </c>
      <c r="B12" s="3">
        <v>6.1335243553008576</v>
      </c>
      <c r="C12" s="2">
        <v>45.043810888252146</v>
      </c>
      <c r="D12" s="6">
        <v>7713292.6099999994</v>
      </c>
      <c r="F12" s="8" t="s">
        <v>30</v>
      </c>
      <c r="G12" s="3">
        <v>6.1335243553008576</v>
      </c>
    </row>
    <row r="13" spans="1:9" x14ac:dyDescent="0.25">
      <c r="A13" s="8" t="s">
        <v>16</v>
      </c>
      <c r="B13" s="3">
        <v>6.0313573407202234</v>
      </c>
      <c r="C13" s="2">
        <v>46.589445983379512</v>
      </c>
      <c r="D13" s="6">
        <v>7901773.5000000047</v>
      </c>
      <c r="F13" s="8" t="s">
        <v>16</v>
      </c>
      <c r="G13" s="3">
        <v>6.0313573407202234</v>
      </c>
    </row>
    <row r="14" spans="1:9" x14ac:dyDescent="0.25">
      <c r="A14" s="8" t="s">
        <v>34</v>
      </c>
      <c r="B14" s="3">
        <v>6.4503666666666781</v>
      </c>
      <c r="C14" s="2">
        <v>46.608961111111164</v>
      </c>
      <c r="D14" s="6">
        <v>43074581.720000006</v>
      </c>
      <c r="F14" s="8" t="s">
        <v>34</v>
      </c>
      <c r="G14" s="3">
        <v>6.4503666666666781</v>
      </c>
    </row>
    <row r="17" spans="1:9" x14ac:dyDescent="0.25">
      <c r="A17" s="7" t="s">
        <v>33</v>
      </c>
      <c r="B17" t="s">
        <v>40</v>
      </c>
      <c r="C17" t="s">
        <v>39</v>
      </c>
      <c r="D17" t="s">
        <v>38</v>
      </c>
      <c r="F17" s="7" t="s">
        <v>33</v>
      </c>
      <c r="G17" t="s">
        <v>40</v>
      </c>
    </row>
    <row r="18" spans="1:9" x14ac:dyDescent="0.25">
      <c r="A18" s="8" t="s">
        <v>17</v>
      </c>
      <c r="B18" s="6">
        <v>7939594.4099999974</v>
      </c>
      <c r="C18" s="6">
        <v>1614677.3299999994</v>
      </c>
      <c r="D18" s="3">
        <v>6.962054263565892</v>
      </c>
      <c r="F18" s="8" t="s">
        <v>17</v>
      </c>
      <c r="G18" s="6">
        <v>7939594.4099999974</v>
      </c>
    </row>
    <row r="19" spans="1:9" x14ac:dyDescent="0.25">
      <c r="A19" s="8" t="s">
        <v>32</v>
      </c>
      <c r="B19" s="6">
        <v>7921847.8399999971</v>
      </c>
      <c r="C19" s="6">
        <v>1586264.9399999997</v>
      </c>
      <c r="D19" s="3">
        <v>6.6745258620689683</v>
      </c>
      <c r="F19" s="8" t="s">
        <v>32</v>
      </c>
      <c r="G19" s="6">
        <v>7921847.8399999971</v>
      </c>
    </row>
    <row r="20" spans="1:9" x14ac:dyDescent="0.25">
      <c r="A20" s="8" t="s">
        <v>31</v>
      </c>
      <c r="B20" s="6">
        <v>7909606.2600000007</v>
      </c>
      <c r="C20" s="6">
        <v>1438741.76</v>
      </c>
      <c r="D20" s="3">
        <v>6.6497318007662827</v>
      </c>
      <c r="F20" s="8" t="s">
        <v>31</v>
      </c>
      <c r="G20" s="6">
        <v>7909606.2600000007</v>
      </c>
    </row>
    <row r="21" spans="1:9" x14ac:dyDescent="0.25">
      <c r="A21" s="8" t="s">
        <v>27</v>
      </c>
      <c r="B21" s="6">
        <v>7867323.1200000001</v>
      </c>
      <c r="C21" s="6">
        <v>1643262.5399999996</v>
      </c>
      <c r="D21" s="3">
        <v>6.2580152671755709</v>
      </c>
      <c r="F21" s="8" t="s">
        <v>27</v>
      </c>
      <c r="G21" s="6">
        <v>7867323.1200000001</v>
      </c>
    </row>
    <row r="22" spans="1:9" x14ac:dyDescent="0.25">
      <c r="A22" s="8" t="s">
        <v>26</v>
      </c>
      <c r="B22" s="6">
        <v>7694838.6100000031</v>
      </c>
      <c r="C22" s="6">
        <v>1551062.1699999992</v>
      </c>
      <c r="D22" s="3">
        <v>6.7096470588235322</v>
      </c>
      <c r="F22" s="8" t="s">
        <v>26</v>
      </c>
      <c r="G22" s="6">
        <v>7694838.6100000031</v>
      </c>
    </row>
    <row r="23" spans="1:9" x14ac:dyDescent="0.25">
      <c r="A23" s="8" t="s">
        <v>20</v>
      </c>
      <c r="B23" s="6">
        <v>7659544.2900000019</v>
      </c>
      <c r="C23" s="6">
        <v>1547153.48</v>
      </c>
      <c r="D23" s="3">
        <v>6.1450375939849691</v>
      </c>
      <c r="F23" s="8" t="s">
        <v>20</v>
      </c>
      <c r="G23" s="6">
        <v>7659544.2900000019</v>
      </c>
    </row>
    <row r="24" spans="1:9" x14ac:dyDescent="0.25">
      <c r="A24" s="8" t="s">
        <v>23</v>
      </c>
      <c r="B24" s="6">
        <v>7190576.2799999984</v>
      </c>
      <c r="C24" s="6">
        <v>1727586.8700000013</v>
      </c>
      <c r="D24" s="3">
        <v>5.8091729323308252</v>
      </c>
      <c r="F24" s="8" t="s">
        <v>23</v>
      </c>
      <c r="G24" s="6">
        <v>7190576.2799999984</v>
      </c>
    </row>
    <row r="25" spans="1:9" x14ac:dyDescent="0.25">
      <c r="A25" s="8" t="s">
        <v>34</v>
      </c>
      <c r="B25" s="6">
        <v>54183330.809999913</v>
      </c>
      <c r="C25" s="6">
        <v>11108749.089999985</v>
      </c>
      <c r="D25" s="3">
        <v>6.4503666666666648</v>
      </c>
      <c r="F25" s="8" t="s">
        <v>34</v>
      </c>
      <c r="G25" s="6">
        <v>54183330.810000002</v>
      </c>
    </row>
    <row r="28" spans="1:9" x14ac:dyDescent="0.25">
      <c r="A28" s="7" t="s">
        <v>33</v>
      </c>
      <c r="B28" t="s">
        <v>35</v>
      </c>
      <c r="C28" t="s">
        <v>36</v>
      </c>
      <c r="D28" t="s">
        <v>37</v>
      </c>
      <c r="E28" t="s">
        <v>38</v>
      </c>
      <c r="G28" s="7" t="s">
        <v>33</v>
      </c>
      <c r="H28" t="s">
        <v>35</v>
      </c>
      <c r="I28" t="s">
        <v>37</v>
      </c>
    </row>
    <row r="29" spans="1:9" x14ac:dyDescent="0.25">
      <c r="A29" s="8" t="s">
        <v>29</v>
      </c>
      <c r="B29" s="5">
        <v>3.8090952380952364E-2</v>
      </c>
      <c r="C29" s="2">
        <v>1.6152380952380951</v>
      </c>
      <c r="D29" s="2">
        <v>45.849547619047605</v>
      </c>
      <c r="E29" s="3">
        <v>6.4486666666666599</v>
      </c>
      <c r="G29" s="8" t="s">
        <v>29</v>
      </c>
      <c r="H29" s="5">
        <v>3.8090952380952364E-2</v>
      </c>
      <c r="I29" s="2">
        <v>45.849547619047605</v>
      </c>
    </row>
    <row r="30" spans="1:9" x14ac:dyDescent="0.25">
      <c r="A30" s="8" t="s">
        <v>15</v>
      </c>
      <c r="B30" s="5">
        <v>3.9425786163522041E-2</v>
      </c>
      <c r="C30" s="2">
        <v>1.5305660377358492</v>
      </c>
      <c r="D30" s="2">
        <v>44.299098532494781</v>
      </c>
      <c r="E30" s="3">
        <v>7.0002725366876311</v>
      </c>
      <c r="G30" s="8" t="s">
        <v>15</v>
      </c>
      <c r="H30" s="5">
        <v>3.9425786163522041E-2</v>
      </c>
      <c r="I30" s="2">
        <v>44.299098532494781</v>
      </c>
    </row>
    <row r="31" spans="1:9" x14ac:dyDescent="0.25">
      <c r="A31" s="8" t="s">
        <v>24</v>
      </c>
      <c r="B31" s="5">
        <v>3.8489038031319915E-2</v>
      </c>
      <c r="C31" s="2">
        <v>1.5719910514541384</v>
      </c>
      <c r="D31" s="2">
        <v>47.999060402684577</v>
      </c>
      <c r="E31" s="3">
        <v>5.977740492170029</v>
      </c>
      <c r="G31" s="8" t="s">
        <v>24</v>
      </c>
      <c r="H31" s="5">
        <v>3.8489038031319915E-2</v>
      </c>
      <c r="I31" s="2">
        <v>47.999060402684577</v>
      </c>
    </row>
    <row r="32" spans="1:9" x14ac:dyDescent="0.25">
      <c r="A32" s="8" t="s">
        <v>21</v>
      </c>
      <c r="B32" s="5">
        <v>3.7630482456140361E-2</v>
      </c>
      <c r="C32" s="2">
        <v>1.5785087719298247</v>
      </c>
      <c r="D32" s="2">
        <v>48.361995614035095</v>
      </c>
      <c r="E32" s="3">
        <v>6.3400000000000025</v>
      </c>
      <c r="G32" s="8" t="s">
        <v>21</v>
      </c>
      <c r="H32" s="5">
        <v>3.7630482456140361E-2</v>
      </c>
      <c r="I32" s="2">
        <v>48.361995614035095</v>
      </c>
    </row>
    <row r="33" spans="1:9" x14ac:dyDescent="0.25">
      <c r="A33" s="8" t="s">
        <v>34</v>
      </c>
      <c r="B33" s="5">
        <v>3.8426888888888955E-2</v>
      </c>
      <c r="C33" s="2">
        <v>1.5727555555555566</v>
      </c>
      <c r="D33" s="2">
        <v>46.608961111111213</v>
      </c>
      <c r="E33" s="3">
        <v>6.4503666666666728</v>
      </c>
      <c r="G33" s="8" t="s">
        <v>34</v>
      </c>
      <c r="H33" s="5">
        <v>3.8426888888888955E-2</v>
      </c>
      <c r="I33" s="2">
        <v>46.608961111111213</v>
      </c>
    </row>
    <row r="36" spans="1:9" x14ac:dyDescent="0.25">
      <c r="A36" s="7" t="s">
        <v>33</v>
      </c>
      <c r="B36" t="s">
        <v>39</v>
      </c>
      <c r="C36" t="s">
        <v>40</v>
      </c>
      <c r="D36" t="s">
        <v>38</v>
      </c>
      <c r="F36" s="7" t="s">
        <v>33</v>
      </c>
      <c r="G36" t="s">
        <v>39</v>
      </c>
      <c r="H36" t="s">
        <v>40</v>
      </c>
    </row>
    <row r="37" spans="1:9" x14ac:dyDescent="0.25">
      <c r="A37" s="8" t="s">
        <v>48</v>
      </c>
      <c r="B37" s="6">
        <v>901735.06000000052</v>
      </c>
      <c r="C37" s="6">
        <v>4691994.4700000016</v>
      </c>
      <c r="D37" s="3">
        <v>6.319096385542176</v>
      </c>
      <c r="F37" s="8" t="s">
        <v>48</v>
      </c>
      <c r="G37" s="6">
        <v>901735.06000000052</v>
      </c>
      <c r="H37" s="6">
        <v>4691994.4700000016</v>
      </c>
    </row>
    <row r="38" spans="1:9" x14ac:dyDescent="0.25">
      <c r="A38" s="8" t="s">
        <v>49</v>
      </c>
      <c r="B38" s="6">
        <v>988588.35999999987</v>
      </c>
      <c r="C38" s="6">
        <v>4749203.459999999</v>
      </c>
      <c r="D38" s="3">
        <v>6.1412179487179452</v>
      </c>
      <c r="F38" s="8" t="s">
        <v>49</v>
      </c>
      <c r="G38" s="6">
        <v>988588.35999999987</v>
      </c>
      <c r="H38" s="6">
        <v>4749203.459999999</v>
      </c>
    </row>
    <row r="39" spans="1:9" x14ac:dyDescent="0.25">
      <c r="A39" s="8" t="s">
        <v>50</v>
      </c>
      <c r="B39" s="6">
        <v>837915.28000000061</v>
      </c>
      <c r="C39" s="6">
        <v>4407519.3800000027</v>
      </c>
      <c r="D39" s="3">
        <v>6.1583673469387756</v>
      </c>
      <c r="F39" s="8" t="s">
        <v>50</v>
      </c>
      <c r="G39" s="6">
        <v>837915.28000000061</v>
      </c>
      <c r="H39" s="6">
        <v>4407519.3800000027</v>
      </c>
    </row>
    <row r="40" spans="1:9" x14ac:dyDescent="0.25">
      <c r="A40" s="8" t="s">
        <v>51</v>
      </c>
      <c r="B40" s="6">
        <v>1032895.8999999997</v>
      </c>
      <c r="C40" s="6">
        <v>5143463.57</v>
      </c>
      <c r="D40" s="3">
        <v>6.8195121951219519</v>
      </c>
      <c r="F40" s="8" t="s">
        <v>51</v>
      </c>
      <c r="G40" s="6">
        <v>1032895.8999999997</v>
      </c>
      <c r="H40" s="6">
        <v>5143463.57</v>
      </c>
    </row>
    <row r="41" spans="1:9" x14ac:dyDescent="0.25">
      <c r="A41" s="8" t="s">
        <v>52</v>
      </c>
      <c r="B41" s="6">
        <v>904564.25999999943</v>
      </c>
      <c r="C41" s="6">
        <v>3768913.3599999994</v>
      </c>
      <c r="D41" s="3">
        <v>6.1691666666666647</v>
      </c>
      <c r="F41" s="8" t="s">
        <v>52</v>
      </c>
      <c r="G41" s="6">
        <v>904564.25999999943</v>
      </c>
      <c r="H41" s="6">
        <v>3768913.3599999994</v>
      </c>
    </row>
    <row r="42" spans="1:9" x14ac:dyDescent="0.25">
      <c r="A42" s="8" t="s">
        <v>53</v>
      </c>
      <c r="B42" s="6">
        <v>966952.75999999989</v>
      </c>
      <c r="C42" s="6">
        <v>4362176.3099999996</v>
      </c>
      <c r="D42" s="3">
        <v>5.7786184210526308</v>
      </c>
      <c r="F42" s="8" t="s">
        <v>53</v>
      </c>
      <c r="G42" s="6">
        <v>966952.75999999989</v>
      </c>
      <c r="H42" s="6">
        <v>4362176.3099999996</v>
      </c>
    </row>
    <row r="43" spans="1:9" x14ac:dyDescent="0.25">
      <c r="A43" s="8" t="s">
        <v>54</v>
      </c>
      <c r="B43" s="6">
        <v>797918.1399999999</v>
      </c>
      <c r="C43" s="6">
        <v>3695093.9700000021</v>
      </c>
      <c r="D43" s="3">
        <v>6.163253968253966</v>
      </c>
      <c r="F43" s="8" t="s">
        <v>54</v>
      </c>
      <c r="G43" s="6">
        <v>797918.1399999999</v>
      </c>
      <c r="H43" s="6">
        <v>3695093.9700000021</v>
      </c>
    </row>
    <row r="44" spans="1:9" x14ac:dyDescent="0.25">
      <c r="A44" s="8" t="s">
        <v>55</v>
      </c>
      <c r="B44" s="6">
        <v>819622.04999999958</v>
      </c>
      <c r="C44" s="6">
        <v>4301659.2600000016</v>
      </c>
      <c r="D44" s="3">
        <v>6.7205921052631625</v>
      </c>
      <c r="F44" s="8" t="s">
        <v>55</v>
      </c>
      <c r="G44" s="6">
        <v>819622.04999999958</v>
      </c>
      <c r="H44" s="6">
        <v>4301659.2600000016</v>
      </c>
    </row>
    <row r="45" spans="1:9" x14ac:dyDescent="0.25">
      <c r="A45" s="8" t="s">
        <v>56</v>
      </c>
      <c r="B45" s="6">
        <v>1010523.0399999998</v>
      </c>
      <c r="C45" s="6">
        <v>4749430.2700000005</v>
      </c>
      <c r="D45" s="3">
        <v>6.163726708074531</v>
      </c>
      <c r="F45" s="8" t="s">
        <v>56</v>
      </c>
      <c r="G45" s="6">
        <v>1010523.0399999998</v>
      </c>
      <c r="H45" s="6">
        <v>4749430.2700000005</v>
      </c>
    </row>
    <row r="46" spans="1:9" x14ac:dyDescent="0.25">
      <c r="A46" s="8" t="s">
        <v>57</v>
      </c>
      <c r="B46" s="6">
        <v>868099.26000000013</v>
      </c>
      <c r="C46" s="6">
        <v>4670520.6799999978</v>
      </c>
      <c r="D46" s="3">
        <v>7.0988636363636344</v>
      </c>
      <c r="F46" s="8" t="s">
        <v>57</v>
      </c>
      <c r="G46" s="6">
        <v>868099.26000000013</v>
      </c>
      <c r="H46" s="6">
        <v>4670520.6799999978</v>
      </c>
    </row>
    <row r="47" spans="1:9" x14ac:dyDescent="0.25">
      <c r="A47" s="8" t="s">
        <v>58</v>
      </c>
      <c r="B47" s="6">
        <v>882564.99000000022</v>
      </c>
      <c r="C47" s="6">
        <v>4484002.7500000028</v>
      </c>
      <c r="D47" s="3">
        <v>6.6936956521739157</v>
      </c>
      <c r="F47" s="8" t="s">
        <v>58</v>
      </c>
      <c r="G47" s="6">
        <v>882564.99000000022</v>
      </c>
      <c r="H47" s="6">
        <v>4484002.7500000028</v>
      </c>
    </row>
    <row r="48" spans="1:9" x14ac:dyDescent="0.25">
      <c r="A48" s="8" t="s">
        <v>59</v>
      </c>
      <c r="B48" s="6">
        <v>1097369.9899999995</v>
      </c>
      <c r="C48" s="6">
        <v>5159353.3300000019</v>
      </c>
      <c r="D48" s="3">
        <v>7.1730246913580205</v>
      </c>
      <c r="F48" s="8" t="s">
        <v>59</v>
      </c>
      <c r="G48" s="6">
        <v>1097369.9899999995</v>
      </c>
      <c r="H48" s="6">
        <v>5159353.3300000019</v>
      </c>
    </row>
    <row r="49" spans="1:8" x14ac:dyDescent="0.25">
      <c r="A49" s="8" t="s">
        <v>34</v>
      </c>
      <c r="B49" s="6">
        <v>11108749.090000007</v>
      </c>
      <c r="C49" s="6">
        <v>54183330.809999898</v>
      </c>
      <c r="D49" s="3">
        <v>6.4503666666666692</v>
      </c>
      <c r="F49" s="8" t="s">
        <v>34</v>
      </c>
      <c r="G49" s="6">
        <v>11108749.09</v>
      </c>
      <c r="H49" s="6">
        <v>54183330.810000002</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535E-B91B-4B09-9118-3A6B3BC2150B}">
  <dimension ref="A1:N7"/>
  <sheetViews>
    <sheetView showGridLines="0" tabSelected="1" workbookViewId="0">
      <selection activeCell="Q15" sqref="Q15"/>
    </sheetView>
  </sheetViews>
  <sheetFormatPr defaultRowHeight="15" x14ac:dyDescent="0.25"/>
  <cols>
    <col min="3" max="3" width="13.42578125" bestFit="1" customWidth="1"/>
    <col min="4" max="4" width="16.42578125" bestFit="1" customWidth="1"/>
    <col min="5" max="5" width="15.28515625" bestFit="1" customWidth="1"/>
    <col min="6" max="6" width="19" bestFit="1" customWidth="1"/>
    <col min="8" max="9" width="13.42578125" bestFit="1" customWidth="1"/>
    <col min="10" max="10" width="15.28515625" bestFit="1" customWidth="1"/>
    <col min="11" max="11" width="13.42578125" bestFit="1" customWidth="1"/>
    <col min="12" max="13" width="14.7109375" bestFit="1" customWidth="1"/>
    <col min="14" max="14" width="5.42578125" customWidth="1"/>
  </cols>
  <sheetData>
    <row r="1" spans="1:14" ht="15" customHeight="1" x14ac:dyDescent="0.25">
      <c r="A1" s="9" t="s">
        <v>60</v>
      </c>
      <c r="B1" s="9"/>
      <c r="C1" s="9"/>
      <c r="D1" s="9"/>
      <c r="E1" s="9"/>
      <c r="F1" s="9"/>
      <c r="G1" s="9"/>
      <c r="H1" s="9"/>
      <c r="I1" s="9"/>
      <c r="J1" s="9"/>
      <c r="K1" s="9"/>
      <c r="L1" s="9"/>
      <c r="M1" s="9"/>
      <c r="N1" s="9"/>
    </row>
    <row r="2" spans="1:14" ht="15" customHeight="1" x14ac:dyDescent="0.25">
      <c r="A2" s="9"/>
      <c r="B2" s="9"/>
      <c r="C2" s="9"/>
      <c r="D2" s="9"/>
      <c r="E2" s="9"/>
      <c r="F2" s="9"/>
      <c r="G2" s="9"/>
      <c r="H2" s="9"/>
      <c r="I2" s="9"/>
      <c r="J2" s="9"/>
      <c r="K2" s="9"/>
      <c r="L2" s="9"/>
      <c r="M2" s="9"/>
      <c r="N2" s="9"/>
    </row>
    <row r="3" spans="1:14" ht="15" customHeight="1" x14ac:dyDescent="0.25">
      <c r="A3" s="9"/>
      <c r="B3" s="9"/>
      <c r="C3" s="9"/>
      <c r="D3" s="9"/>
      <c r="E3" s="9"/>
      <c r="F3" s="9"/>
      <c r="G3" s="9"/>
      <c r="H3" s="9"/>
      <c r="I3" s="9"/>
      <c r="J3" s="9"/>
      <c r="K3" s="9"/>
      <c r="L3" s="9"/>
      <c r="M3" s="9"/>
      <c r="N3" s="9"/>
    </row>
    <row r="4" spans="1:14" ht="15" customHeight="1" x14ac:dyDescent="0.25">
      <c r="A4" s="9"/>
      <c r="B4" s="9"/>
      <c r="C4" s="9"/>
      <c r="D4" s="9"/>
      <c r="E4" s="9"/>
      <c r="F4" s="9"/>
      <c r="G4" s="9"/>
      <c r="H4" s="9"/>
      <c r="I4" s="9"/>
      <c r="J4" s="9"/>
      <c r="K4" s="9"/>
      <c r="L4" s="9"/>
      <c r="M4" s="9"/>
      <c r="N4" s="9"/>
    </row>
    <row r="5" spans="1:14" ht="15" customHeight="1" x14ac:dyDescent="0.25">
      <c r="A5" s="9"/>
      <c r="B5" s="9"/>
      <c r="C5" s="9"/>
      <c r="D5" s="9"/>
      <c r="E5" s="9"/>
      <c r="F5" s="9"/>
      <c r="G5" s="9"/>
      <c r="H5" s="9"/>
      <c r="I5" s="9"/>
      <c r="J5" s="9"/>
      <c r="K5" s="9"/>
      <c r="L5" s="9"/>
      <c r="M5" s="9"/>
      <c r="N5" s="9"/>
    </row>
    <row r="6" spans="1:14" ht="15" customHeight="1" x14ac:dyDescent="0.25">
      <c r="A6" s="9"/>
      <c r="B6" s="9"/>
      <c r="C6" s="9"/>
      <c r="D6" s="9"/>
      <c r="E6" s="9"/>
      <c r="F6" s="9"/>
      <c r="G6" s="9"/>
      <c r="H6" s="9"/>
      <c r="I6" s="9"/>
      <c r="J6" s="9"/>
      <c r="K6" s="9"/>
      <c r="L6" s="9"/>
      <c r="M6" s="9"/>
      <c r="N6" s="9"/>
    </row>
    <row r="7" spans="1:14" ht="15" customHeight="1" x14ac:dyDescent="0.25">
      <c r="A7" s="9"/>
      <c r="B7" s="9"/>
      <c r="C7" s="9"/>
      <c r="D7" s="9"/>
      <c r="E7" s="9"/>
      <c r="F7" s="9"/>
      <c r="G7" s="9"/>
      <c r="H7" s="9"/>
      <c r="I7" s="9"/>
      <c r="J7" s="9"/>
      <c r="K7" s="9"/>
      <c r="L7" s="9"/>
      <c r="M7" s="9"/>
      <c r="N7" s="9"/>
    </row>
  </sheetData>
  <mergeCells count="1">
    <mergeCell ref="A1: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global_ads_performance_dataset</vt:lpstr>
      <vt:lpstr>Working Sheet</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Nguyen</dc:creator>
  <cp:lastModifiedBy>Long Nguyen</cp:lastModifiedBy>
  <dcterms:created xsi:type="dcterms:W3CDTF">2026-01-26T19:01:21Z</dcterms:created>
  <dcterms:modified xsi:type="dcterms:W3CDTF">2026-01-26T19:02:11Z</dcterms:modified>
</cp:coreProperties>
</file>